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kpn1672411-my.sharepoint.com/personal/rotterdam_noortgassler_nl/Documents/Documenten/Secretariaat/Zakelijke Ondersteuning Monitoring/Project NOW/"/>
    </mc:Choice>
  </mc:AlternateContent>
  <xr:revisionPtr revIDLastSave="125" documentId="8_{6999ED21-BBE1-4CAD-9C8B-D2A0704FF817}" xr6:coauthVersionLast="47" xr6:coauthVersionMax="47" xr10:uidLastSave="{40B2102A-E8C1-491B-8B36-CB79F09B25F1}"/>
  <bookViews>
    <workbookView xWindow="-120" yWindow="-120" windowWidth="29040" windowHeight="15720" activeTab="2" xr2:uid="{8C7F7B8B-F233-4A4B-A103-5B9D53529CB1}"/>
  </bookViews>
  <sheets>
    <sheet name="Invoice Dispute Tracker" sheetId="5" r:id="rId1"/>
    <sheet name="Ouderdomsanalyseperdebiteur" sheetId="1" r:id="rId2"/>
    <sheet name="Aging breakdown" sheetId="2" r:id="rId3"/>
    <sheet name="Top20 " sheetId="3" r:id="rId4"/>
    <sheet name="Action item Summary" sheetId="6" r:id="rId5"/>
  </sheets>
  <definedNames>
    <definedName name="_xlnm._FilterDatabase" localSheetId="1" hidden="1">Ouderdomsanalyseperdebiteur!$R$2:$R$1074</definedName>
    <definedName name="_xlnm._FilterDatabase" localSheetId="3" hidden="1">'Top20 '!$A$4:$I$124</definedName>
  </definedNames>
  <calcPr calcId="191029"/>
  <pivotCaches>
    <pivotCache cacheId="8" r:id="rId6"/>
    <pivotCache cacheId="3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3" l="1"/>
  <c r="B101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8" i="3"/>
  <c r="B15" i="3"/>
  <c r="B14" i="3"/>
  <c r="B13" i="3"/>
  <c r="B12" i="3"/>
  <c r="B11" i="3"/>
  <c r="B10" i="3"/>
  <c r="B9" i="3"/>
  <c r="B7" i="3"/>
  <c r="B6" i="3"/>
  <c r="B5" i="3"/>
  <c r="I1075" i="1"/>
  <c r="J1075" i="1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8" i="3"/>
  <c r="D15" i="3"/>
  <c r="D14" i="3"/>
  <c r="D13" i="3"/>
  <c r="D12" i="3"/>
  <c r="D11" i="3"/>
  <c r="D10" i="3"/>
  <c r="D9" i="3"/>
  <c r="D7" i="3"/>
  <c r="D6" i="3"/>
  <c r="D5" i="3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B3" i="3" l="1"/>
  <c r="C3" i="3" s="1"/>
</calcChain>
</file>

<file path=xl/sharedStrings.xml><?xml version="1.0" encoding="utf-8"?>
<sst xmlns="http://schemas.openxmlformats.org/spreadsheetml/2006/main" count="9211" uniqueCount="1504">
  <si>
    <t>2024-0138</t>
  </si>
  <si>
    <t>102026-0253</t>
  </si>
  <si>
    <t>102026-0234</t>
  </si>
  <si>
    <t>102026-0235</t>
  </si>
  <si>
    <t>102025-1238</t>
  </si>
  <si>
    <t>102026-0237</t>
  </si>
  <si>
    <t>102026-0232</t>
  </si>
  <si>
    <t>102026-0233</t>
  </si>
  <si>
    <t>Paragon 28 Medical Devices Trading Limited</t>
  </si>
  <si>
    <t>102026-0238</t>
  </si>
  <si>
    <t>2024-1310</t>
  </si>
  <si>
    <t>102025-1171</t>
  </si>
  <si>
    <t>2023-0285</t>
  </si>
  <si>
    <t>2021-0351</t>
  </si>
  <si>
    <t>2025-0313</t>
  </si>
  <si>
    <t>2020-1031</t>
  </si>
  <si>
    <t>RJD Infra</t>
  </si>
  <si>
    <t>2023-0718</t>
  </si>
  <si>
    <t>102026-0551</t>
  </si>
  <si>
    <t>102026-0515</t>
  </si>
  <si>
    <t>102025-1178</t>
  </si>
  <si>
    <t>Levels Diagnostics B.V.</t>
  </si>
  <si>
    <t>102026-0533</t>
  </si>
  <si>
    <t>102026-0532</t>
  </si>
  <si>
    <t>2020-1059</t>
  </si>
  <si>
    <t>2020-1058</t>
  </si>
  <si>
    <t>102025-0996</t>
  </si>
  <si>
    <t>102025-0780</t>
  </si>
  <si>
    <t>Valet Parkeer Service</t>
  </si>
  <si>
    <t>102025-0991</t>
  </si>
  <si>
    <t>1110</t>
  </si>
  <si>
    <t>2023-0985</t>
  </si>
  <si>
    <t>2020-0610</t>
  </si>
  <si>
    <t>102026-0449</t>
  </si>
  <si>
    <t>M.P. Harten</t>
  </si>
  <si>
    <t>102026-0057</t>
  </si>
  <si>
    <t>2023-0594</t>
  </si>
  <si>
    <t>1506</t>
  </si>
  <si>
    <t>1576</t>
  </si>
  <si>
    <t>2023-0926</t>
  </si>
  <si>
    <t>Zentrex Capital B.V.</t>
  </si>
  <si>
    <t>102026-0037</t>
  </si>
  <si>
    <t>1783</t>
  </si>
  <si>
    <t>2024-0785</t>
  </si>
  <si>
    <t>102026-0032</t>
  </si>
  <si>
    <t>1535</t>
  </si>
  <si>
    <t>2020-1021</t>
  </si>
  <si>
    <t>2024-0093</t>
  </si>
  <si>
    <t>2023-0557</t>
  </si>
  <si>
    <t>2021-0689</t>
  </si>
  <si>
    <t>Stichting Zwitserse Kamer van Koophandel in Nederland</t>
  </si>
  <si>
    <t>2023-0477</t>
  </si>
  <si>
    <t>2021-0856</t>
  </si>
  <si>
    <t>102026-0355</t>
  </si>
  <si>
    <t>102026-0354</t>
  </si>
  <si>
    <t>2022-0338</t>
  </si>
  <si>
    <t>102026-0356</t>
  </si>
  <si>
    <t>2020-0718</t>
  </si>
  <si>
    <t>102026-0350</t>
  </si>
  <si>
    <t>102026-0353</t>
  </si>
  <si>
    <t>2023-0607</t>
  </si>
  <si>
    <t>2023-1142</t>
  </si>
  <si>
    <t>102026-0358</t>
  </si>
  <si>
    <t>2020-0223</t>
  </si>
  <si>
    <t>102026-0143</t>
  </si>
  <si>
    <t>102025-0583</t>
  </si>
  <si>
    <t>2022-0957</t>
  </si>
  <si>
    <t>102026-0369</t>
  </si>
  <si>
    <t>102025-0587</t>
  </si>
  <si>
    <t>102025-0589</t>
  </si>
  <si>
    <t>2021-0323</t>
  </si>
  <si>
    <t>1610</t>
  </si>
  <si>
    <t>Zorlu Infra</t>
  </si>
  <si>
    <t>2023-0393</t>
  </si>
  <si>
    <t>Einhaus Beheer B.V.</t>
  </si>
  <si>
    <t>2023-0399</t>
  </si>
  <si>
    <t>2020-0356</t>
  </si>
  <si>
    <t>R191011</t>
  </si>
  <si>
    <t>RD5335</t>
  </si>
  <si>
    <t>RD9963</t>
  </si>
  <si>
    <t>2025-0162</t>
  </si>
  <si>
    <t>2022-0223</t>
  </si>
  <si>
    <t>2023-0838</t>
  </si>
  <si>
    <t>102026-0542</t>
  </si>
  <si>
    <t>102025-0818</t>
  </si>
  <si>
    <t>2024-0657</t>
  </si>
  <si>
    <t>Tradeplus24 Nederland B.V.</t>
  </si>
  <si>
    <t>R190107</t>
  </si>
  <si>
    <t>2020-0512</t>
  </si>
  <si>
    <t>2020-0513</t>
  </si>
  <si>
    <t>2020-0510</t>
  </si>
  <si>
    <t>2021-0747</t>
  </si>
  <si>
    <t>2021-0443</t>
  </si>
  <si>
    <t>102025-1135</t>
  </si>
  <si>
    <t>102026-0154</t>
  </si>
  <si>
    <t>102025-1132</t>
  </si>
  <si>
    <t>2020-0518</t>
  </si>
  <si>
    <t>R180172</t>
  </si>
  <si>
    <t>102025-0949</t>
  </si>
  <si>
    <t>102026-0137</t>
  </si>
  <si>
    <t>RD5998</t>
  </si>
  <si>
    <t>102025-1139</t>
  </si>
  <si>
    <t>102026-0132</t>
  </si>
  <si>
    <t>2021-0184</t>
  </si>
  <si>
    <t>2022-1097</t>
  </si>
  <si>
    <t>2021-0183</t>
  </si>
  <si>
    <t>2024-0001</t>
  </si>
  <si>
    <t>1293</t>
  </si>
  <si>
    <t>2023-0455</t>
  </si>
  <si>
    <t>2023-0868</t>
  </si>
  <si>
    <t>2025-0204</t>
  </si>
  <si>
    <t>2023-1239</t>
  </si>
  <si>
    <t>2023-0503</t>
  </si>
  <si>
    <t>2020-1172</t>
  </si>
  <si>
    <t>RD4531</t>
  </si>
  <si>
    <t>2023-0193</t>
  </si>
  <si>
    <t>102026-0412</t>
  </si>
  <si>
    <t>102026-0413</t>
  </si>
  <si>
    <t>2021-0904</t>
  </si>
  <si>
    <t>102026-0411</t>
  </si>
  <si>
    <t>102026-0416</t>
  </si>
  <si>
    <t>102026-0417</t>
  </si>
  <si>
    <t>102026-0414</t>
  </si>
  <si>
    <t>102026-0418</t>
  </si>
  <si>
    <t>102026-0419</t>
  </si>
  <si>
    <t>2020-1165</t>
  </si>
  <si>
    <t>102025-0858</t>
  </si>
  <si>
    <t>RD5877</t>
  </si>
  <si>
    <t>2024-0453</t>
  </si>
  <si>
    <t>2020-0914</t>
  </si>
  <si>
    <t>2023-0150</t>
  </si>
  <si>
    <t>102025-0853</t>
  </si>
  <si>
    <t>2023-0913</t>
  </si>
  <si>
    <t>2023-0910</t>
  </si>
  <si>
    <t>2023-0911</t>
  </si>
  <si>
    <t>102026-0130</t>
  </si>
  <si>
    <t>RD5996</t>
  </si>
  <si>
    <t>2024-0458</t>
  </si>
  <si>
    <t>Limits-Consulting B.V.</t>
  </si>
  <si>
    <t>2020-0416</t>
  </si>
  <si>
    <t>2021-0241</t>
  </si>
  <si>
    <t>1461</t>
  </si>
  <si>
    <t>2021-0243</t>
  </si>
  <si>
    <t>1612</t>
  </si>
  <si>
    <t>102026-0659</t>
  </si>
  <si>
    <t>2023-1040</t>
  </si>
  <si>
    <t>1652</t>
  </si>
  <si>
    <t>2020-0367</t>
  </si>
  <si>
    <t>2025-0122</t>
  </si>
  <si>
    <t>R191049</t>
  </si>
  <si>
    <t>2025-0064</t>
  </si>
  <si>
    <t>2025-0062</t>
  </si>
  <si>
    <t>2024-0157</t>
  </si>
  <si>
    <t>2024-0998</t>
  </si>
  <si>
    <t>2023-0210</t>
  </si>
  <si>
    <t>2025-0004</t>
  </si>
  <si>
    <t>2024-0992</t>
  </si>
  <si>
    <t>2025-0002</t>
  </si>
  <si>
    <t>2024-0991</t>
  </si>
  <si>
    <t>2021-0766</t>
  </si>
  <si>
    <t>6190dagen</t>
  </si>
  <si>
    <t>2022-0887</t>
  </si>
  <si>
    <t>R191127</t>
  </si>
  <si>
    <t>102026-0478</t>
  </si>
  <si>
    <t>Deelman Timmerwerken B.V.</t>
  </si>
  <si>
    <t>NEVE Trans B.V.</t>
  </si>
  <si>
    <t>102025-0568</t>
  </si>
  <si>
    <t>2020-0429</t>
  </si>
  <si>
    <t>Kraskino Consultants Ltd.</t>
  </si>
  <si>
    <t>2025-0109</t>
  </si>
  <si>
    <t>102026-0329</t>
  </si>
  <si>
    <t>2024-1364</t>
  </si>
  <si>
    <t>2024-1365</t>
  </si>
  <si>
    <t>2024-1366</t>
  </si>
  <si>
    <t>2021-0088</t>
  </si>
  <si>
    <t>2024-1361</t>
  </si>
  <si>
    <t>2024-1362</t>
  </si>
  <si>
    <t>2024-1363</t>
  </si>
  <si>
    <t>2023-0834</t>
  </si>
  <si>
    <t>2024-1128</t>
  </si>
  <si>
    <t>102026-0513</t>
  </si>
  <si>
    <t>2021-0029</t>
  </si>
  <si>
    <t>2021-0028</t>
  </si>
  <si>
    <t>2021-0040</t>
  </si>
  <si>
    <t>102026-0517</t>
  </si>
  <si>
    <t>2020-0124</t>
  </si>
  <si>
    <t>102026-0514</t>
  </si>
  <si>
    <t>Bladi shop</t>
  </si>
  <si>
    <t>2021-0646</t>
  </si>
  <si>
    <t>2024-0770</t>
  </si>
  <si>
    <t>RD4132</t>
  </si>
  <si>
    <t>2020-0114</t>
  </si>
  <si>
    <t>Einhaus Holding B.V.</t>
  </si>
  <si>
    <t>102025-0957</t>
  </si>
  <si>
    <t>2024-0883</t>
  </si>
  <si>
    <t>2022-1066</t>
  </si>
  <si>
    <t>102025-0954</t>
  </si>
  <si>
    <t>102025-0740</t>
  </si>
  <si>
    <t>RD9989</t>
  </si>
  <si>
    <t>2020-0569</t>
  </si>
  <si>
    <t>102025-0746</t>
  </si>
  <si>
    <t>102025-0748</t>
  </si>
  <si>
    <t>2020-0213</t>
  </si>
  <si>
    <t>102025-1248</t>
  </si>
  <si>
    <t>2020-0874</t>
  </si>
  <si>
    <t>102026-0014</t>
  </si>
  <si>
    <t>102026-0236</t>
  </si>
  <si>
    <t>2024-1137</t>
  </si>
  <si>
    <t>2023-0720</t>
  </si>
  <si>
    <t>102025-0525</t>
  </si>
  <si>
    <t>2024-0646</t>
  </si>
  <si>
    <t>102026-0012</t>
  </si>
  <si>
    <t>H. van der  Waal</t>
  </si>
  <si>
    <t>RD5879</t>
  </si>
  <si>
    <t>2025-0325</t>
  </si>
  <si>
    <t>2025-0326</t>
  </si>
  <si>
    <t>2024-0055</t>
  </si>
  <si>
    <t>Plaats22</t>
  </si>
  <si>
    <t>2025-0321</t>
  </si>
  <si>
    <t>2024-1348</t>
  </si>
  <si>
    <t>L. van Schaik Holding B.V.</t>
  </si>
  <si>
    <t>102026-0488</t>
  </si>
  <si>
    <t>2020-0825</t>
  </si>
  <si>
    <t>2023-1211</t>
  </si>
  <si>
    <t>2024-0304</t>
  </si>
  <si>
    <t>2020-0751</t>
  </si>
  <si>
    <t>2020-0753</t>
  </si>
  <si>
    <t>102026-0315</t>
  </si>
  <si>
    <t>R170267</t>
  </si>
  <si>
    <t>102026-0316</t>
  </si>
  <si>
    <t>102025-0608</t>
  </si>
  <si>
    <t>2020-1062</t>
  </si>
  <si>
    <t>RD5734</t>
  </si>
  <si>
    <t>102026-0312</t>
  </si>
  <si>
    <t>Coöperatieve Vijftientien U.A.</t>
  </si>
  <si>
    <t>RD7358</t>
  </si>
  <si>
    <t>2024-0570</t>
  </si>
  <si>
    <t>102026-0318</t>
  </si>
  <si>
    <t>R190025</t>
  </si>
  <si>
    <t>R190024</t>
  </si>
  <si>
    <t>2025-0426</t>
  </si>
  <si>
    <t>G8plus B.V.</t>
  </si>
  <si>
    <t>2024-1265</t>
  </si>
  <si>
    <t>2024-1264</t>
  </si>
  <si>
    <t>2024-1267</t>
  </si>
  <si>
    <t>2024-0517</t>
  </si>
  <si>
    <t>R190800</t>
  </si>
  <si>
    <t>2024-0788</t>
  </si>
  <si>
    <t>2024-1263</t>
  </si>
  <si>
    <t>R190804</t>
  </si>
  <si>
    <t>102026-0482</t>
  </si>
  <si>
    <t>2020-0010</t>
  </si>
  <si>
    <t>102026-0480</t>
  </si>
  <si>
    <t>2020-1125</t>
  </si>
  <si>
    <t>R170360</t>
  </si>
  <si>
    <t>102026-0484</t>
  </si>
  <si>
    <t>R191066</t>
  </si>
  <si>
    <t>STUUR!</t>
  </si>
  <si>
    <t>102026-0463</t>
  </si>
  <si>
    <t>2024-0670</t>
  </si>
  <si>
    <t>2020-1128</t>
  </si>
  <si>
    <t>2024-0672</t>
  </si>
  <si>
    <t>102026-0465</t>
  </si>
  <si>
    <t>102026-0375</t>
  </si>
  <si>
    <t>2025-0124</t>
  </si>
  <si>
    <t>2025-0125</t>
  </si>
  <si>
    <t>2024-0583</t>
  </si>
  <si>
    <t>2025-0123</t>
  </si>
  <si>
    <t>2024-0613</t>
  </si>
  <si>
    <t>2020-0536</t>
  </si>
  <si>
    <t>102025-0884</t>
  </si>
  <si>
    <t>102025-1285</t>
  </si>
  <si>
    <t>2024-0546</t>
  </si>
  <si>
    <t>1859</t>
  </si>
  <si>
    <t>2025-0129</t>
  </si>
  <si>
    <t>2022-0599</t>
  </si>
  <si>
    <t>R190907</t>
  </si>
  <si>
    <t>1629</t>
  </si>
  <si>
    <t>Mavi infra</t>
  </si>
  <si>
    <t>1697</t>
  </si>
  <si>
    <t>2021-0580</t>
  </si>
  <si>
    <t>102025-1249</t>
  </si>
  <si>
    <t>2023-1070</t>
  </si>
  <si>
    <t>1637</t>
  </si>
  <si>
    <t>1627</t>
  </si>
  <si>
    <t>1617</t>
  </si>
  <si>
    <t>2024-0377</t>
  </si>
  <si>
    <t>2023-0117</t>
  </si>
  <si>
    <t>102026-0118</t>
  </si>
  <si>
    <t>2024-0373</t>
  </si>
  <si>
    <t>2025-0221</t>
  </si>
  <si>
    <t>102025-0760</t>
  </si>
  <si>
    <t>2021-0984</t>
  </si>
  <si>
    <t>2022-0548</t>
  </si>
  <si>
    <t>2022-0549</t>
  </si>
  <si>
    <t>2024-0312</t>
  </si>
  <si>
    <t>2025-0229</t>
  </si>
  <si>
    <t>2025-0228</t>
  </si>
  <si>
    <t>RD7259</t>
  </si>
  <si>
    <t>2020-0653</t>
  </si>
  <si>
    <t>Knowdis B.V.</t>
  </si>
  <si>
    <t>102025-1267</t>
  </si>
  <si>
    <t>102026-0280</t>
  </si>
  <si>
    <t>102026-0148</t>
  </si>
  <si>
    <t>2024-1068</t>
  </si>
  <si>
    <t>102026-0029</t>
  </si>
  <si>
    <t>102025-1204</t>
  </si>
  <si>
    <t>102025-1205</t>
  </si>
  <si>
    <t>102025-1206</t>
  </si>
  <si>
    <t>RD5683</t>
  </si>
  <si>
    <t>102025-1274</t>
  </si>
  <si>
    <t>102025-0545</t>
  </si>
  <si>
    <t>2024-0471</t>
  </si>
  <si>
    <t>102025-1203</t>
  </si>
  <si>
    <t>102025-0661</t>
  </si>
  <si>
    <t>102025-0791</t>
  </si>
  <si>
    <t>2021-0042</t>
  </si>
  <si>
    <t>102025-1208</t>
  </si>
  <si>
    <t>2024-0413</t>
  </si>
  <si>
    <t>Ray Consultancy B.V.</t>
  </si>
  <si>
    <t>Factuurnummer</t>
  </si>
  <si>
    <t>102025-0669</t>
  </si>
  <si>
    <t>RD7031</t>
  </si>
  <si>
    <t>2020-1084</t>
  </si>
  <si>
    <t>R190347</t>
  </si>
  <si>
    <t>102025-0605</t>
  </si>
  <si>
    <t>2021-0260</t>
  </si>
  <si>
    <t>2023-0567</t>
  </si>
  <si>
    <t>2020-1027</t>
  </si>
  <si>
    <t>2020-1026</t>
  </si>
  <si>
    <t>102026-0581</t>
  </si>
  <si>
    <t>2020-1022</t>
  </si>
  <si>
    <t>2021-0268</t>
  </si>
  <si>
    <t>2020-1020</t>
  </si>
  <si>
    <t>2022-1096</t>
  </si>
  <si>
    <t>2020-0358</t>
  </si>
  <si>
    <t>2020-0359</t>
  </si>
  <si>
    <t>2020-0436</t>
  </si>
  <si>
    <t>2023-1172</t>
  </si>
  <si>
    <t>2023-1188</t>
  </si>
  <si>
    <t>RD9462</t>
  </si>
  <si>
    <t>102026-0091</t>
  </si>
  <si>
    <t>102026-0569</t>
  </si>
  <si>
    <t>2020-0433</t>
  </si>
  <si>
    <t>2020-0432</t>
  </si>
  <si>
    <t>2020-0430</t>
  </si>
  <si>
    <t>2024-0112</t>
  </si>
  <si>
    <t>2024-0787</t>
  </si>
  <si>
    <t>R190440</t>
  </si>
  <si>
    <t>Bats</t>
  </si>
  <si>
    <t>Sollors &amp; Co. (GmbH) &amp; Co. KG)</t>
  </si>
  <si>
    <t>2025-0029</t>
  </si>
  <si>
    <t>RD4533</t>
  </si>
  <si>
    <t>102025-0594</t>
  </si>
  <si>
    <t>102026-0082</t>
  </si>
  <si>
    <t>102026-0080</t>
  </si>
  <si>
    <t>2023-0334</t>
  </si>
  <si>
    <t>102025-1002</t>
  </si>
  <si>
    <t>102025-1003</t>
  </si>
  <si>
    <t>2023-0771</t>
  </si>
  <si>
    <t>2020-1083</t>
  </si>
  <si>
    <t>2021-1130</t>
  </si>
  <si>
    <t>R190544</t>
  </si>
  <si>
    <t>R190545</t>
  </si>
  <si>
    <t>102025-0906</t>
  </si>
  <si>
    <t>2025-0334</t>
  </si>
  <si>
    <t>2025-0357</t>
  </si>
  <si>
    <t>2025-0272</t>
  </si>
  <si>
    <t>2024-1325</t>
  </si>
  <si>
    <t>2020-0156</t>
  </si>
  <si>
    <t>2020-0918</t>
  </si>
  <si>
    <t>102026-0384</t>
  </si>
  <si>
    <t>2020-0916</t>
  </si>
  <si>
    <t>Dagenoud</t>
  </si>
  <si>
    <t>2020-0150</t>
  </si>
  <si>
    <t>RD5729</t>
  </si>
  <si>
    <t>2020-0910</t>
  </si>
  <si>
    <t>102026-0365</t>
  </si>
  <si>
    <t>2023-0682</t>
  </si>
  <si>
    <t>102025-1306</t>
  </si>
  <si>
    <t>RRD9981</t>
  </si>
  <si>
    <t>NaamDebiteur</t>
  </si>
  <si>
    <t>2022-0787</t>
  </si>
  <si>
    <t>102025-0761</t>
  </si>
  <si>
    <t>Lelie Engineering</t>
  </si>
  <si>
    <t>102025-0544</t>
  </si>
  <si>
    <t>102025-1309</t>
  </si>
  <si>
    <t>102025-1308</t>
  </si>
  <si>
    <t>102025-1209</t>
  </si>
  <si>
    <t>102026-0023</t>
  </si>
  <si>
    <t>R190628</t>
  </si>
  <si>
    <t>102025-1009</t>
  </si>
  <si>
    <t>102025-0706</t>
  </si>
  <si>
    <t>LUKOIL International Upstream Holdings B.V.</t>
  </si>
  <si>
    <t>RD9971</t>
  </si>
  <si>
    <t>2020-0250</t>
  </si>
  <si>
    <t>2020-0259</t>
  </si>
  <si>
    <t>102026-0648</t>
  </si>
  <si>
    <t>2022-0245</t>
  </si>
  <si>
    <t>VRK</t>
  </si>
  <si>
    <t>2024-0527</t>
  </si>
  <si>
    <t>NaamAdministratie</t>
  </si>
  <si>
    <t>2024-1187</t>
  </si>
  <si>
    <t>Heron Groep B.V.</t>
  </si>
  <si>
    <t>2024-1251</t>
  </si>
  <si>
    <t>Patrick van Gils Beheer B.V.</t>
  </si>
  <si>
    <t>2024-0684</t>
  </si>
  <si>
    <t>2025-0154</t>
  </si>
  <si>
    <t>2024-0856</t>
  </si>
  <si>
    <t>1860</t>
  </si>
  <si>
    <t>R190740</t>
  </si>
  <si>
    <t>2020-0338</t>
  </si>
  <si>
    <t>Stichting Micu Zuidwest Nederland</t>
  </si>
  <si>
    <t>102025-1166</t>
  </si>
  <si>
    <t>102026-0186</t>
  </si>
  <si>
    <t>Vervaldatum</t>
  </si>
  <si>
    <t>2024-0258</t>
  </si>
  <si>
    <t>R190749</t>
  </si>
  <si>
    <t>102026-0658</t>
  </si>
  <si>
    <t>102025-1126</t>
  </si>
  <si>
    <t>R190098</t>
  </si>
  <si>
    <t>102025-1105</t>
  </si>
  <si>
    <t>102025-1103</t>
  </si>
  <si>
    <t>102026-0163</t>
  </si>
  <si>
    <t>102026-0160</t>
  </si>
  <si>
    <t>102026-0050</t>
  </si>
  <si>
    <t>2023-0488</t>
  </si>
  <si>
    <t>R190750</t>
  </si>
  <si>
    <t>TelePlusGSM Retail B.V.</t>
  </si>
  <si>
    <t>TOFF concept</t>
  </si>
  <si>
    <t>RMA Loodgieter</t>
  </si>
  <si>
    <t>102026-0370</t>
  </si>
  <si>
    <t>102025-0502</t>
  </si>
  <si>
    <t>Coffeeshop Dizzy Duck B.V.</t>
  </si>
  <si>
    <t>102025-0507</t>
  </si>
  <si>
    <t>Hooimani El M'Barki Real Estate B.V.</t>
  </si>
  <si>
    <t>1866</t>
  </si>
  <si>
    <t>102025-0509</t>
  </si>
  <si>
    <t>2020-1166</t>
  </si>
  <si>
    <t>2020-1167</t>
  </si>
  <si>
    <t>2020-1164</t>
  </si>
  <si>
    <t>2024-1229</t>
  </si>
  <si>
    <t>2021-1002</t>
  </si>
  <si>
    <t>2020-1160</t>
  </si>
  <si>
    <t>2020-1161</t>
  </si>
  <si>
    <t>102026-0423</t>
  </si>
  <si>
    <t>102026-0420</t>
  </si>
  <si>
    <t>102026-0421</t>
  </si>
  <si>
    <t>2024-1106</t>
  </si>
  <si>
    <t>R190920</t>
  </si>
  <si>
    <t>2021-0194</t>
  </si>
  <si>
    <t>RD5874</t>
  </si>
  <si>
    <t>2020-0571</t>
  </si>
  <si>
    <t>2022-0048</t>
  </si>
  <si>
    <t>2024-0488</t>
  </si>
  <si>
    <t>1685</t>
  </si>
  <si>
    <t>2023-1053</t>
  </si>
  <si>
    <t>R190944</t>
  </si>
  <si>
    <t>R191095</t>
  </si>
  <si>
    <t>2024-0459</t>
  </si>
  <si>
    <t>R190947</t>
  </si>
  <si>
    <t>RD9974</t>
  </si>
  <si>
    <t>102026-0264</t>
  </si>
  <si>
    <t>102025-0708</t>
  </si>
  <si>
    <t>1655</t>
  </si>
  <si>
    <t>RD7716</t>
  </si>
  <si>
    <t>2023-0472</t>
  </si>
  <si>
    <t>Van Bergen 1795 B.V.</t>
  </si>
  <si>
    <t>2023-0470</t>
  </si>
  <si>
    <t>1603</t>
  </si>
  <si>
    <t>1295</t>
  </si>
  <si>
    <t>1633</t>
  </si>
  <si>
    <t>R190267</t>
  </si>
  <si>
    <t>2024-0185</t>
  </si>
  <si>
    <t>2025-0056</t>
  </si>
  <si>
    <t>2025-0055</t>
  </si>
  <si>
    <t>102025-1284</t>
  </si>
  <si>
    <t>New Learning Factory B.V.</t>
  </si>
  <si>
    <t>2020-0672</t>
  </si>
  <si>
    <t>2024-1025</t>
  </si>
  <si>
    <t>2024-1024</t>
  </si>
  <si>
    <t>2024-1023</t>
  </si>
  <si>
    <t>2021-0969</t>
  </si>
  <si>
    <t>2024-1021</t>
  </si>
  <si>
    <t>102026-0464</t>
  </si>
  <si>
    <t>102026-0244</t>
  </si>
  <si>
    <t>102025-1226</t>
  </si>
  <si>
    <t>102025-1288</t>
  </si>
  <si>
    <t>2020-0449</t>
  </si>
  <si>
    <t>2020-0014</t>
  </si>
  <si>
    <t>102026-0243</t>
  </si>
  <si>
    <t>R170383</t>
  </si>
  <si>
    <t>102026-0225</t>
  </si>
  <si>
    <t>102026-0226</t>
  </si>
  <si>
    <t>102026-0248</t>
  </si>
  <si>
    <t>RD5421</t>
  </si>
  <si>
    <t>102025-0623</t>
  </si>
  <si>
    <t>1657</t>
  </si>
  <si>
    <t>RD5889</t>
  </si>
  <si>
    <t>2024-0288</t>
  </si>
  <si>
    <t>Deelman Holding B.V.</t>
  </si>
  <si>
    <t>R191006</t>
  </si>
  <si>
    <t>102026-0543</t>
  </si>
  <si>
    <t>R191008</t>
  </si>
  <si>
    <t>102026-0541</t>
  </si>
  <si>
    <t>102026-0540</t>
  </si>
  <si>
    <t>102026-0547</t>
  </si>
  <si>
    <t>102026-0546</t>
  </si>
  <si>
    <t>2020-1061</t>
  </si>
  <si>
    <t>102026-0544</t>
  </si>
  <si>
    <t>Yepmedia B.V.</t>
  </si>
  <si>
    <t>102026-0523</t>
  </si>
  <si>
    <t>CodeDebiteur</t>
  </si>
  <si>
    <t>102026-0548</t>
  </si>
  <si>
    <t>102026-0525</t>
  </si>
  <si>
    <t>R190466</t>
  </si>
  <si>
    <t>2024-1242</t>
  </si>
  <si>
    <t>2021-0596</t>
  </si>
  <si>
    <t>102026-0522</t>
  </si>
  <si>
    <t>2023-0279</t>
  </si>
  <si>
    <t>102025-1086</t>
  </si>
  <si>
    <t>2024-0918</t>
  </si>
  <si>
    <t>2024-0916</t>
  </si>
  <si>
    <t>2024-0917</t>
  </si>
  <si>
    <t>R191104</t>
  </si>
  <si>
    <t>102025-1081</t>
  </si>
  <si>
    <t>102025-1026</t>
  </si>
  <si>
    <t>102026-0395</t>
  </si>
  <si>
    <t>102026-0044</t>
  </si>
  <si>
    <t>Gaoui Beheer B.V.</t>
  </si>
  <si>
    <t>102026-0040</t>
  </si>
  <si>
    <t>2025-0218</t>
  </si>
  <si>
    <t>102026-0027</t>
  </si>
  <si>
    <t>Deel 2</t>
  </si>
  <si>
    <t>102026-0022</t>
  </si>
  <si>
    <t>2025-0374</t>
  </si>
  <si>
    <t>Korswill NL</t>
  </si>
  <si>
    <t>2024-0738</t>
  </si>
  <si>
    <t>102025-0606</t>
  </si>
  <si>
    <t>2025-0370</t>
  </si>
  <si>
    <t>2025-0371</t>
  </si>
  <si>
    <t>2024-1347</t>
  </si>
  <si>
    <t>102026-0028</t>
  </si>
  <si>
    <t>2021-0630</t>
  </si>
  <si>
    <t>102025-0803</t>
  </si>
  <si>
    <t>2025-0379</t>
  </si>
  <si>
    <t>1312</t>
  </si>
  <si>
    <t>Autodemontagebedrijf Th. van Gils B.V.</t>
  </si>
  <si>
    <t>Saldo</t>
  </si>
  <si>
    <t>102026-0341</t>
  </si>
  <si>
    <t>2021-0553</t>
  </si>
  <si>
    <t>Z &amp; S Sales and Marketing B.V.</t>
  </si>
  <si>
    <t>1658</t>
  </si>
  <si>
    <t>2024-1372</t>
  </si>
  <si>
    <t>2024-1344</t>
  </si>
  <si>
    <t>R170251</t>
  </si>
  <si>
    <t>R170112</t>
  </si>
  <si>
    <t>2023-0836</t>
  </si>
  <si>
    <t>2023-0646</t>
  </si>
  <si>
    <t>102025-0984</t>
  </si>
  <si>
    <t>2025-0477</t>
  </si>
  <si>
    <t>Meydanim Den Haag B.V.</t>
  </si>
  <si>
    <t>2024-0543</t>
  </si>
  <si>
    <t>102026-0510</t>
  </si>
  <si>
    <t>2021-0362</t>
  </si>
  <si>
    <t>102025-1098</t>
  </si>
  <si>
    <t>Elm Finance B.V.</t>
  </si>
  <si>
    <t>2020-0273</t>
  </si>
  <si>
    <t>2020-0272</t>
  </si>
  <si>
    <t>RD5458</t>
  </si>
  <si>
    <t>AirFlow Luchtkanalen B.V.</t>
  </si>
  <si>
    <t>R170335</t>
  </si>
  <si>
    <t>RD7170</t>
  </si>
  <si>
    <t>102025-0898</t>
  </si>
  <si>
    <t>2025-0330</t>
  </si>
  <si>
    <t>DreamersInc</t>
  </si>
  <si>
    <t>2025-0121</t>
  </si>
  <si>
    <t>Morpho Holding B.V.</t>
  </si>
  <si>
    <t>Kumkol Restructuring B.V.</t>
  </si>
  <si>
    <t>1862</t>
  </si>
  <si>
    <t>Serviceheroes B.V.</t>
  </si>
  <si>
    <t>2025-0170</t>
  </si>
  <si>
    <t>2024-0872</t>
  </si>
  <si>
    <t>2024-1142</t>
  </si>
  <si>
    <t>RD5310</t>
  </si>
  <si>
    <t>102025-1183</t>
  </si>
  <si>
    <t>2024-0815</t>
  </si>
  <si>
    <t>2024-0814</t>
  </si>
  <si>
    <t>2024-0813</t>
  </si>
  <si>
    <t>Concept</t>
  </si>
  <si>
    <t>102026-0147</t>
  </si>
  <si>
    <t>2024-1149</t>
  </si>
  <si>
    <t>102026-0145</t>
  </si>
  <si>
    <t>102025-1123</t>
  </si>
  <si>
    <t>102025-1189</t>
  </si>
  <si>
    <t>102025-1188</t>
  </si>
  <si>
    <t>Van Noort Gassler &amp; Co. Haarlem B.V.</t>
  </si>
  <si>
    <t>2022-0596</t>
  </si>
  <si>
    <t>By Lauyaju</t>
  </si>
  <si>
    <t>102026-0125</t>
  </si>
  <si>
    <t>102026-0124</t>
  </si>
  <si>
    <t>102025-1129</t>
  </si>
  <si>
    <t>102026-0122</t>
  </si>
  <si>
    <t>R170050</t>
  </si>
  <si>
    <t>RD1106</t>
  </si>
  <si>
    <t>2024-0769</t>
  </si>
  <si>
    <t>2021-0192</t>
  </si>
  <si>
    <t>102025-0527</t>
  </si>
  <si>
    <t>102025-0526</t>
  </si>
  <si>
    <t>1292</t>
  </si>
  <si>
    <t>2020-0997</t>
  </si>
  <si>
    <t>2024-1243</t>
  </si>
  <si>
    <t>Bense Bouw B.V.</t>
  </si>
  <si>
    <t>2025-0216</t>
  </si>
  <si>
    <t>1613</t>
  </si>
  <si>
    <t>2020-0833</t>
  </si>
  <si>
    <t>2020-0830</t>
  </si>
  <si>
    <t>2020-1100</t>
  </si>
  <si>
    <t>2023-0214</t>
  </si>
  <si>
    <t>2024-1252</t>
  </si>
  <si>
    <t>2024-1006</t>
  </si>
  <si>
    <t>102026-0400</t>
  </si>
  <si>
    <t>2024-0971</t>
  </si>
  <si>
    <t>2022-0148</t>
  </si>
  <si>
    <t>Zapateros B.V.</t>
  </si>
  <si>
    <t>102026-0498</t>
  </si>
  <si>
    <t>102026-0408</t>
  </si>
  <si>
    <t>102026-0120</t>
  </si>
  <si>
    <t>102025-0866</t>
  </si>
  <si>
    <t>102026-0364</t>
  </si>
  <si>
    <t>2021-0236</t>
  </si>
  <si>
    <t>102026-0004</t>
  </si>
  <si>
    <t>2021-0232</t>
  </si>
  <si>
    <t>2020-0300</t>
  </si>
  <si>
    <t>1420</t>
  </si>
  <si>
    <t>1410</t>
  </si>
  <si>
    <t>Manfred Spaargaren Confiserie</t>
  </si>
  <si>
    <t>2021-0955</t>
  </si>
  <si>
    <t>R180302</t>
  </si>
  <si>
    <t>1611</t>
  </si>
  <si>
    <t>1460</t>
  </si>
  <si>
    <t>102025-0899</t>
  </si>
  <si>
    <t>102025-0827</t>
  </si>
  <si>
    <t>1651</t>
  </si>
  <si>
    <t>Van Noort Gassler &amp; Co. Utrecht B.V.</t>
  </si>
  <si>
    <t>2022-0721</t>
  </si>
  <si>
    <t>102026-0512</t>
  </si>
  <si>
    <t>NL Working Capital B.V.</t>
  </si>
  <si>
    <t>102025-0726</t>
  </si>
  <si>
    <t>102026-0146</t>
  </si>
  <si>
    <t>2024-0140</t>
  </si>
  <si>
    <t>Van Noort Gassler &amp; Co Rotterdam B.V.</t>
  </si>
  <si>
    <t>2024-0982</t>
  </si>
  <si>
    <t>2023-1306</t>
  </si>
  <si>
    <t>2020-0400</t>
  </si>
  <si>
    <t>2023-0653</t>
  </si>
  <si>
    <t>R180518</t>
  </si>
  <si>
    <t>RD5463</t>
  </si>
  <si>
    <t>2020-0149</t>
  </si>
  <si>
    <t>2023-1309</t>
  </si>
  <si>
    <t>R180303</t>
  </si>
  <si>
    <t>RD5423</t>
  </si>
  <si>
    <t>R170404</t>
  </si>
  <si>
    <t>2023-0703</t>
  </si>
  <si>
    <t>2024-1275</t>
  </si>
  <si>
    <t>2022-1098</t>
  </si>
  <si>
    <t>2023-0762</t>
  </si>
  <si>
    <t>2024-0241</t>
  </si>
  <si>
    <t>Ultramar Agency LTD</t>
  </si>
  <si>
    <t>2024-1370</t>
  </si>
  <si>
    <t>2024-1371</t>
  </si>
  <si>
    <t>Code</t>
  </si>
  <si>
    <t>102025-0928</t>
  </si>
  <si>
    <t>Looqa B.V.</t>
  </si>
  <si>
    <t>2021-0039</t>
  </si>
  <si>
    <t>102026-0501</t>
  </si>
  <si>
    <t>102026-0506</t>
  </si>
  <si>
    <t>102026-0505</t>
  </si>
  <si>
    <t>C. Gray</t>
  </si>
  <si>
    <t>2023-0885</t>
  </si>
  <si>
    <t>2023-0884</t>
  </si>
  <si>
    <t>2024-0753</t>
  </si>
  <si>
    <t>102025-0968</t>
  </si>
  <si>
    <t>102026-0499</t>
  </si>
  <si>
    <t>102025-0966</t>
  </si>
  <si>
    <t>Saldo1</t>
  </si>
  <si>
    <t>102025-0963</t>
  </si>
  <si>
    <t>2023-1093</t>
  </si>
  <si>
    <t>2021-1119</t>
  </si>
  <si>
    <t>102026-0394</t>
  </si>
  <si>
    <t>102025-1045</t>
  </si>
  <si>
    <t>102025-0904</t>
  </si>
  <si>
    <t>VOF T.H. Thio en T.H. Thio-Ong</t>
  </si>
  <si>
    <t>102025-0900</t>
  </si>
  <si>
    <t>102026-0006</t>
  </si>
  <si>
    <t>102026-0007</t>
  </si>
  <si>
    <t>RD6741</t>
  </si>
  <si>
    <t>RD5997</t>
  </si>
  <si>
    <t>102026-0003</t>
  </si>
  <si>
    <t>102025-0962</t>
  </si>
  <si>
    <t>1181</t>
  </si>
  <si>
    <t>1553</t>
  </si>
  <si>
    <t>2025-0390</t>
  </si>
  <si>
    <t>Autobedrijf Tinga &amp; Zn</t>
  </si>
  <si>
    <t>2022-1061</t>
  </si>
  <si>
    <t>JPA Van Noort Gassler &amp; Co B.V.</t>
  </si>
  <si>
    <t>2024-0571</t>
  </si>
  <si>
    <t>1111</t>
  </si>
  <si>
    <t>RD5588</t>
  </si>
  <si>
    <t>2025-0337</t>
  </si>
  <si>
    <t>2024-0888</t>
  </si>
  <si>
    <t>2024-0042</t>
  </si>
  <si>
    <t>2024-1176</t>
  </si>
  <si>
    <t>2024-1300</t>
  </si>
  <si>
    <t>R190789</t>
  </si>
  <si>
    <t>2025-0421</t>
  </si>
  <si>
    <t>102025-1013</t>
  </si>
  <si>
    <t>2025-0339</t>
  </si>
  <si>
    <t>2020-0027</t>
  </si>
  <si>
    <t>2020-0972</t>
  </si>
  <si>
    <t>2020-0970</t>
  </si>
  <si>
    <t>102026-0305</t>
  </si>
  <si>
    <t>2020-0745</t>
  </si>
  <si>
    <t>2024-1136</t>
  </si>
  <si>
    <t>2020-0747</t>
  </si>
  <si>
    <t>2020-0748</t>
  </si>
  <si>
    <t>B. Jeddi</t>
  </si>
  <si>
    <t>2023-0602</t>
  </si>
  <si>
    <t>2025-0495</t>
  </si>
  <si>
    <t>102026-0309</t>
  </si>
  <si>
    <t>2022-0731</t>
  </si>
  <si>
    <t>2023-0876</t>
  </si>
  <si>
    <t>102025-0889</t>
  </si>
  <si>
    <t>102026-0538</t>
  </si>
  <si>
    <t>2020-0152</t>
  </si>
  <si>
    <t>2024-0885</t>
  </si>
  <si>
    <t>2025-0436</t>
  </si>
  <si>
    <t>2022-0169</t>
  </si>
  <si>
    <t>2025-0434</t>
  </si>
  <si>
    <t>Rob Hotting Art &amp; Concept</t>
  </si>
  <si>
    <t>R170176</t>
  </si>
  <si>
    <t>2020-0006</t>
  </si>
  <si>
    <t>102025-1212</t>
  </si>
  <si>
    <t>Van Schaik Vleesverwerking</t>
  </si>
  <si>
    <t>2022-0097</t>
  </si>
  <si>
    <t>Vincent van der Weijden Holding B.V.</t>
  </si>
  <si>
    <t>RD5109</t>
  </si>
  <si>
    <t>2022-0094</t>
  </si>
  <si>
    <t>Happy B.V.</t>
  </si>
  <si>
    <t>2025-0197</t>
  </si>
  <si>
    <t>102026-0331</t>
  </si>
  <si>
    <t>R190197</t>
  </si>
  <si>
    <t>2025-0193</t>
  </si>
  <si>
    <t>2024-0764</t>
  </si>
  <si>
    <t>2020-0581</t>
  </si>
  <si>
    <t>Stichting Werken Op Maat.</t>
  </si>
  <si>
    <t>2025-0137</t>
  </si>
  <si>
    <t>2024-0667</t>
  </si>
  <si>
    <t>RD5326</t>
  </si>
  <si>
    <t>2025-0132</t>
  </si>
  <si>
    <t>2025-0130</t>
  </si>
  <si>
    <t>2025-0131</t>
  </si>
  <si>
    <t>Kipcentrum Forepark B.V.</t>
  </si>
  <si>
    <t>2022-0759</t>
  </si>
  <si>
    <t>2021-0477</t>
  </si>
  <si>
    <t>2020-0335</t>
  </si>
  <si>
    <t>FTOU B.V.</t>
  </si>
  <si>
    <t>1638</t>
  </si>
  <si>
    <t>102026-0107</t>
  </si>
  <si>
    <t>1618</t>
  </si>
  <si>
    <t>1608</t>
  </si>
  <si>
    <t>1678</t>
  </si>
  <si>
    <t>2022-0965</t>
  </si>
  <si>
    <t>102025-1148</t>
  </si>
  <si>
    <t>102026-0470</t>
  </si>
  <si>
    <t>R190009</t>
  </si>
  <si>
    <t>1762</t>
  </si>
  <si>
    <t>2024-0907</t>
  </si>
  <si>
    <t>1290</t>
  </si>
  <si>
    <t>1865</t>
  </si>
  <si>
    <t>102026-0109</t>
  </si>
  <si>
    <t>2025-0234</t>
  </si>
  <si>
    <t>1440</t>
  </si>
  <si>
    <t>2022-0537</t>
  </si>
  <si>
    <t>2024-1204</t>
  </si>
  <si>
    <t>R.A.U. Juchter van Bergen Quast B.V.</t>
  </si>
  <si>
    <t>2024-0300</t>
  </si>
  <si>
    <t>102025-0603</t>
  </si>
  <si>
    <t>2020-0641</t>
  </si>
  <si>
    <t>102026-0301</t>
  </si>
  <si>
    <t>2020-0642</t>
  </si>
  <si>
    <t>2020-0644</t>
  </si>
  <si>
    <t>2020-1141</t>
  </si>
  <si>
    <t>2024-1079</t>
  </si>
  <si>
    <t>2024-1078</t>
  </si>
  <si>
    <t>2020-0648</t>
  </si>
  <si>
    <t>Duckies B.V.</t>
  </si>
  <si>
    <t>2025-0003</t>
  </si>
  <si>
    <t>102025-1299</t>
  </si>
  <si>
    <t>2022-0631</t>
  </si>
  <si>
    <t>2023-0101</t>
  </si>
  <si>
    <t>2024-0466</t>
  </si>
  <si>
    <t>102025-0673</t>
  </si>
  <si>
    <t>102025-0674</t>
  </si>
  <si>
    <t>102026-0445</t>
  </si>
  <si>
    <t>2023-0165</t>
  </si>
  <si>
    <t>Boekdatum</t>
  </si>
  <si>
    <t>Intelligence Group B.V.</t>
  </si>
  <si>
    <t>102025-0612</t>
  </si>
  <si>
    <t>102025-0997</t>
  </si>
  <si>
    <t>102025-0614</t>
  </si>
  <si>
    <t>2021-0270</t>
  </si>
  <si>
    <t>R190358</t>
  </si>
  <si>
    <t>R190359</t>
  </si>
  <si>
    <t>2023-0516</t>
  </si>
  <si>
    <t>102025-1122</t>
  </si>
  <si>
    <t>2020-1099</t>
  </si>
  <si>
    <t>2020-1098</t>
  </si>
  <si>
    <t>R191019</t>
  </si>
  <si>
    <t>2023-1184</t>
  </si>
  <si>
    <t>2020-0483</t>
  </si>
  <si>
    <t>2024-0955</t>
  </si>
  <si>
    <t>Hashtag Holding B.V.</t>
  </si>
  <si>
    <t>Stichting Studeren/Werken op Maat</t>
  </si>
  <si>
    <t>2020-0796</t>
  </si>
  <si>
    <t>2024-1007</t>
  </si>
  <si>
    <t>2024-0106</t>
  </si>
  <si>
    <t>2024-1005</t>
  </si>
  <si>
    <t>2025-0030</t>
  </si>
  <si>
    <t>R190451</t>
  </si>
  <si>
    <t>2024-0945</t>
  </si>
  <si>
    <t>R190452</t>
  </si>
  <si>
    <t>102025-1096</t>
  </si>
  <si>
    <t>2020-0441</t>
  </si>
  <si>
    <t>R191110</t>
  </si>
  <si>
    <t>2020-0447</t>
  </si>
  <si>
    <t>2024-1008</t>
  </si>
  <si>
    <t>2020-0862</t>
  </si>
  <si>
    <t>RD5457</t>
  </si>
  <si>
    <t>102025-1091</t>
  </si>
  <si>
    <t>102026-0361</t>
  </si>
  <si>
    <t>Van Gils Onroerend Goed B.V.</t>
  </si>
  <si>
    <t>102025-1130</t>
  </si>
  <si>
    <t>2020-0301</t>
  </si>
  <si>
    <t>R190534</t>
  </si>
  <si>
    <t>102025-1099</t>
  </si>
  <si>
    <t>2020-0182</t>
  </si>
  <si>
    <t>2020-0183</t>
  </si>
  <si>
    <t>2025-0486</t>
  </si>
  <si>
    <t>2023-0746</t>
  </si>
  <si>
    <t>2020-0126</t>
  </si>
  <si>
    <t>1874</t>
  </si>
  <si>
    <t>R180173</t>
  </si>
  <si>
    <t>1726</t>
  </si>
  <si>
    <t>2021-0075</t>
  </si>
  <si>
    <t>2020-0232</t>
  </si>
  <si>
    <t>2024-1337</t>
  </si>
  <si>
    <t>R170285</t>
  </si>
  <si>
    <t>2020-0908</t>
  </si>
  <si>
    <t>2020-1043</t>
  </si>
  <si>
    <t>R190558</t>
  </si>
  <si>
    <t>R180522</t>
  </si>
  <si>
    <t>R190694</t>
  </si>
  <si>
    <t>Eye Tech International B.V.</t>
  </si>
  <si>
    <t>Payslip Ltd.</t>
  </si>
  <si>
    <t>R190691</t>
  </si>
  <si>
    <t>R190637</t>
  </si>
  <si>
    <t>2020-0909</t>
  </si>
  <si>
    <t>2023-0330</t>
  </si>
  <si>
    <t>R170081</t>
  </si>
  <si>
    <t>102025-0772</t>
  </si>
  <si>
    <t>102025-0872</t>
  </si>
  <si>
    <t>2021-0513</t>
  </si>
  <si>
    <t>102025-0711</t>
  </si>
  <si>
    <t>R190654</t>
  </si>
  <si>
    <t>2024-0710</t>
  </si>
  <si>
    <t>R190652</t>
  </si>
  <si>
    <t>R190638</t>
  </si>
  <si>
    <t>Year 2024</t>
  </si>
  <si>
    <t>2020-0244</t>
  </si>
  <si>
    <t>2020-0246</t>
  </si>
  <si>
    <t>2020-0241</t>
  </si>
  <si>
    <t>2025-0151</t>
  </si>
  <si>
    <t>2020-0243</t>
  </si>
  <si>
    <t>R190794</t>
  </si>
  <si>
    <t>2025-0042</t>
  </si>
  <si>
    <t>2025-0349</t>
  </si>
  <si>
    <t>R190791</t>
  </si>
  <si>
    <t>102026-0534</t>
  </si>
  <si>
    <t>1458</t>
  </si>
  <si>
    <t>2023-1286</t>
  </si>
  <si>
    <t>102025-1111</t>
  </si>
  <si>
    <t>2020-0275</t>
  </si>
  <si>
    <t>2023-1282</t>
  </si>
  <si>
    <t>2025-0358</t>
  </si>
  <si>
    <t>2024-0004</t>
  </si>
  <si>
    <t>102026-0141</t>
  </si>
  <si>
    <t>R190752</t>
  </si>
  <si>
    <t>R190738</t>
  </si>
  <si>
    <t>102025-1305</t>
  </si>
  <si>
    <t/>
  </si>
  <si>
    <t>2020-0766</t>
  </si>
  <si>
    <t>102025-0725</t>
  </si>
  <si>
    <t>Zengin Oglanlar Holding B.V.</t>
  </si>
  <si>
    <t>R170212</t>
  </si>
  <si>
    <t>102025-1191</t>
  </si>
  <si>
    <t>RD7225</t>
  </si>
  <si>
    <t>2024-0049</t>
  </si>
  <si>
    <t>2025-0279</t>
  </si>
  <si>
    <t>102025-1199</t>
  </si>
  <si>
    <t>102025-1198</t>
  </si>
  <si>
    <t>R190892</t>
  </si>
  <si>
    <t>102025-0572</t>
  </si>
  <si>
    <t>R190894</t>
  </si>
  <si>
    <t>R190897</t>
  </si>
  <si>
    <t>102025-0577</t>
  </si>
  <si>
    <t>2021-0314</t>
  </si>
  <si>
    <t>2021-0315</t>
  </si>
  <si>
    <t>2020-0026</t>
  </si>
  <si>
    <t>2020-0024</t>
  </si>
  <si>
    <t>2020-0023</t>
  </si>
  <si>
    <t>R190834</t>
  </si>
  <si>
    <t>102025-0510</t>
  </si>
  <si>
    <t>2024-1237</t>
  </si>
  <si>
    <t>2020-0046</t>
  </si>
  <si>
    <t>2024-1233</t>
  </si>
  <si>
    <t>2020-0028</t>
  </si>
  <si>
    <t>2021-1035</t>
  </si>
  <si>
    <t>2023-0957</t>
  </si>
  <si>
    <t>102026-0314</t>
  </si>
  <si>
    <t>Meat &amp; Chicken Forepark B.V.</t>
  </si>
  <si>
    <t>2024-0628</t>
  </si>
  <si>
    <t>102026-0142</t>
  </si>
  <si>
    <t>2023-0347</t>
  </si>
  <si>
    <t>R190170</t>
  </si>
  <si>
    <t>R190996</t>
  </si>
  <si>
    <t>2022-0032</t>
  </si>
  <si>
    <t>2024-0624</t>
  </si>
  <si>
    <t>102026-0245</t>
  </si>
  <si>
    <t>Stichting Antarctica Foundation</t>
  </si>
  <si>
    <t>R190934</t>
  </si>
  <si>
    <t>2020-0563</t>
  </si>
  <si>
    <t>R190937</t>
  </si>
  <si>
    <t>2020-0566</t>
  </si>
  <si>
    <t>2024-1329</t>
  </si>
  <si>
    <t>2020-0565</t>
  </si>
  <si>
    <t>2023-1042</t>
  </si>
  <si>
    <t>102025-1311</t>
  </si>
  <si>
    <t>R190956</t>
  </si>
  <si>
    <t>102026-0448</t>
  </si>
  <si>
    <t>1604</t>
  </si>
  <si>
    <t>2020-0324</t>
  </si>
  <si>
    <t>Stöcklin B.V.</t>
  </si>
  <si>
    <t>1654</t>
  </si>
  <si>
    <t>2024-0995</t>
  </si>
  <si>
    <t>2023-0443</t>
  </si>
  <si>
    <t>2024-0325</t>
  </si>
  <si>
    <t>Grefet Limited</t>
  </si>
  <si>
    <t>102025-1074</t>
  </si>
  <si>
    <t>2024-1094</t>
  </si>
  <si>
    <t>Elstgeest Ventures B.V.</t>
  </si>
  <si>
    <t>2024-1090</t>
  </si>
  <si>
    <t>R190279</t>
  </si>
  <si>
    <t>R190278</t>
  </si>
  <si>
    <t>Van Gils Holding B.V.</t>
  </si>
  <si>
    <t>2020-0669</t>
  </si>
  <si>
    <t>2022-0431</t>
  </si>
  <si>
    <t>102025-1257</t>
  </si>
  <si>
    <t>RD4530</t>
  </si>
  <si>
    <t>102025-0690</t>
  </si>
  <si>
    <t>RD5077</t>
  </si>
  <si>
    <t>2020-0137</t>
  </si>
  <si>
    <t>2023-0821</t>
  </si>
  <si>
    <t>102025-0981</t>
  </si>
  <si>
    <t>Lewis Fashion Group B.V.</t>
  </si>
  <si>
    <t>102025-1097</t>
  </si>
  <si>
    <t>2024-0420</t>
  </si>
  <si>
    <t>102025-1186</t>
  </si>
  <si>
    <t>2024-0424</t>
  </si>
  <si>
    <t>2024-0406</t>
  </si>
  <si>
    <t>102025-0638</t>
  </si>
  <si>
    <t>2023-0964</t>
  </si>
  <si>
    <t>2020-0361</t>
  </si>
  <si>
    <t>R191032</t>
  </si>
  <si>
    <t>RD5637</t>
  </si>
  <si>
    <t>R190995</t>
  </si>
  <si>
    <t>R191053</t>
  </si>
  <si>
    <t>102026-0182</t>
  </si>
  <si>
    <t>R191055</t>
  </si>
  <si>
    <t>Korput Consultancy B.V.</t>
  </si>
  <si>
    <t>1983</t>
  </si>
  <si>
    <t>Werken op Maat B.V.</t>
  </si>
  <si>
    <t>RD5079</t>
  </si>
  <si>
    <t>2025-0041</t>
  </si>
  <si>
    <t>2022-0374</t>
  </si>
  <si>
    <t>2024-0910</t>
  </si>
  <si>
    <t>2024-0967</t>
  </si>
  <si>
    <t>102025-0823</t>
  </si>
  <si>
    <t>2020-0180</t>
  </si>
  <si>
    <t>2024-0908</t>
  </si>
  <si>
    <t>2024-1127</t>
  </si>
  <si>
    <t>2020-0467</t>
  </si>
  <si>
    <t>90dagen</t>
  </si>
  <si>
    <t>2022-0513</t>
  </si>
  <si>
    <t>2020-0464</t>
  </si>
  <si>
    <t>2025-0118</t>
  </si>
  <si>
    <t>Work Secure Uitzendbureau</t>
  </si>
  <si>
    <t>2020-0125</t>
  </si>
  <si>
    <t>2020-0298</t>
  </si>
  <si>
    <t>102025-1053</t>
  </si>
  <si>
    <t>RD7990</t>
  </si>
  <si>
    <t>Rijks Invest B.V.</t>
  </si>
  <si>
    <t>102025-0496</t>
  </si>
  <si>
    <t>030dagen</t>
  </si>
  <si>
    <t>102026-0367</t>
  </si>
  <si>
    <t>2025-0384</t>
  </si>
  <si>
    <t>2024-0226</t>
  </si>
  <si>
    <t>2020-0986</t>
  </si>
  <si>
    <t>2025-0387</t>
  </si>
  <si>
    <t>2025-0380</t>
  </si>
  <si>
    <t>2024-0649</t>
  </si>
  <si>
    <t>2025-0382</t>
  </si>
  <si>
    <t>2024-1350</t>
  </si>
  <si>
    <t>2021-0010</t>
  </si>
  <si>
    <t>2020-0165</t>
  </si>
  <si>
    <t>2024-1353</t>
  </si>
  <si>
    <t>Auroria Pecunia B.V.</t>
  </si>
  <si>
    <t>102026-0257</t>
  </si>
  <si>
    <t>2024-1358</t>
  </si>
  <si>
    <t>Morpho AGRI I B.V.</t>
  </si>
  <si>
    <t>RD5198</t>
  </si>
  <si>
    <t>102026-0650</t>
  </si>
  <si>
    <t>102026-0468</t>
  </si>
  <si>
    <t>RD5681</t>
  </si>
  <si>
    <t>102025-0790</t>
  </si>
  <si>
    <t>102026-0210</t>
  </si>
  <si>
    <t>102025-0795</t>
  </si>
  <si>
    <t>RD5682</t>
  </si>
  <si>
    <t>2023-0044</t>
  </si>
  <si>
    <t>2025-0203</t>
  </si>
  <si>
    <t>2025-0482</t>
  </si>
  <si>
    <t>1684</t>
  </si>
  <si>
    <t>Rick Sandee Riooltechniek</t>
  </si>
  <si>
    <t>102025-1094</t>
  </si>
  <si>
    <t>2022-0935</t>
  </si>
  <si>
    <t>102025-1113</t>
  </si>
  <si>
    <t>2023-0862</t>
  </si>
  <si>
    <t>102026-0476</t>
  </si>
  <si>
    <t>2024-0083</t>
  </si>
  <si>
    <t>R190689</t>
  </si>
  <si>
    <t>2023-0030</t>
  </si>
  <si>
    <t>1720</t>
  </si>
  <si>
    <t>2022-0554</t>
  </si>
  <si>
    <t>Fair Audit</t>
  </si>
  <si>
    <t>2024-0666</t>
  </si>
  <si>
    <t>102025-0896</t>
  </si>
  <si>
    <t>R190181</t>
  </si>
  <si>
    <t>R190182</t>
  </si>
  <si>
    <t>2023-0528</t>
  </si>
  <si>
    <t>2024-0868</t>
  </si>
  <si>
    <t>102026-0048</t>
  </si>
  <si>
    <t>RD9998</t>
  </si>
  <si>
    <t>2024-1152</t>
  </si>
  <si>
    <t>2024-0809</t>
  </si>
  <si>
    <t>2024-1151</t>
  </si>
  <si>
    <t>102026-0246</t>
  </si>
  <si>
    <t>Definitief</t>
  </si>
  <si>
    <t>Hans van Rooij Consultancy</t>
  </si>
  <si>
    <t>2024-1159</t>
  </si>
  <si>
    <t>2025-0267</t>
  </si>
  <si>
    <t>2025-0119</t>
  </si>
  <si>
    <t>1868</t>
  </si>
  <si>
    <t>FCKLCK.STUDIO B.V.</t>
  </si>
  <si>
    <t>2021-0313</t>
  </si>
  <si>
    <t>2023-0627</t>
  </si>
  <si>
    <t>2025-0217</t>
  </si>
  <si>
    <t>2024-1125</t>
  </si>
  <si>
    <t>R190879</t>
  </si>
  <si>
    <t>2022-0756</t>
  </si>
  <si>
    <t>2020-0887</t>
  </si>
  <si>
    <t>2025-0281</t>
  </si>
  <si>
    <t>2024-1257</t>
  </si>
  <si>
    <t>2024-1256</t>
  </si>
  <si>
    <t>2020-0080</t>
  </si>
  <si>
    <t>Respublica B.V.</t>
  </si>
  <si>
    <t>2024-1253</t>
  </si>
  <si>
    <t>2020-0827</t>
  </si>
  <si>
    <t>2020-0826</t>
  </si>
  <si>
    <t>CodeAdministratie</t>
  </si>
  <si>
    <t>102026-0493</t>
  </si>
  <si>
    <t>2020-1114</t>
  </si>
  <si>
    <t>2024-1259</t>
  </si>
  <si>
    <t>102026-0496</t>
  </si>
  <si>
    <t>102026-0494</t>
  </si>
  <si>
    <t>102026-0495</t>
  </si>
  <si>
    <t>102026-0196</t>
  </si>
  <si>
    <t>102026-0473</t>
  </si>
  <si>
    <t>2022-1182</t>
  </si>
  <si>
    <t>2023-0320</t>
  </si>
  <si>
    <t>R190113</t>
  </si>
  <si>
    <t>R190114</t>
  </si>
  <si>
    <t>2022-0077</t>
  </si>
  <si>
    <t>RD5424</t>
  </si>
  <si>
    <t>102025-0879</t>
  </si>
  <si>
    <t>2021-1078</t>
  </si>
  <si>
    <t>102025-0877</t>
  </si>
  <si>
    <t>102025-0875</t>
  </si>
  <si>
    <t>2022-0832</t>
  </si>
  <si>
    <t>2022-1142</t>
  </si>
  <si>
    <t>102025-1095</t>
  </si>
  <si>
    <t>102025-0819</t>
  </si>
  <si>
    <t>102026-0651</t>
  </si>
  <si>
    <t>2022-1012</t>
  </si>
  <si>
    <t>2024-1046</t>
  </si>
  <si>
    <t>102025-0815</t>
  </si>
  <si>
    <t>102025-0812</t>
  </si>
  <si>
    <t>2022-0384</t>
  </si>
  <si>
    <t>2024-1332</t>
  </si>
  <si>
    <t>M.O. Multiservice</t>
  </si>
  <si>
    <t>2022-0553</t>
  </si>
  <si>
    <t>1650</t>
  </si>
  <si>
    <t>R190487</t>
  </si>
  <si>
    <t>2025-0087</t>
  </si>
  <si>
    <t>102025-0958</t>
  </si>
  <si>
    <t>2024-0669</t>
  </si>
  <si>
    <t>MBE Invest B.V.</t>
  </si>
  <si>
    <t>2025-0083</t>
  </si>
  <si>
    <t>RD8690</t>
  </si>
  <si>
    <t>2024-0192</t>
  </si>
  <si>
    <t>2024-1052</t>
  </si>
  <si>
    <t>R190488</t>
  </si>
  <si>
    <t>Rijks Investments B.V.</t>
  </si>
  <si>
    <t>RD4742</t>
  </si>
  <si>
    <t>RD4748</t>
  </si>
  <si>
    <t>102026-0295</t>
  </si>
  <si>
    <t>2021-0913</t>
  </si>
  <si>
    <t>Vereniging Young Professionals van de Stichting Studeren &amp; Werken op Maat</t>
  </si>
  <si>
    <t>102025-0902</t>
  </si>
  <si>
    <t>2021-0707</t>
  </si>
  <si>
    <t>102025-1214</t>
  </si>
  <si>
    <t>102025-1215</t>
  </si>
  <si>
    <t>102026-0275</t>
  </si>
  <si>
    <t>102025-1217</t>
  </si>
  <si>
    <t>102025-1210</t>
  </si>
  <si>
    <t>2022-0651</t>
  </si>
  <si>
    <t>102025-1213</t>
  </si>
  <si>
    <t>102025-0651</t>
  </si>
  <si>
    <t>102025-0653</t>
  </si>
  <si>
    <t>102026-0442</t>
  </si>
  <si>
    <t>2023-0716</t>
  </si>
  <si>
    <t>MEMO</t>
  </si>
  <si>
    <t>Troodos Services International B.V.</t>
  </si>
  <si>
    <t>102026-0085</t>
  </si>
  <si>
    <t>2024-0733</t>
  </si>
  <si>
    <t>102026-0597</t>
  </si>
  <si>
    <t>Moussaten Infra</t>
  </si>
  <si>
    <t>2022-1086</t>
  </si>
  <si>
    <t>102025-0634</t>
  </si>
  <si>
    <t>2024-0743</t>
  </si>
  <si>
    <t>Pijnex Internationationaal Transport</t>
  </si>
  <si>
    <t>R170407</t>
  </si>
  <si>
    <t>R170406</t>
  </si>
  <si>
    <t>R170405</t>
  </si>
  <si>
    <t>Van Noort Gassler &amp; Co. 's-Gravenhage B.V.</t>
  </si>
  <si>
    <t>2024-0678</t>
  </si>
  <si>
    <t>R190684</t>
  </si>
  <si>
    <t>102025-0979</t>
  </si>
  <si>
    <t>2024-0928</t>
  </si>
  <si>
    <t>2024-0795</t>
  </si>
  <si>
    <t>102026-0212</t>
  </si>
  <si>
    <t>102025-0972</t>
  </si>
  <si>
    <t>102025-0971</t>
  </si>
  <si>
    <t>102025-0970</t>
  </si>
  <si>
    <t>102026-0128</t>
  </si>
  <si>
    <t>Du Cap</t>
  </si>
  <si>
    <t>102025-0914</t>
  </si>
  <si>
    <t>102025-1070</t>
  </si>
  <si>
    <t>102026-0536</t>
  </si>
  <si>
    <t>102025-0923</t>
  </si>
  <si>
    <t>102026-0076</t>
  </si>
  <si>
    <t>102025-1078</t>
  </si>
  <si>
    <t>1108</t>
  </si>
  <si>
    <t>R190786</t>
  </si>
  <si>
    <t>RD8691</t>
  </si>
  <si>
    <t>2023-0511</t>
  </si>
  <si>
    <t>2022-0455</t>
  </si>
  <si>
    <t>102026-0351</t>
  </si>
  <si>
    <t>102025-1019</t>
  </si>
  <si>
    <t>2025-0346</t>
  </si>
  <si>
    <t>2024-0923</t>
  </si>
  <si>
    <t>102025-0672</t>
  </si>
  <si>
    <t>2025-0342</t>
  </si>
  <si>
    <t>2020-0516</t>
  </si>
  <si>
    <t>2024-1311</t>
  </si>
  <si>
    <t>BNK</t>
  </si>
  <si>
    <t>102026-0397</t>
  </si>
  <si>
    <t>1337</t>
  </si>
  <si>
    <t>2024-1333</t>
  </si>
  <si>
    <t>2020-0962</t>
  </si>
  <si>
    <t>R170126</t>
  </si>
  <si>
    <t>R191131</t>
  </si>
  <si>
    <t>R190952</t>
  </si>
  <si>
    <t>102025-1268</t>
  </si>
  <si>
    <t>RD5981</t>
  </si>
  <si>
    <t>102026-0399</t>
  </si>
  <si>
    <t>102025-1310</t>
  </si>
  <si>
    <t>102025-1313</t>
  </si>
  <si>
    <t>102025-1312</t>
  </si>
  <si>
    <t>2023-1208</t>
  </si>
  <si>
    <t>2024-1181</t>
  </si>
  <si>
    <t>Rwsolarclean</t>
  </si>
  <si>
    <t>102026-0378</t>
  </si>
  <si>
    <t>Vindure B.V.</t>
  </si>
  <si>
    <t>2023-0619</t>
  </si>
  <si>
    <t>R190880</t>
  </si>
  <si>
    <t>2025-0211</t>
  </si>
  <si>
    <t>2022-0975</t>
  </si>
  <si>
    <t>2024-0531</t>
  </si>
  <si>
    <t>2021-0306</t>
  </si>
  <si>
    <t>R170308</t>
  </si>
  <si>
    <t>102026-0034</t>
  </si>
  <si>
    <t>102026-0652</t>
  </si>
  <si>
    <t>2024-1214</t>
  </si>
  <si>
    <t>2021-0820</t>
  </si>
  <si>
    <t>102026-0656</t>
  </si>
  <si>
    <t>102026-0657</t>
  </si>
  <si>
    <t>Willems WorkShop</t>
  </si>
  <si>
    <t>102025-1187</t>
  </si>
  <si>
    <t>2020-0428</t>
  </si>
  <si>
    <t>102025-0811</t>
  </si>
  <si>
    <t>RD5339</t>
  </si>
  <si>
    <t>2023-1097</t>
  </si>
  <si>
    <t>2024-0828</t>
  </si>
  <si>
    <t>2025-0145</t>
  </si>
  <si>
    <t>102025-1300</t>
  </si>
  <si>
    <t>102025-0582</t>
  </si>
  <si>
    <t>2024-0822</t>
  </si>
  <si>
    <t>102026-0197</t>
  </si>
  <si>
    <t>2020-0843</t>
  </si>
  <si>
    <t>102026-0195</t>
  </si>
  <si>
    <t>2023-1059</t>
  </si>
  <si>
    <t>102026-0193</t>
  </si>
  <si>
    <t>102025-0654</t>
  </si>
  <si>
    <t>2020-0221</t>
  </si>
  <si>
    <t>102026-0190</t>
  </si>
  <si>
    <t>2023-1269</t>
  </si>
  <si>
    <t>102026-0176</t>
  </si>
  <si>
    <t>2024-0846</t>
  </si>
  <si>
    <t>102026-0199</t>
  </si>
  <si>
    <t>A.J.F. Jansen B.V.</t>
  </si>
  <si>
    <t>2023-0099</t>
  </si>
  <si>
    <t>2021-1084</t>
  </si>
  <si>
    <t>R190810</t>
  </si>
  <si>
    <t>2025-0245</t>
  </si>
  <si>
    <t>2025-0244</t>
  </si>
  <si>
    <t>102025-0558</t>
  </si>
  <si>
    <t>2024-1215</t>
  </si>
  <si>
    <t>2025-0240</t>
  </si>
  <si>
    <t>2025-0243</t>
  </si>
  <si>
    <t>2024-0337</t>
  </si>
  <si>
    <t>2024-0386</t>
  </si>
  <si>
    <t>2021-0815</t>
  </si>
  <si>
    <t>2025-0043</t>
  </si>
  <si>
    <t>R180498</t>
  </si>
  <si>
    <t>102026-0456</t>
  </si>
  <si>
    <t>102026-0454</t>
  </si>
  <si>
    <t>2020-1151</t>
  </si>
  <si>
    <t>2021-0108</t>
  </si>
  <si>
    <t>RD9897</t>
  </si>
  <si>
    <t>R180439</t>
  </si>
  <si>
    <t>Interlex</t>
  </si>
  <si>
    <t>2024-1281</t>
  </si>
  <si>
    <t>RD5080</t>
  </si>
  <si>
    <t>M.P. Polderdijk Holding B.V.</t>
  </si>
  <si>
    <t>102026-0436</t>
  </si>
  <si>
    <t>102026-0475</t>
  </si>
  <si>
    <t>102025-0685</t>
  </si>
  <si>
    <t>102025-0836</t>
  </si>
  <si>
    <t>102025-0687</t>
  </si>
  <si>
    <t>102025-0801</t>
  </si>
  <si>
    <t>1686</t>
  </si>
  <si>
    <t>1425</t>
  </si>
  <si>
    <t>102025-1061</t>
  </si>
  <si>
    <t>Amigo Top B.V.</t>
  </si>
  <si>
    <t>1636</t>
  </si>
  <si>
    <t>102025-0990</t>
  </si>
  <si>
    <t>1616</t>
  </si>
  <si>
    <t>102026-0035</t>
  </si>
  <si>
    <t>1676</t>
  </si>
  <si>
    <t>102026-0268</t>
  </si>
  <si>
    <t>2021-0312</t>
  </si>
  <si>
    <t>2022-0544</t>
  </si>
  <si>
    <t>102025-0689</t>
  </si>
  <si>
    <t>3160dagen</t>
  </si>
  <si>
    <t>2021-1006</t>
  </si>
  <si>
    <t>2021-0781</t>
  </si>
  <si>
    <t>102025-0578</t>
  </si>
  <si>
    <t>2021-0784</t>
  </si>
  <si>
    <t>Boekingsstatus</t>
  </si>
  <si>
    <t>102026-0545</t>
  </si>
  <si>
    <t>2024-1016</t>
  </si>
  <si>
    <t>R191142</t>
  </si>
  <si>
    <t>2024-0132</t>
  </si>
  <si>
    <t>2023-0542</t>
  </si>
  <si>
    <t>2023-0791</t>
  </si>
  <si>
    <t>102026-0254</t>
  </si>
  <si>
    <t>American Soulfood</t>
  </si>
  <si>
    <t>2024-0886</t>
  </si>
  <si>
    <t>102025-1230</t>
  </si>
  <si>
    <t>102025-1231</t>
  </si>
  <si>
    <t>2024-1019</t>
  </si>
  <si>
    <t>Grand Total</t>
  </si>
  <si>
    <t>Sum of Saldo1</t>
  </si>
  <si>
    <t>Data</t>
  </si>
  <si>
    <t>Sum of 030dagen</t>
  </si>
  <si>
    <t>Sum of 3160dagen</t>
  </si>
  <si>
    <t>Sum of 6190dagen</t>
  </si>
  <si>
    <t>Sum of 90dagen</t>
  </si>
  <si>
    <t>High Priority Customers</t>
  </si>
  <si>
    <t>Total outstanding balance</t>
  </si>
  <si>
    <t>Oldest invoice</t>
  </si>
  <si>
    <t>Last contact date</t>
  </si>
  <si>
    <t>Reason not paid (if known)</t>
  </si>
  <si>
    <t>Owner (finance / account manager)</t>
  </si>
  <si>
    <t>Last update:</t>
  </si>
  <si>
    <t>A.J.F. Jansen B.V. Total</t>
  </si>
  <si>
    <t>AirFlow Luchtkanalen B.V. Total</t>
  </si>
  <si>
    <t>American Soulfood Total</t>
  </si>
  <si>
    <t>Amigo Top B.V. Total</t>
  </si>
  <si>
    <t>Auroria Pecunia B.V. Total</t>
  </si>
  <si>
    <t>Autobedrijf Tinga &amp; Zn Total</t>
  </si>
  <si>
    <t>Autodemontagebedrijf Th. van Gils B.V. Total</t>
  </si>
  <si>
    <t>B. Jeddi Total</t>
  </si>
  <si>
    <t>Bats Total</t>
  </si>
  <si>
    <t>Bense Bouw B.V. Total</t>
  </si>
  <si>
    <t>Bladi shop Total</t>
  </si>
  <si>
    <t>By Lauyaju Total</t>
  </si>
  <si>
    <t>C. Gray Total</t>
  </si>
  <si>
    <t>Coffeeshop Dizzy Duck B.V. Total</t>
  </si>
  <si>
    <t>Coöperatieve Vijftientien U.A. Total</t>
  </si>
  <si>
    <t>Deel 2 Total</t>
  </si>
  <si>
    <t>Deelman Holding B.V. Total</t>
  </si>
  <si>
    <t>Deelman Timmerwerken B.V. Total</t>
  </si>
  <si>
    <t>DreamersInc Total</t>
  </si>
  <si>
    <t>Du Cap Total</t>
  </si>
  <si>
    <t>Duckies B.V. Total</t>
  </si>
  <si>
    <t>Einhaus Beheer B.V. Total</t>
  </si>
  <si>
    <t>Einhaus Holding B.V. Total</t>
  </si>
  <si>
    <t>Elm Finance B.V. Total</t>
  </si>
  <si>
    <t>Elstgeest Ventures B.V. Total</t>
  </si>
  <si>
    <t>Eye Tech International B.V. Total</t>
  </si>
  <si>
    <t>Fair Audit Total</t>
  </si>
  <si>
    <t>FCKLCK.STUDIO B.V. Total</t>
  </si>
  <si>
    <t>FTOU B.V. Total</t>
  </si>
  <si>
    <t>G8plus B.V. Total</t>
  </si>
  <si>
    <t>Gaoui Beheer B.V. Total</t>
  </si>
  <si>
    <t>Grefet Limited Total</t>
  </si>
  <si>
    <t>H. van der  Waal Total</t>
  </si>
  <si>
    <t>Hans van Rooij Consultancy Total</t>
  </si>
  <si>
    <t>Happy B.V. Total</t>
  </si>
  <si>
    <t>Hashtag Holding B.V. Total</t>
  </si>
  <si>
    <t>Heron Groep B.V. Total</t>
  </si>
  <si>
    <t>Hooimani El M'Barki Real Estate B.V. Total</t>
  </si>
  <si>
    <t>Intelligence Group B.V. Total</t>
  </si>
  <si>
    <t>Interlex Total</t>
  </si>
  <si>
    <t>JPA Van Noort Gassler &amp; Co B.V. Total</t>
  </si>
  <si>
    <t>Kipcentrum Forepark B.V. Total</t>
  </si>
  <si>
    <t>Knowdis B.V. Total</t>
  </si>
  <si>
    <t>Korput Consultancy B.V. Total</t>
  </si>
  <si>
    <t>Korswill NL Total</t>
  </si>
  <si>
    <t>Kraskino Consultants Ltd. Total</t>
  </si>
  <si>
    <t>Kumkol Restructuring B.V. Total</t>
  </si>
  <si>
    <t>L. van Schaik Holding B.V. Total</t>
  </si>
  <si>
    <t>Lelie Engineering Total</t>
  </si>
  <si>
    <t>Levels Diagnostics B.V. Total</t>
  </si>
  <si>
    <t>Lewis Fashion Group B.V. Total</t>
  </si>
  <si>
    <t>Limits-Consulting B.V. Total</t>
  </si>
  <si>
    <t>Looqa B.V. Total</t>
  </si>
  <si>
    <t>LUKOIL International Upstream Holdings B.V. Total</t>
  </si>
  <si>
    <t>M.O. Multiservice Total</t>
  </si>
  <si>
    <t>M.P. Harten Total</t>
  </si>
  <si>
    <t>M.P. Polderdijk Holding B.V. Total</t>
  </si>
  <si>
    <t>Manfred Spaargaren Confiserie Total</t>
  </si>
  <si>
    <t>Mavi infra Total</t>
  </si>
  <si>
    <t>MBE Invest B.V. Total</t>
  </si>
  <si>
    <t>Meat &amp; Chicken Forepark B.V. Total</t>
  </si>
  <si>
    <t>Meydanim Den Haag B.V. Total</t>
  </si>
  <si>
    <t>Morpho AGRI I B.V. Total</t>
  </si>
  <si>
    <t>Morpho Holding B.V. Total</t>
  </si>
  <si>
    <t>Moussaten Infra Total</t>
  </si>
  <si>
    <t>NEVE Trans B.V. Total</t>
  </si>
  <si>
    <t>New Learning Factory B.V. Total</t>
  </si>
  <si>
    <t>NL Working Capital B.V. Total</t>
  </si>
  <si>
    <t>Paragon 28 Medical Devices Trading Limited Total</t>
  </si>
  <si>
    <t>Patrick van Gils Beheer B.V. Total</t>
  </si>
  <si>
    <t>Payslip Ltd. Total</t>
  </si>
  <si>
    <t>Pijnex Internationationaal Transport Total</t>
  </si>
  <si>
    <t>Plaats22 Total</t>
  </si>
  <si>
    <t>R.A.U. Juchter van Bergen Quast B.V. Total</t>
  </si>
  <si>
    <t>Ray Consultancy B.V. Total</t>
  </si>
  <si>
    <t>Respublica B.V. Total</t>
  </si>
  <si>
    <t>Rick Sandee Riooltechniek Total</t>
  </si>
  <si>
    <t>Rijks Invest B.V. Total</t>
  </si>
  <si>
    <t>Rijks Investments B.V. Total</t>
  </si>
  <si>
    <t>RJD Infra Total</t>
  </si>
  <si>
    <t>RMA Loodgieter Total</t>
  </si>
  <si>
    <t>Rob Hotting Art &amp; Concept Total</t>
  </si>
  <si>
    <t>Rwsolarclean Total</t>
  </si>
  <si>
    <t>Serviceheroes B.V. Total</t>
  </si>
  <si>
    <t>Stichting Antarctica Foundation Total</t>
  </si>
  <si>
    <t>Stichting Micu Zuidwest Nederland Total</t>
  </si>
  <si>
    <t>Stichting Studeren/Werken op Maat Total</t>
  </si>
  <si>
    <t>Stichting Werken Op Maat. Total</t>
  </si>
  <si>
    <t>Stichting Zwitserse Kamer van Koophandel in Nederland Total</t>
  </si>
  <si>
    <t>Stöcklin B.V. Total</t>
  </si>
  <si>
    <t>STUUR! Total</t>
  </si>
  <si>
    <t>TelePlusGSM Retail B.V. Total</t>
  </si>
  <si>
    <t>TOFF concept Total</t>
  </si>
  <si>
    <t>Tradeplus24 Nederland B.V. Total</t>
  </si>
  <si>
    <t>Troodos Services International B.V. Total</t>
  </si>
  <si>
    <t>Ultramar Agency LTD Total</t>
  </si>
  <si>
    <t>Valet Parkeer Service Total</t>
  </si>
  <si>
    <t>Van Bergen 1795 B.V. Total</t>
  </si>
  <si>
    <t>Van Gils Holding B.V. Total</t>
  </si>
  <si>
    <t>Van Gils Onroerend Goed B.V. Total</t>
  </si>
  <si>
    <t>Van Noort Gassler &amp; Co. Haarlem B.V. Total</t>
  </si>
  <si>
    <t>Van Noort Gassler &amp; Co. 's-Gravenhage B.V. Total</t>
  </si>
  <si>
    <t>Van Schaik Vleesverwerking Total</t>
  </si>
  <si>
    <t>Vereniging Young Professionals van de Stichting Studeren &amp; Werken op Maat Total</t>
  </si>
  <si>
    <t>Vincent van der Weijden Holding B.V. Total</t>
  </si>
  <si>
    <t>VOF T.H. Thio en T.H. Thio-Ong Total</t>
  </si>
  <si>
    <t>Werken op Maat B.V. Total</t>
  </si>
  <si>
    <t>Willems WorkShop Total</t>
  </si>
  <si>
    <t>Work Secure Uitzendbureau Total</t>
  </si>
  <si>
    <t>Year 2024 Total</t>
  </si>
  <si>
    <t>Yepmedia B.V. Total</t>
  </si>
  <si>
    <t>Z &amp; S Sales and Marketing B.V. Total</t>
  </si>
  <si>
    <t>Zapateros B.V. Total</t>
  </si>
  <si>
    <t>Zengin Oglanlar Holding B.V. Total</t>
  </si>
  <si>
    <t>Zentrex Capital B.V. Total</t>
  </si>
  <si>
    <t>Zorlu Infra Total</t>
  </si>
  <si>
    <t>Action Item</t>
  </si>
  <si>
    <t>Deurwaarder</t>
  </si>
  <si>
    <t>Payment Agreement</t>
  </si>
  <si>
    <t>Customer</t>
  </si>
  <si>
    <t>Invoice</t>
  </si>
  <si>
    <t>Issue (missing PO, incorrect billing, etc.)</t>
  </si>
  <si>
    <t>Owner</t>
  </si>
  <si>
    <t>Deadline (max 5 days resolution)</t>
  </si>
  <si>
    <t>Payment agreement set-up - we need to update the monthly payment from 1k to 3k</t>
  </si>
  <si>
    <t>No action needed</t>
  </si>
  <si>
    <t>Payment agreement set up</t>
  </si>
  <si>
    <t>to check if payment is updated</t>
  </si>
  <si>
    <t>No action needed; No reminder needed.</t>
  </si>
  <si>
    <t>Deurwaarder BE - navragen</t>
  </si>
  <si>
    <t>To Edwin</t>
  </si>
  <si>
    <t>to deurwaarder</t>
  </si>
  <si>
    <t>To deurwaarder</t>
  </si>
  <si>
    <t>Row Labels</t>
  </si>
  <si>
    <t>(blank)</t>
  </si>
  <si>
    <t>Count of NaamDebiteur</t>
  </si>
  <si>
    <t>Days outstanding</t>
  </si>
  <si>
    <t>Sum of Total outstanding balance</t>
  </si>
  <si>
    <t>JPA</t>
  </si>
  <si>
    <t>VNG</t>
  </si>
  <si>
    <t>Email - Nice email</t>
  </si>
  <si>
    <t>Email - Strickt email</t>
  </si>
  <si>
    <t>Email - Standard</t>
  </si>
  <si>
    <t>Remarks</t>
  </si>
  <si>
    <t>Shaira Castillo-Vierneza</t>
  </si>
  <si>
    <t>Quirin Nieuwenhuizen</t>
  </si>
  <si>
    <t>Betty Kieboom</t>
  </si>
  <si>
    <t>Edwin Mafficioli del Castelletto</t>
  </si>
  <si>
    <t>Laura Vet-van Waart</t>
  </si>
  <si>
    <t>Dave Nahar</t>
  </si>
  <si>
    <t>Laurens Nijssen</t>
  </si>
  <si>
    <t>Nowshin Jahan</t>
  </si>
  <si>
    <t>Marcel Meerman</t>
  </si>
  <si>
    <t>for checking</t>
  </si>
  <si>
    <t>Total</t>
  </si>
  <si>
    <t>Betty Kieboom Total</t>
  </si>
  <si>
    <t>Dave Nahar Total</t>
  </si>
  <si>
    <t>Edwin Mafficioli del Castelletto Total</t>
  </si>
  <si>
    <t>for checking Total</t>
  </si>
  <si>
    <t>Laura Vet-van Waart Total</t>
  </si>
  <si>
    <t>Laurens Nijssen Total</t>
  </si>
  <si>
    <t>Marcel Meerman Total</t>
  </si>
  <si>
    <t>Nowshin Jahan Total</t>
  </si>
  <si>
    <t>Quirin Nieuwenhuizen Total</t>
  </si>
  <si>
    <t>Shaira Castillo-Vierneza Total</t>
  </si>
  <si>
    <t>(blank) Total</t>
  </si>
  <si>
    <t>1455</t>
  </si>
  <si>
    <t>FYMH B.V.</t>
  </si>
  <si>
    <t>102026-0096</t>
  </si>
  <si>
    <t>102026-0203</t>
  </si>
  <si>
    <t>102026-0322</t>
  </si>
  <si>
    <t>102026-0366</t>
  </si>
  <si>
    <t>102026-0472</t>
  </si>
  <si>
    <t>102026-0601</t>
  </si>
  <si>
    <t>FYMH B.V. Total</t>
  </si>
  <si>
    <t>Call date</t>
  </si>
  <si>
    <t>Commitment</t>
  </si>
  <si>
    <t>Amount</t>
  </si>
  <si>
    <t>Follow-up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</si>
</sst>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3409]dd\-mmm\-yy;@"/>
    <numFmt numFmtId="165" formatCode="_ [$€-413]\ * #,##0.00_ ;_ [$€-413]\ * \-#,##0.00_ ;_ [$€-413]\ * &quot;-&quot;??_ ;_ @_ "/>
    <numFmt numFmtId="166" formatCode="[$€-413]\ #,##0.00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43" fontId="0" fillId="0" borderId="0" xfId="1" applyFont="1">
      <alignment vertical="center"/>
    </xf>
    <xf numFmtId="0" fontId="2" fillId="0" borderId="0" xfId="0" applyFont="1">
      <alignment vertical="center"/>
    </xf>
    <xf numFmtId="43" fontId="2" fillId="0" borderId="0" xfId="1" applyFont="1">
      <alignment vertical="center"/>
    </xf>
    <xf numFmtId="164" fontId="0" fillId="0" borderId="0" xfId="1" applyNumberFormat="1" applyFont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14" fontId="0" fillId="0" borderId="1" xfId="0" applyNumberFormat="1" applyBorder="1">
      <alignment vertical="center"/>
    </xf>
    <xf numFmtId="1" fontId="0" fillId="0" borderId="0" xfId="0" applyNumberFormat="1">
      <alignment vertical="center"/>
    </xf>
    <xf numFmtId="1" fontId="0" fillId="3" borderId="0" xfId="0" applyNumberFormat="1" applyFill="1">
      <alignment vertical="center"/>
    </xf>
    <xf numFmtId="0" fontId="2" fillId="4" borderId="1" xfId="0" applyFont="1" applyFill="1" applyBorder="1">
      <alignment vertical="center"/>
    </xf>
    <xf numFmtId="164" fontId="0" fillId="0" borderId="0" xfId="0" applyNumberFormat="1">
      <alignment vertical="center"/>
    </xf>
    <xf numFmtId="164" fontId="2" fillId="0" borderId="0" xfId="0" applyNumberFormat="1" applyFont="1">
      <alignment vertical="center"/>
    </xf>
    <xf numFmtId="164" fontId="0" fillId="2" borderId="0" xfId="0" applyNumberFormat="1" applyFill="1">
      <alignment vertical="center"/>
    </xf>
    <xf numFmtId="0" fontId="0" fillId="2" borderId="0" xfId="0" applyFill="1">
      <alignment vertical="center"/>
    </xf>
    <xf numFmtId="165" fontId="0" fillId="0" borderId="0" xfId="1" applyNumberFormat="1" applyFont="1">
      <alignment vertical="center"/>
    </xf>
    <xf numFmtId="165" fontId="2" fillId="0" borderId="0" xfId="1" applyNumberFormat="1" applyFont="1">
      <alignment vertical="center"/>
    </xf>
    <xf numFmtId="165" fontId="0" fillId="2" borderId="0" xfId="1" applyNumberFormat="1" applyFont="1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65" fontId="0" fillId="0" borderId="0" xfId="0" applyNumberFormat="1">
      <alignment vertical="center"/>
    </xf>
    <xf numFmtId="0" fontId="0" fillId="3" borderId="0" xfId="0" applyFill="1">
      <alignment vertical="center"/>
    </xf>
    <xf numFmtId="165" fontId="0" fillId="3" borderId="0" xfId="0" applyNumberFormat="1" applyFill="1">
      <alignment vertical="center"/>
    </xf>
    <xf numFmtId="166" fontId="0" fillId="0" borderId="1" xfId="0" pivotButton="1" applyNumberFormat="1" applyBorder="1">
      <alignment vertical="center"/>
    </xf>
    <xf numFmtId="166" fontId="0" fillId="0" borderId="2" xfId="0" applyNumberFormat="1" applyBorder="1">
      <alignment vertical="center"/>
    </xf>
    <xf numFmtId="166" fontId="0" fillId="0" borderId="3" xfId="0" applyNumberFormat="1" applyBorder="1">
      <alignment vertical="center"/>
    </xf>
    <xf numFmtId="166" fontId="2" fillId="4" borderId="1" xfId="0" applyNumberFormat="1" applyFont="1" applyFill="1" applyBorder="1">
      <alignment vertical="center"/>
    </xf>
    <xf numFmtId="166" fontId="2" fillId="4" borderId="7" xfId="0" applyNumberFormat="1" applyFont="1" applyFill="1" applyBorder="1">
      <alignment vertical="center"/>
    </xf>
    <xf numFmtId="166" fontId="2" fillId="4" borderId="5" xfId="0" applyNumberFormat="1" applyFont="1" applyFill="1" applyBorder="1">
      <alignment vertical="center"/>
    </xf>
    <xf numFmtId="166" fontId="0" fillId="0" borderId="1" xfId="0" applyNumberFormat="1" applyBorder="1">
      <alignment vertical="center"/>
    </xf>
    <xf numFmtId="166" fontId="0" fillId="0" borderId="7" xfId="0" applyNumberFormat="1" applyBorder="1">
      <alignment vertical="center"/>
    </xf>
    <xf numFmtId="166" fontId="0" fillId="0" borderId="5" xfId="0" applyNumberFormat="1" applyBorder="1">
      <alignment vertical="center"/>
    </xf>
    <xf numFmtId="166" fontId="0" fillId="3" borderId="1" xfId="0" applyNumberFormat="1" applyFill="1" applyBorder="1">
      <alignment vertical="center"/>
    </xf>
    <xf numFmtId="166" fontId="0" fillId="3" borderId="7" xfId="0" applyNumberFormat="1" applyFill="1" applyBorder="1">
      <alignment vertical="center"/>
    </xf>
    <xf numFmtId="166" fontId="0" fillId="3" borderId="5" xfId="0" applyNumberFormat="1" applyFill="1" applyBorder="1">
      <alignment vertical="center"/>
    </xf>
    <xf numFmtId="166" fontId="0" fillId="0" borderId="4" xfId="0" applyNumberFormat="1" applyBorder="1">
      <alignment vertical="center"/>
    </xf>
    <xf numFmtId="166" fontId="0" fillId="0" borderId="8" xfId="0" applyNumberFormat="1" applyBorder="1">
      <alignment vertical="center"/>
    </xf>
    <xf numFmtId="166" fontId="0" fillId="0" borderId="6" xfId="0" applyNumberFormat="1" applyBorder="1">
      <alignment vertical="center"/>
    </xf>
    <xf numFmtId="166" fontId="0" fillId="0" borderId="0" xfId="0" applyNumberFormat="1">
      <alignment vertical="center"/>
    </xf>
    <xf numFmtId="166" fontId="0" fillId="0" borderId="0" xfId="1" applyNumberFormat="1" applyFont="1">
      <alignment vertical="center"/>
    </xf>
    <xf numFmtId="165" fontId="0" fillId="0" borderId="0" xfId="1" applyNumberFormat="1" applyFont="1" applyFill="1">
      <alignment vertical="center"/>
    </xf>
    <xf numFmtId="0" fontId="0" fillId="0" borderId="0" xfId="0" applyNumberFormat="1">
      <alignment vertical="center"/>
    </xf>
  </cellXfs>
  <cellStyles count="2">
    <cellStyle name="Comma" xfId="1" builtinId="3"/>
    <cellStyle name="Normal" xfId="0" builtinId="0"/>
  </cellStyles>
  <dxfs count="31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4" tint="0.79998168889431442"/>
        </patternFill>
      </fill>
    </dxf>
    <dxf>
      <alignment wrapText="1"/>
    </dxf>
    <dxf>
      <fill>
        <patternFill patternType="solid">
          <bgColor theme="4" tint="0.79998168889431442"/>
        </patternFill>
      </fill>
    </dxf>
    <dxf>
      <alignment wrapText="1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166" formatCode="[$€-413]\ #,##0.00"/>
    </dxf>
    <dxf>
      <numFmt numFmtId="166" formatCode="[$€-413]\ #,##0.00"/>
    </dxf>
    <dxf>
      <numFmt numFmtId="166" formatCode="[$€-413]\ #,##0.00"/>
    </dxf>
    <dxf>
      <numFmt numFmtId="166" formatCode="[$€-413]\ #,##0.00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70.539864004626" createdVersion="8" refreshedVersion="8" recordCount="1073" xr:uid="{EEA70F54-D12F-4B22-8CA4-44E8D779F24F}">
  <cacheSource type="worksheet">
    <worksheetSource ref="A1:P1074" sheet="Ouderdomsanalyseperdebiteur"/>
  </cacheSource>
  <cacheFields count="19">
    <cacheField name="CodeAdministratie" numFmtId="0">
      <sharedItems/>
    </cacheField>
    <cacheField name="NaamAdministratie" numFmtId="0">
      <sharedItems/>
    </cacheField>
    <cacheField name="CodeDebiteur" numFmtId="0">
      <sharedItems/>
    </cacheField>
    <cacheField name="NaamDebiteur" numFmtId="0">
      <sharedItems count="120">
        <s v="Van Noort Gassler &amp; Co. 's-Gravenhage B.V."/>
        <s v="Van Noort Gassler &amp; Co. Haarlem B.V."/>
        <s v="JPA Van Noort Gassler &amp; Co B.V."/>
        <s v="Pijnex Internationationaal Transport"/>
        <s v="Autodemontagebedrijf Th. van Gils B.V."/>
        <s v="Van Gils Onroerend Goed B.V."/>
        <s v="Van Gils Holding B.V."/>
        <s v="Patrick van Gils Beheer B.V."/>
        <s v="NEVE Trans B.V."/>
        <s v="Kraskino Consultants Ltd."/>
        <s v="Stichting Studeren/Werken op Maat"/>
        <s v="Stichting Werken Op Maat."/>
        <s v="Looqa B.V."/>
        <s v="Vereniging Young Professionals van de Stichting Studeren &amp; Werken op Maat"/>
        <s v="FYMH B.V."/>
        <s v="Hashtag Holding B.V."/>
        <s v="Rwsolarclean"/>
        <s v="Zapateros B.V."/>
        <s v="Willems WorkShop"/>
        <s v="Korput Consultancy B.V."/>
        <s v="A.J.F. Jansen B.V."/>
        <s v="M.O. Multiservice"/>
        <s v="Gaoui Beheer B.V."/>
        <s v="Bladi shop"/>
        <s v="Mavi infra"/>
        <s v="Einhaus Holding B.V."/>
        <s v="Einhaus Beheer B.V."/>
        <s v="New Learning Factory B.V."/>
        <s v="Knowdis B.V."/>
        <s v="TOFF concept"/>
        <s v="By Lauyaju"/>
        <s v="Rick Sandee Riooltechniek"/>
        <s v="B. Jeddi"/>
        <s v="Eye Tech International B.V."/>
        <s v="TelePlusGSM Retail B.V."/>
        <s v="M.P. Polderdijk Holding B.V."/>
        <s v="American Soulfood"/>
        <s v="Deel 2"/>
        <s v="R.A.U. Juchter van Bergen Quast B.V."/>
        <s v="Interlex"/>
        <s v="Zorlu Infra"/>
        <s v="Moussaten Infra"/>
        <s v="G8plus B.V."/>
        <s v="M.P. Harten"/>
        <s v="Bense Bouw B.V."/>
        <s v="Manfred Spaargaren Confiserie"/>
        <s v="RJD Infra"/>
        <s v="Work Secure Uitzendbureau"/>
        <s v="Payslip Ltd."/>
        <s v="Paragon 28 Medical Devices Trading Limited"/>
        <s v="Bats"/>
        <s v="Du Cap"/>
        <s v="FTOU B.V."/>
        <s v="Z &amp; S Sales and Marketing B.V."/>
        <s v="Ray Consultancy B.V."/>
        <s v="Rob Hotting Art &amp; Concept"/>
        <s v="Yepmedia B.V."/>
        <s v="Serviceheroes B.V."/>
        <s v="Zengin Oglanlar Holding B.V."/>
        <s v="Meydanim Den Haag B.V."/>
        <s v="Elstgeest Ventures B.V."/>
        <s v="Valet Parkeer Service"/>
        <s v="VOF T.H. Thio en T.H. Thio-Ong"/>
        <s v="Stichting Micu Zuidwest Nederland"/>
        <s v="Tradeplus24 Nederland B.V."/>
        <s v="NL Working Capital B.V."/>
        <s v="Levels Diagnostics B.V."/>
        <s v="Elm Finance B.V."/>
        <s v="LUKOIL International Upstream Holdings B.V."/>
        <s v="Troodos Services International B.V."/>
        <s v="Kumkol Restructuring B.V."/>
        <s v="FCKLCK.STUDIO B.V."/>
        <s v="AirFlow Luchtkanalen B.V."/>
        <s v="Respublica B.V."/>
        <s v="Happy B.V."/>
        <s v="Lelie Engineering"/>
        <s v="Ultramar Agency LTD"/>
        <s v="Werken op Maat B.V."/>
        <s v="Coffeeshop Dizzy Duck B.V."/>
        <s v="Duckies B.V."/>
        <s v="Auroria Pecunia B.V."/>
        <s v="Deelman Timmerwerken B.V."/>
        <s v="Deelman Holding B.V."/>
        <s v="Rijks Invest B.V."/>
        <s v="Coöperatieve Vijftientien U.A."/>
        <s v="Stöcklin B.V."/>
        <s v="Van Bergen 1795 B.V."/>
        <s v="Zentrex Capital B.V."/>
        <s v="MBE Invest B.V."/>
        <s v="Lewis Fashion Group B.V."/>
        <s v="Vincent van der Weijden Holding B.V."/>
        <s v="Intelligence Group B.V."/>
        <s v="Meat &amp; Chicken Forepark B.V."/>
        <s v="Kipcentrum Forepark B.V."/>
        <s v="Heron Groep B.V."/>
        <s v="Amigo Top B.V."/>
        <s v="Hooimani El M'Barki Real Estate B.V."/>
        <s v="Morpho Holding B.V."/>
        <s v="Morpho AGRI I B.V."/>
        <s v="Stichting Antarctica Foundation"/>
        <s v="Korswill NL"/>
        <s v="Van Schaik Vleesverwerking"/>
        <s v="Year 2024"/>
        <s v="STUUR!"/>
        <s v="RMA Loodgieter"/>
        <s v="Autobedrijf Tinga &amp; Zn"/>
        <s v="DreamersInc"/>
        <s v="C. Gray"/>
        <s v="Plaats22"/>
        <s v="Rijks Investments B.V."/>
        <s v="L. van Schaik Holding B.V."/>
        <s v="Limits-Consulting B.V."/>
        <s v="Fair Audit"/>
        <s v="H. van der  Waal"/>
        <s v="Grefet Limited"/>
        <s v="Stichting Zwitserse Kamer van Koophandel in Nederland"/>
        <s v="Hans van Rooij Consultancy"/>
        <s v="Van Noort Gassler &amp; Co. Utrecht B.V." u="1"/>
        <s v="Sollors &amp; Co. (GmbH) &amp; Co. KG)" u="1"/>
        <s v="Vindure B.V." u="1"/>
      </sharedItems>
    </cacheField>
    <cacheField name="Code" numFmtId="0">
      <sharedItems/>
    </cacheField>
    <cacheField name="Boekdatum" numFmtId="14">
      <sharedItems containsSemiMixedTypes="0" containsNonDate="0" containsDate="1" containsString="0" minDate="2017-02-02T00:00:00" maxDate="2026-05-08T00:00:00"/>
    </cacheField>
    <cacheField name="Vervaldatum" numFmtId="14">
      <sharedItems containsSemiMixedTypes="0" containsNonDate="0" containsDate="1" containsString="0" minDate="2017-03-04T00:00:00" maxDate="2026-05-22T00:00:00" count="393">
        <d v="2022-10-29T00:00:00"/>
        <d v="2023-06-24T00:00:00"/>
        <d v="2019-09-12T00:00:00"/>
        <d v="2019-10-27T00:00:00"/>
        <d v="2019-12-05T00:00:00"/>
        <d v="2020-01-09T00:00:00"/>
        <d v="2020-01-22T00:00:00"/>
        <d v="2020-01-30T00:00:00"/>
        <d v="2020-03-05T00:00:00"/>
        <d v="2020-04-02T00:00:00"/>
        <d v="2020-05-07T00:00:00"/>
        <d v="2020-05-31T00:00:00"/>
        <d v="2020-06-05T00:00:00"/>
        <d v="2020-07-02T00:00:00"/>
        <d v="2020-07-31T00:00:00"/>
        <d v="2020-09-03T00:00:00"/>
        <d v="2020-10-01T00:00:00"/>
        <d v="2020-11-05T00:00:00"/>
        <d v="2020-12-03T00:00:00"/>
        <d v="2020-12-31T00:00:00"/>
        <d v="2021-01-02T00:00:00"/>
        <d v="2021-02-06T00:00:00"/>
        <d v="2021-03-18T00:00:00"/>
        <d v="2021-04-01T00:00:00"/>
        <d v="2021-04-30T00:00:00"/>
        <d v="2021-06-03T00:00:00"/>
        <d v="2021-07-01T00:00:00"/>
        <d v="2021-07-31T00:00:00"/>
        <d v="2021-09-03T00:00:00"/>
        <d v="2021-10-09T00:00:00"/>
        <d v="2021-10-31T00:00:00"/>
        <d v="2021-11-14T00:00:00"/>
        <d v="2021-12-03T00:00:00"/>
        <d v="2022-01-01T00:00:00"/>
        <d v="2022-02-11T00:00:00"/>
        <d v="2022-03-06T00:00:00"/>
        <d v="2022-04-07T00:00:00"/>
        <d v="2022-05-07T00:00:00"/>
        <d v="2022-06-02T00:00:00"/>
        <d v="2022-07-02T00:00:00"/>
        <d v="2022-07-20T00:00:00"/>
        <d v="2022-08-11T00:00:00"/>
        <d v="2022-09-03T00:00:00"/>
        <d v="2022-10-08T00:00:00"/>
        <d v="2022-11-02T00:00:00"/>
        <d v="2022-12-03T00:00:00"/>
        <d v="2022-12-14T00:00:00"/>
        <d v="2022-12-17T00:00:00"/>
        <d v="2022-12-31T00:00:00"/>
        <d v="2023-02-15T00:00:00"/>
        <d v="2023-03-10T00:00:00"/>
        <d v="2023-04-05T00:00:00"/>
        <d v="2023-05-04T00:00:00"/>
        <d v="2023-05-06T00:00:00"/>
        <d v="2023-06-01T00:00:00"/>
        <d v="2023-07-05T00:00:00"/>
        <d v="2023-08-02T00:00:00"/>
        <d v="2023-09-02T00:00:00"/>
        <d v="2023-10-05T00:00:00"/>
        <d v="2023-11-02T00:00:00"/>
        <d v="2023-12-07T00:00:00"/>
        <d v="2024-01-04T00:00:00"/>
        <d v="2024-02-03T00:00:00"/>
        <d v="2024-02-18T00:00:00"/>
        <d v="2024-03-06T00:00:00"/>
        <d v="2024-04-05T00:00:00"/>
        <d v="2024-04-11T00:00:00"/>
        <d v="2024-05-04T00:00:00"/>
        <d v="2024-05-22T00:00:00"/>
        <d v="2024-06-05T00:00:00"/>
        <d v="2024-07-03T00:00:00"/>
        <d v="2024-07-18T00:00:00"/>
        <d v="2024-08-07T00:00:00"/>
        <d v="2024-09-04T00:00:00"/>
        <d v="2024-10-02T00:00:00"/>
        <d v="2024-10-05T00:00:00"/>
        <d v="2024-11-06T00:00:00"/>
        <d v="2024-12-04T00:00:00"/>
        <d v="2025-01-01T00:00:00"/>
        <d v="2025-02-14T00:00:00"/>
        <d v="2025-03-05T00:00:00"/>
        <d v="2025-03-22T00:00:00"/>
        <d v="2025-04-04T00:00:00"/>
        <d v="2025-04-18T00:00:00"/>
        <d v="2025-05-03T00:00:00"/>
        <d v="2025-06-04T00:00:00"/>
        <d v="2025-07-02T00:00:00"/>
        <d v="2025-07-31T00:00:00"/>
        <d v="2025-09-03T00:00:00"/>
        <d v="2025-10-01T00:00:00"/>
        <d v="2025-11-05T00:00:00"/>
        <d v="2025-12-05T00:00:00"/>
        <d v="2026-01-01T00:00:00"/>
        <d v="2026-02-07T00:00:00"/>
        <d v="2026-02-12T00:00:00"/>
        <d v="2026-03-04T00:00:00"/>
        <d v="2026-04-03T00:00:00"/>
        <d v="2026-04-29T00:00:00"/>
        <d v="2026-05-06T00:00:00"/>
        <d v="2023-02-16T00:00:00"/>
        <d v="2026-04-15T00:00:00"/>
        <d v="2025-10-03T00:00:00"/>
        <d v="2026-04-16T00:00:00"/>
        <d v="2025-07-27T00:00:00"/>
        <d v="2025-12-28T00:00:00"/>
        <d v="2024-07-05T00:00:00"/>
        <d v="2024-07-27T00:00:00"/>
        <d v="2024-08-01T00:00:00"/>
        <d v="2024-08-08T00:00:00"/>
        <d v="2024-09-01T00:00:00"/>
        <d v="2024-09-14T00:00:00"/>
        <d v="2024-09-25T00:00:00"/>
        <d v="2024-09-27T00:00:00"/>
        <d v="2024-10-03T00:00:00"/>
        <d v="2024-10-06T00:00:00"/>
        <d v="2024-10-13T00:00:00"/>
        <d v="2024-10-30T00:00:00"/>
        <d v="2024-11-14T00:00:00"/>
        <d v="2024-11-23T00:00:00"/>
        <d v="2024-11-24T00:00:00"/>
        <d v="2024-11-27T00:00:00"/>
        <d v="2024-12-08T00:00:00"/>
        <d v="2024-12-11T00:00:00"/>
        <d v="2024-12-14T00:00:00"/>
        <d v="2024-12-27T00:00:00"/>
        <d v="2025-01-03T00:00:00"/>
        <d v="2025-01-08T00:00:00"/>
        <d v="2025-01-11T00:00:00"/>
        <d v="2025-01-15T00:00:00"/>
        <d v="2025-01-18T00:00:00"/>
        <d v="2025-01-26T00:00:00"/>
        <d v="2025-01-29T00:00:00"/>
        <d v="2025-01-30T00:00:00"/>
        <d v="2025-02-06T00:00:00"/>
        <d v="2025-02-19T00:00:00"/>
        <d v="2025-02-20T00:00:00"/>
        <d v="2025-03-01T00:00:00"/>
        <d v="2025-03-06T00:00:00"/>
        <d v="2025-03-12T00:00:00"/>
        <d v="2025-03-16T00:00:00"/>
        <d v="2025-03-20T00:00:00"/>
        <d v="2025-04-09T00:00:00"/>
        <d v="2025-04-16T00:00:00"/>
        <d v="2025-04-25T00:00:00"/>
        <d v="2025-04-30T00:00:00"/>
        <d v="2025-05-16T00:00:00"/>
        <d v="2025-05-22T00:00:00"/>
        <d v="2025-06-05T00:00:00"/>
        <d v="2025-06-12T00:00:00"/>
        <d v="2025-06-21T00:00:00"/>
        <d v="2025-06-25T00:00:00"/>
        <d v="2025-07-03T00:00:00"/>
        <d v="2025-07-18T00:00:00"/>
        <d v="2025-07-20T00:00:00"/>
        <d v="2025-07-23T00:00:00"/>
        <d v="2025-08-17T00:00:00"/>
        <d v="2025-09-06T00:00:00"/>
        <d v="2025-09-07T00:00:00"/>
        <d v="2025-09-11T00:00:00"/>
        <d v="2025-10-02T00:00:00"/>
        <d v="2025-10-05T00:00:00"/>
        <d v="2025-10-15T00:00:00"/>
        <d v="2025-10-26T00:00:00"/>
        <d v="2025-11-08T00:00:00"/>
        <d v="2025-11-12T00:00:00"/>
        <d v="2025-11-15T00:00:00"/>
        <d v="2025-11-16T00:00:00"/>
        <d v="2025-11-22T00:00:00"/>
        <d v="2025-11-26T00:00:00"/>
        <d v="2025-12-03T00:00:00"/>
        <d v="2025-12-06T00:00:00"/>
        <d v="2025-12-07T00:00:00"/>
        <d v="2025-12-10T00:00:00"/>
        <d v="2025-12-17T00:00:00"/>
        <d v="2025-12-21T00:00:00"/>
        <d v="2025-12-24T00:00:00"/>
        <d v="2025-12-31T00:00:00"/>
        <d v="2026-01-03T00:00:00"/>
        <d v="2026-01-11T00:00:00"/>
        <d v="2026-01-18T00:00:00"/>
        <d v="2026-02-05T00:00:00"/>
        <d v="2026-02-18T00:00:00"/>
        <d v="2026-02-21T00:00:00"/>
        <d v="2026-02-26T00:00:00"/>
        <d v="2026-03-11T00:00:00"/>
        <d v="2026-03-25T00:00:00"/>
        <d v="2026-03-29T00:00:00"/>
        <d v="2026-04-12T00:00:00"/>
        <d v="2026-04-19T00:00:00"/>
        <d v="2026-04-23T00:00:00"/>
        <d v="2026-04-25T00:00:00"/>
        <d v="2026-04-26T00:00:00"/>
        <d v="2026-05-02T00:00:00"/>
        <d v="2026-05-09T00:00:00"/>
        <d v="2026-05-15T00:00:00"/>
        <d v="2026-05-17T00:00:00"/>
        <d v="2026-05-21T00:00:00"/>
        <d v="2025-02-26T00:00:00"/>
        <d v="2026-04-22T00:00:00"/>
        <d v="2026-05-01T00:00:00"/>
        <d v="2025-11-20T00:00:00"/>
        <d v="2022-09-22T00:00:00"/>
        <d v="2025-03-13T00:00:00"/>
        <d v="2026-04-01T00:00:00"/>
        <d v="2026-02-08T00:00:00"/>
        <d v="2026-02-11T00:00:00"/>
        <d v="2026-03-13T00:00:00"/>
        <d v="2026-01-22T00:00:00"/>
        <d v="2020-01-18T00:00:00"/>
        <d v="2022-09-18T00:00:00"/>
        <d v="2018-05-31T00:00:00"/>
        <d v="2019-01-10T00:00:00"/>
        <d v="2025-03-26T00:00:00"/>
        <d v="2020-01-02T00:00:00"/>
        <d v="2021-03-31T00:00:00"/>
        <d v="2021-04-02T00:00:00"/>
        <d v="2020-10-19T00:00:00"/>
        <d v="2020-10-20T00:00:00"/>
        <d v="2020-11-17T00:00:00"/>
        <d v="2020-12-15T00:00:00"/>
        <d v="2021-01-21T00:00:00"/>
        <d v="2021-03-02T00:00:00"/>
        <d v="2021-03-16T00:00:00"/>
        <d v="2023-06-19T00:00:00"/>
        <d v="2023-07-17T00:00:00"/>
        <d v="2023-08-14T00:00:00"/>
        <d v="2023-08-17T00:00:00"/>
        <d v="2019-06-05T00:00:00"/>
        <d v="2019-07-02T00:00:00"/>
        <d v="2019-08-01T00:00:00"/>
        <d v="2019-09-03T00:00:00"/>
        <d v="2019-10-02T00:00:00"/>
        <d v="2019-11-05T00:00:00"/>
        <d v="2019-12-03T00:00:00"/>
        <d v="2020-02-18T00:00:00"/>
        <d v="2020-03-04T00:00:00"/>
        <d v="2020-03-17T00:00:00"/>
        <d v="2020-04-15T00:00:00"/>
        <d v="2020-04-21T00:00:00"/>
        <d v="2020-05-12T00:00:00"/>
        <d v="2020-05-20T00:00:00"/>
        <d v="2020-06-16T00:00:00"/>
        <d v="2020-07-15T00:00:00"/>
        <d v="2020-08-18T00:00:00"/>
        <d v="2020-09-15T00:00:00"/>
        <d v="2026-01-04T00:00:00"/>
        <d v="2026-04-08T00:00:00"/>
        <d v="2023-01-31T00:00:00"/>
        <d v="2023-01-30T00:00:00"/>
        <d v="2023-02-22T00:00:00"/>
        <d v="2023-03-20T00:00:00"/>
        <d v="2023-04-18T00:00:00"/>
        <d v="2023-05-16T00:00:00"/>
        <d v="2023-09-19T00:00:00"/>
        <d v="2023-10-17T00:00:00"/>
        <d v="2023-11-21T00:00:00"/>
        <d v="2023-12-19T00:00:00"/>
        <d v="2024-01-18T00:00:00"/>
        <d v="2024-02-19T00:00:00"/>
        <d v="2024-03-20T00:00:00"/>
        <d v="2024-04-18T00:00:00"/>
        <d v="2024-05-20T00:00:00"/>
        <d v="2024-06-17T00:00:00"/>
        <d v="2024-07-22T00:00:00"/>
        <d v="2024-08-19T00:00:00"/>
        <d v="2024-09-16T00:00:00"/>
        <d v="2024-10-21T00:00:00"/>
        <d v="2024-11-18T00:00:00"/>
        <d v="2024-12-16T00:00:00"/>
        <d v="2025-02-17T00:00:00"/>
        <d v="2025-03-19T00:00:00"/>
        <d v="2025-04-17T00:00:00"/>
        <d v="2025-05-19T00:00:00"/>
        <d v="2025-06-16T00:00:00"/>
        <d v="2025-07-15T00:00:00"/>
        <d v="2025-08-18T00:00:00"/>
        <d v="2025-09-15T00:00:00"/>
        <d v="2025-10-20T00:00:00"/>
        <d v="2025-11-19T00:00:00"/>
        <d v="2025-12-16T00:00:00"/>
        <d v="2026-02-16T00:00:00"/>
        <d v="2026-03-18T00:00:00"/>
        <d v="2026-04-20T00:00:00"/>
        <d v="2026-05-20T00:00:00"/>
        <d v="2018-12-01T00:00:00"/>
        <d v="2019-01-04T00:00:00"/>
        <d v="2019-02-01T00:00:00"/>
        <d v="2019-03-08T00:00:00"/>
        <d v="2019-04-04T00:00:00"/>
        <d v="2019-05-08T00:00:00"/>
        <d v="2019-05-31T00:00:00"/>
        <d v="2019-07-05T00:00:00"/>
        <d v="2019-08-31T00:00:00"/>
        <d v="2019-10-03T00:00:00"/>
        <d v="2019-11-01T00:00:00"/>
        <d v="2020-03-30T00:00:00"/>
        <d v="2025-03-24T00:00:00"/>
        <d v="2026-04-24T00:00:00"/>
        <d v="2023-09-14T00:00:00"/>
        <d v="2019-01-05T00:00:00"/>
        <d v="2020-05-14T00:00:00"/>
        <d v="2020-05-15T00:00:00"/>
        <d v="2022-07-23T00:00:00"/>
        <d v="2018-01-28T00:00:00"/>
        <d v="2018-08-29T00:00:00"/>
        <d v="2019-07-11T00:00:00"/>
        <d v="2020-12-27T00:00:00"/>
        <d v="2020-02-15T00:00:00"/>
        <d v="2020-03-23T00:00:00"/>
        <d v="2021-04-29T00:00:00"/>
        <d v="2017-03-04T00:00:00"/>
        <d v="2017-04-01T00:00:00"/>
        <d v="2017-05-03T00:00:00"/>
        <d v="2017-06-01T00:00:00"/>
        <d v="2017-07-01T00:00:00"/>
        <d v="2017-08-02T00:00:00"/>
        <d v="2017-08-31T00:00:00"/>
        <d v="2017-10-01T00:00:00"/>
        <d v="2017-11-04T00:00:00"/>
        <d v="2017-12-01T00:00:00"/>
        <d v="2018-01-06T00:00:00"/>
        <d v="2017-12-03T00:00:00"/>
        <d v="2024-05-14T00:00:00"/>
        <d v="2021-03-24T00:00:00"/>
        <d v="2026-04-30T00:00:00"/>
        <d v="2026-05-07T00:00:00"/>
        <d v="2026-01-30T00:00:00"/>
        <d v="2021-07-03T00:00:00"/>
        <d v="2019-09-01T00:00:00"/>
        <d v="2026-04-10T00:00:00"/>
        <d v="2026-04-06T00:00:00"/>
        <d v="2020-05-22T00:00:00"/>
        <d v="2025-04-14T00:00:00"/>
        <d v="2023-04-26T00:00:00"/>
        <d v="2025-07-30T00:00:00"/>
        <d v="2026-05-13T00:00:00"/>
        <d v="2024-08-14T00:00:00"/>
        <d v="2026-01-17T00:00:00"/>
        <d v="2024-03-18T00:00:00"/>
        <d v="2024-03-15T00:00:00"/>
        <d v="2024-10-12T00:00:00"/>
        <d v="2023-05-17T00:00:00"/>
        <d v="2025-06-11T00:00:00"/>
        <d v="2025-04-19T00:00:00"/>
        <d v="2026-02-15T00:00:00"/>
        <d v="2024-07-07T00:00:00"/>
        <d v="2025-02-15T00:00:00"/>
        <d v="2026-04-09T00:00:00"/>
        <d v="2026-05-14T00:00:00"/>
        <d v="2022-11-16T00:00:00"/>
        <d v="2023-03-17T00:00:00"/>
        <d v="2023-04-30T00:00:00"/>
        <d v="2024-04-03T00:00:00"/>
        <d v="2024-07-13T00:00:00"/>
        <d v="2024-08-17T00:00:00"/>
        <d v="2025-02-05T00:00:00"/>
        <d v="2020-05-30T00:00:00"/>
        <d v="2022-11-05T00:00:00"/>
        <d v="2024-10-14T00:00:00"/>
        <d v="2026-04-28T00:00:00"/>
        <d v="2023-05-31T00:00:00"/>
        <d v="2024-09-06T00:00:00"/>
        <d v="2026-03-12T00:00:00"/>
        <d v="2025-06-01T00:00:00"/>
        <d v="2022-07-09T00:00:00"/>
        <d v="2021-07-15T00:00:00"/>
        <d v="2021-08-18T00:00:00"/>
        <d v="2021-09-23T00:00:00"/>
        <d v="2021-10-15T00:00:00"/>
        <d v="2021-11-17T00:00:00"/>
        <d v="2021-12-16T00:00:00"/>
        <d v="2022-01-26T00:00:00"/>
        <d v="2022-02-18T00:00:00"/>
        <d v="2022-03-22T00:00:00"/>
        <d v="2022-04-21T00:00:00"/>
        <d v="2022-05-17T00:00:00"/>
        <d v="2022-06-16T00:00:00"/>
        <d v="2022-07-26T00:00:00"/>
        <d v="2022-08-18T00:00:00"/>
        <d v="2022-10-17T00:00:00"/>
        <d v="2022-11-17T00:00:00"/>
        <d v="2022-12-15T00:00:00"/>
        <d v="2023-03-01T00:00:00"/>
        <d v="2023-04-11T00:00:00"/>
        <d v="2023-10-02T00:00:00"/>
        <d v="2024-04-25T00:00:00"/>
        <d v="2026-02-13T00:00:00"/>
        <d v="2026-03-14T00:00:00"/>
        <d v="2026-03-21T00:00:00"/>
        <d v="2024-05-29T00:00:00"/>
        <d v="2024-06-27T00:00:00"/>
        <d v="2022-12-21T00:00:00"/>
        <d v="2022-01-06T00:00:00"/>
      </sharedItems>
      <fieldGroup par="18"/>
    </cacheField>
    <cacheField name="Factuurnummer" numFmtId="0">
      <sharedItems count="1065">
        <s v=""/>
        <s v="R190691"/>
        <s v="R190689"/>
        <s v="R190694"/>
        <s v="R190789"/>
        <s v="R190791"/>
        <s v="R190786"/>
        <s v="R190934"/>
        <s v="R190937"/>
        <s v="R190944"/>
        <s v="R190952"/>
        <s v="R190947"/>
        <s v="R190956"/>
        <s v="R191049"/>
        <s v="R191053"/>
        <s v="R191055"/>
        <s v="R191066"/>
        <s v="R191104"/>
        <s v="R191110"/>
        <s v="R191142"/>
        <s v="2020-0080"/>
        <s v="2020-0165"/>
        <s v="2020-0259"/>
        <s v="2020-0400"/>
        <s v="2020-0436"/>
        <s v="2020-0467"/>
        <s v="2020-0464"/>
        <s v="2020-0581"/>
        <s v="2020-0669"/>
        <s v="2020-0672"/>
        <s v="2020-0766"/>
        <s v="2020-0843"/>
        <s v="2020-0962"/>
        <s v="2020-1043"/>
        <s v="2020-1151"/>
        <s v="2020-1172"/>
        <s v="2021-0108"/>
        <s v="2021-0232"/>
        <s v="2021-0306"/>
        <s v="2021-0443"/>
        <s v="2021-0513"/>
        <s v="2021-0580"/>
        <s v="2021-0707"/>
        <s v="2021-0781"/>
        <s v="2021-0856"/>
        <s v="2021-0969"/>
        <s v="2021-0984"/>
        <s v="2021-1035"/>
        <s v="2021-1119"/>
        <s v="2022-0094"/>
        <s v="2022-0169"/>
        <s v="2022-0245"/>
        <s v="2022-0384"/>
        <s v="2022-0455"/>
        <s v="2022-0537"/>
        <s v="2022-0548"/>
        <s v="2022-0549"/>
        <s v="2022-0651"/>
        <s v="2022-0731"/>
        <s v="2022-0832"/>
        <s v="2022-0957"/>
        <s v="2022-1066"/>
        <s v="2022-1086"/>
        <s v="2022-1097"/>
        <s v="2022-1096"/>
        <s v="2022-1182"/>
        <s v="2023-0099"/>
        <s v="2023-0193"/>
        <s v="2023-0320"/>
        <s v="2023-0455"/>
        <s v="2023-0470"/>
        <s v="2023-0567"/>
        <s v="2023-0653"/>
        <s v="2023-0746"/>
        <s v="2023-0862"/>
        <s v="2023-0964"/>
        <s v="2023-1093"/>
        <s v="2023-1208"/>
        <s v="2023-1306"/>
        <s v="2024-0106"/>
        <s v="2024-0112"/>
        <s v="2024-0192"/>
        <s v="2024-0312"/>
        <s v="2024-0337"/>
        <s v="2024-0453"/>
        <s v="2024-0466"/>
        <s v="2024-0543"/>
        <s v="2024-0646"/>
        <s v="2024-0667"/>
        <s v="2024-0753"/>
        <s v="2024-0888"/>
        <s v="2024-0982"/>
        <s v="2024-1006"/>
        <s v="2024-1005"/>
        <s v="2024-1106"/>
        <s v="2024-1243"/>
        <s v="2024-1337"/>
        <s v="2025-0087"/>
        <s v="2025-0211"/>
        <s v="2025-0234"/>
        <s v="2025-0321"/>
        <s v="2025-0374"/>
        <s v="2025-0482"/>
        <s v="102025-0572"/>
        <s v="102025-0661"/>
        <s v="102025-0772"/>
        <s v="102025-0872"/>
        <s v="102025-0954"/>
        <s v="102025-1070"/>
        <s v="102025-1183"/>
        <s v="102025-1288"/>
        <s v="102026-0109"/>
        <s v="102026-0128"/>
        <s v="102026-0226"/>
        <s v="102026-0341"/>
        <s v="102026-0416"/>
        <s v="102026-0510"/>
        <s v="2023-0117"/>
        <s v="2023-0472"/>
        <s v="102026-0356"/>
        <s v="102025-0795"/>
        <s v="2024-0669"/>
        <s v="2024-0670"/>
        <s v="2024-0672"/>
        <s v="2024-0787"/>
        <s v="2024-0788"/>
        <s v="2024-0813"/>
        <s v="2024-0814"/>
        <s v="2024-0815"/>
        <s v="2024-0910"/>
        <s v="2024-0917"/>
        <s v="2024-0916"/>
        <s v="2024-0918"/>
        <s v="2024-0998"/>
        <s v="2024-1007"/>
        <s v="2024-1008"/>
        <s v="2024-1019"/>
        <s v="2024-1021"/>
        <s v="2024-1023"/>
        <s v="2024-1257"/>
        <s v="2024-1142"/>
        <s v="2024-1149"/>
        <s v="2024-1151"/>
        <s v="2024-1152"/>
        <s v="2024-1159"/>
        <s v="2024-1176"/>
        <s v="2024-1256"/>
        <s v="2024-1259"/>
        <s v="2024-1263"/>
        <s v="2024-1264"/>
        <s v="2024-1265"/>
        <s v="2024-1267"/>
        <s v="2024-1350"/>
        <s v="2024-1353"/>
        <s v="2024-1358"/>
        <s v="2024-1361"/>
        <s v="2024-1362"/>
        <s v="2024-1363"/>
        <s v="2024-1365"/>
        <s v="2024-1364"/>
        <s v="2024-1366"/>
        <s v="2024-1370"/>
        <s v="2025-0004"/>
        <s v="2025-0124"/>
        <s v="2025-0123"/>
        <s v="2025-0125"/>
        <s v="2025-0137"/>
        <s v="2025-0216"/>
        <s v="2025-0218"/>
        <s v="2025-0221"/>
        <s v="2025-0228"/>
        <s v="2025-0229"/>
        <s v="2025-0325"/>
        <s v="2025-0326"/>
        <s v="2025-0370"/>
        <s v="2025-0371"/>
        <s v="2025-0379"/>
        <s v="2025-0380"/>
        <s v="2025-0384"/>
        <s v="2025-0390"/>
        <s v="2025-0495"/>
        <s v="102025-0496"/>
        <s v="102025-0577"/>
        <s v="102025-0583"/>
        <s v="102025-0587"/>
        <s v="102025-0589"/>
        <s v="102025-0669"/>
        <s v="102025-0673"/>
        <s v="102025-0674"/>
        <s v="102025-0877"/>
        <s v="102025-0780"/>
        <s v="102025-0790"/>
        <s v="102025-0879"/>
        <s v="102025-0970"/>
        <s v="102025-0972"/>
        <s v="102025-0958"/>
        <s v="102025-0966"/>
        <s v="102025-0968"/>
        <s v="102025-0971"/>
        <s v="102025-1078"/>
        <s v="102025-1081"/>
        <s v="102025-1086"/>
        <s v="102025-1091"/>
        <s v="102025-1094"/>
        <s v="102025-1095"/>
        <s v="102025-1096"/>
        <s v="102025-1097"/>
        <s v="102025-1098"/>
        <s v="102025-1103"/>
        <s v="102025-1187"/>
        <s v="102025-1188"/>
        <s v="102025-1189"/>
        <s v="102025-1191"/>
        <s v="102025-1198"/>
        <s v="102025-1199"/>
        <s v="102025-1204"/>
        <s v="102025-1203"/>
        <s v="102025-1205"/>
        <s v="102025-1206"/>
        <s v="102025-1208"/>
        <s v="102025-1209"/>
        <s v="102025-1210"/>
        <s v="102025-1305"/>
        <s v="102025-1299"/>
        <s v="102025-1300"/>
        <s v="102025-1306"/>
        <s v="102025-1313"/>
        <s v="102026-0003"/>
        <s v="102026-0132"/>
        <s v="102026-0137"/>
        <s v="102026-0141"/>
        <s v="102026-0147"/>
        <s v="102026-0232"/>
        <s v="102026-0233"/>
        <s v="102026-0253"/>
        <s v="102026-0254"/>
        <s v="102026-0257"/>
        <s v="102026-0264"/>
        <s v="102026-0355"/>
        <s v="102026-0358"/>
        <s v="102026-0399"/>
        <s v="102026-0400"/>
        <s v="102026-0408"/>
        <s v="102026-0414"/>
        <s v="102026-0421"/>
        <s v="102026-0532"/>
        <s v="102026-0543"/>
        <s v="102026-0545"/>
        <s v="102026-0546"/>
        <s v="102026-0547"/>
        <s v="102026-0551"/>
        <s v="2025-0129"/>
        <s v="2025-0130"/>
        <s v="2025-0131"/>
        <s v="2025-0132"/>
        <s v="102025-0963"/>
        <s v="102025-0962"/>
        <s v="102026-0365"/>
        <s v="102026-0419"/>
        <s v="102026-0082"/>
        <s v="102026-0107"/>
        <s v="102026-0495"/>
        <s v="102026-0512"/>
        <s v="102026-0494"/>
        <s v="102026-0513"/>
        <s v="102026-0484"/>
        <s v="102026-0517"/>
        <s v="2022-0759"/>
        <s v="102025-1105"/>
        <s v="102026-0248"/>
        <s v="102026-0420"/>
        <s v="102026-0544"/>
        <s v="102026-0423"/>
        <s v="102026-0118"/>
        <s v="102026-0122"/>
        <s v="102026-0163"/>
        <s v="102026-0225"/>
        <s v="102026-0237"/>
        <s v="102026-0238"/>
        <s v="102026-0475"/>
        <s v="102026-0514"/>
        <s v="102025-1217"/>
        <s v="102026-0463"/>
        <s v="102026-0454"/>
        <s v="102026-0496"/>
        <s v="102026-0096"/>
        <s v="R190197"/>
        <s v="2021-0088"/>
        <s v="2021-0689"/>
        <s v="2021-0955"/>
        <s v="2022-0077"/>
        <s v="2022-0631"/>
        <s v="2022-0935"/>
        <s v="2023-0101"/>
        <s v="2023-0443"/>
        <s v="2023-0762"/>
        <s v="2023-1070"/>
        <s v="2024-0093"/>
        <s v="2024-0424"/>
        <s v="2024-0764"/>
        <s v="2022-0374"/>
        <s v="2022-0756"/>
        <s v="102026-0652"/>
        <s v="R180172"/>
        <s v="R180173"/>
        <s v="R180522"/>
        <s v="102026-0488"/>
        <s v="2025-0240"/>
        <s v="R190907"/>
        <s v="R191019"/>
        <s v="2020-0023"/>
        <s v="2020-0156"/>
        <s v="2020-0250"/>
        <s v="2020-0367"/>
        <s v="2020-0518"/>
        <s v="2020-0571"/>
        <s v="2020-0653"/>
        <s v="2020-0753"/>
        <s v="2020-0833"/>
        <s v="2020-0916"/>
        <s v="2020-1027"/>
        <s v="2020-1098"/>
        <s v="2021-0039"/>
        <s v="2021-0192"/>
        <s v="2021-0241"/>
        <s v="2021-0268"/>
        <s v="2021-0323"/>
        <s v="2020-0862"/>
        <s v="2020-0918"/>
        <s v="2020-1031"/>
        <s v="2020-1058"/>
        <s v="2020-1099"/>
        <s v="2021-0029"/>
        <s v="2021-0184"/>
        <s v="2021-0243"/>
        <s v="2021-0314"/>
        <s v="2023-0627"/>
        <s v="2023-0682"/>
        <s v="2023-0791"/>
        <s v="2023-0876"/>
        <s v="R190466"/>
        <s v="R190558"/>
        <s v="R190652"/>
        <s v="R190738"/>
        <s v="R190834"/>
        <s v="R190892"/>
        <s v="R191006"/>
        <s v="2020-0026"/>
        <s v="2020-0149"/>
        <s v="2020-0183"/>
        <s v="2020-0243"/>
        <s v="2020-0300"/>
        <s v="2020-0359"/>
        <s v="2020-0433"/>
        <s v="2020-0513"/>
        <s v="2020-0566"/>
        <s v="2020-0641"/>
        <s v="2020-0745"/>
        <s v="2020-0827"/>
        <s v="2020-0909"/>
        <s v="2020-0972"/>
        <s v="2020-1020"/>
        <s v="2020-1161"/>
        <s v="102025-0996"/>
        <s v="102026-0028"/>
        <s v="102026-0027"/>
        <s v="102025-1019"/>
        <s v="102026-0050"/>
        <s v="102026-0040"/>
        <s v="2023-0044"/>
        <s v="2023-0165"/>
        <s v="2023-0279"/>
        <s v="2023-0393"/>
        <s v="2023-0503"/>
        <s v="2023-0594"/>
        <s v="2023-0718"/>
        <s v="2023-0836"/>
        <s v="2023-0911"/>
        <s v="2023-1053"/>
        <s v="2023-1184"/>
        <s v="2023-1282"/>
        <s v="2024-0055"/>
        <s v="2024-0138"/>
        <s v="2024-0300"/>
        <s v="2024-0413"/>
        <s v="2024-0527"/>
        <s v="2024-0624"/>
        <s v="2024-0738"/>
        <s v="2024-0868"/>
        <s v="2024-0967"/>
        <s v="2024-1090"/>
        <s v="2024-1229"/>
        <s v="2024-1325"/>
        <s v="2025-0064"/>
        <s v="2025-0193"/>
        <s v="2025-0281"/>
        <s v="2025-0436"/>
        <s v="102025-0526"/>
        <s v="102025-0623"/>
        <s v="102025-0706"/>
        <s v="102025-0853"/>
        <s v="102025-0914"/>
        <s v="102025-1045"/>
        <s v="102025-1166"/>
        <s v="102025-1230"/>
        <s v="102026-0076"/>
        <s v="102026-0160"/>
        <s v="102026-0280"/>
        <s v="102026-0456"/>
        <s v="102026-0569"/>
        <s v="R180439"/>
        <s v="R180498"/>
        <s v="R190009"/>
        <s v="R190098"/>
        <s v="R190170"/>
        <s v="R190267"/>
        <s v="R190347"/>
        <s v="R190440"/>
        <s v="R190534"/>
        <s v="R190628"/>
        <s v="R190752"/>
        <s v="R190800"/>
        <s v="R190920"/>
        <s v="R191032"/>
        <s v="2020-0014"/>
        <s v="2020-0137"/>
        <s v="2020-0232"/>
        <s v="2025-0346"/>
        <s v="2025-0486"/>
        <s v="102025-0510"/>
        <s v="102025-0612"/>
        <s v="102025-0690"/>
        <s v="102025-0836"/>
        <s v="102025-0904"/>
        <s v="102025-1026"/>
        <s v="102025-1148"/>
        <s v="102025-1214"/>
        <s v="102026-0057"/>
        <s v="102026-0176"/>
        <s v="102026-0295"/>
        <s v="102026-0533"/>
        <s v="102026-0581"/>
        <s v="2023-0884"/>
        <s v="2023-0885"/>
        <s v="R180518"/>
        <s v="2020-0432"/>
        <s v="2020-0441"/>
        <s v="2020-0447"/>
        <s v="2020-1059"/>
        <s v="2020-1160"/>
        <s v="2021-0315"/>
        <s v="R190025"/>
        <s v="R190114"/>
        <s v="R190182"/>
        <s v="R190279"/>
        <s v="R190359"/>
        <s v="R190452"/>
        <s v="R190545"/>
        <s v="R190638"/>
        <s v="R190750"/>
        <s v="R190804"/>
        <s v="R190880"/>
        <s v="R190996"/>
        <s v="2020-0024"/>
        <s v="2020-0152"/>
        <s v="2020-0246"/>
        <s v="2020-0361"/>
        <s v="2020-0516"/>
        <s v="2020-0569"/>
        <s v="2020-0648"/>
        <s v="2020-0751"/>
        <s v="2020-0830"/>
        <s v="2020-0914"/>
        <s v="2020-1026"/>
        <s v="2020-1100"/>
        <s v="2021-0040"/>
        <s v="2022-0554"/>
        <s v="R190024"/>
        <s v="R190113"/>
        <s v="R190181"/>
        <s v="R190278"/>
        <s v="R190358"/>
        <s v="R190451"/>
        <s v="R190544"/>
        <s v="R190637"/>
        <s v="R190749"/>
        <s v="R190794"/>
        <s v="R190879"/>
        <s v="R190995"/>
        <s v="2020-0006"/>
        <s v="2020-0114"/>
        <s v="2020-0213"/>
        <s v="2020-0324"/>
        <s v="2020-0483"/>
        <s v="2020-0536"/>
        <s v="2020-0610"/>
        <s v="2020-0718"/>
        <s v="2020-0796"/>
        <s v="2020-0874"/>
        <s v="2020-0986"/>
        <s v="2020-1128"/>
        <s v="2021-0010"/>
        <s v="2022-0553"/>
        <s v="R190107"/>
        <s v="R170406"/>
        <s v="R170407"/>
        <s v="R180302"/>
        <s v="R190488"/>
        <s v="2020-1084"/>
        <s v="R191095"/>
        <s v="2020-0046"/>
        <s v="2020-0182"/>
        <s v="2020-0241"/>
        <s v="2020-0273"/>
        <s v="2020-0356"/>
        <s v="2020-0430"/>
        <s v="2020-0510"/>
        <s v="2020-0565"/>
        <s v="2020-0642"/>
        <s v="2020-0747"/>
        <s v="2020-0825"/>
        <s v="2020-0908"/>
        <s v="2020-1021"/>
        <s v="2020-1061"/>
        <s v="2020-1125"/>
        <s v="2020-1166"/>
        <s v="2021-0075"/>
        <s v="R190654"/>
        <s v="R190740"/>
        <s v="R190810"/>
        <s v="R190894"/>
        <s v="R191008"/>
        <s v="2020-0028"/>
        <s v="2020-0150"/>
        <s v="2020-0244"/>
        <s v="2020-0358"/>
        <s v="2020-0512"/>
        <s v="2020-0563"/>
        <s v="2020-0644"/>
        <s v="2020-0748"/>
        <s v="2020-0826"/>
        <s v="2020-0910"/>
        <s v="2020-1022"/>
        <s v="2020-1141"/>
        <s v="2021-0042"/>
        <s v="2021-0194"/>
        <s v="2021-0270"/>
        <s v="2021-0362"/>
        <s v="2021-0477"/>
        <s v="2021-0553"/>
        <s v="2021-0630"/>
        <s v="2021-0766"/>
        <s v="2021-0820"/>
        <s v="2021-0904"/>
        <s v="2021-1002"/>
        <s v="2021-1078"/>
        <s v="2022-0048"/>
        <s v="R170050"/>
        <s v="R170081"/>
        <s v="R170112"/>
        <s v="R170126"/>
        <s v="R170176"/>
        <s v="R170212"/>
        <s v="R170251"/>
        <s v="R170285"/>
        <s v="R170308"/>
        <s v="R170335"/>
        <s v="R170383"/>
        <s v="R170404"/>
        <s v="R170405"/>
        <s v="R180303"/>
        <s v="R190487"/>
        <s v="2020-1083"/>
        <s v="2025-0342"/>
        <s v="102026-0375"/>
        <s v="R191127"/>
        <s v="2020-0010"/>
        <s v="2020-0124"/>
        <s v="2020-0272"/>
        <s v="2020-0298"/>
        <s v="2020-0429"/>
        <s v="2020-1165"/>
        <s v="2021-0313"/>
        <s v="R170360"/>
        <s v="2023-0542"/>
        <s v="2024-0004"/>
        <s v="2024-0157"/>
        <s v="2024-0288"/>
        <s v="2024-0373"/>
        <s v="2024-0471"/>
        <s v="2020-0301"/>
        <s v="2020-0428"/>
        <s v="2020-0970"/>
        <s v="2020-1062"/>
        <s v="2020-1164"/>
        <s v="2021-0312"/>
        <s v="2021-0236"/>
        <s v="102026-0378"/>
        <s v="102026-0417"/>
        <s v="2022-0097"/>
        <s v="102026-0418"/>
        <s v="102026-0523"/>
        <s v="102026-0525"/>
        <s v="2025-0154"/>
        <s v="2020-0887"/>
        <s v="2020-0997"/>
        <s v="2020-1114"/>
        <s v="2021-0028"/>
        <s v="2021-0183"/>
        <s v="2021-0260"/>
        <s v="2021-0351"/>
        <s v="2021-0596"/>
        <s v="R170267"/>
        <s v="R190684"/>
        <s v="2023-0528"/>
        <s v="2023-0619"/>
        <s v="2023-0703"/>
        <s v="2023-0821"/>
        <s v="2023-0926"/>
        <s v="2023-1042"/>
        <s v="2024-0042"/>
        <s v="2024-0406"/>
        <s v="2024-0517"/>
        <s v="2024-0613"/>
        <s v="2024-1079"/>
        <s v="2024-1215"/>
        <s v="2024-1311"/>
        <s v="102026-0411"/>
        <s v="2024-1237"/>
        <s v="2024-1333"/>
        <s v="2025-0121"/>
        <s v="2025-0358"/>
        <s v="102026-0395"/>
        <s v="102026-0413"/>
        <s v="102026-0412"/>
        <s v="2025-0349"/>
        <s v="102026-0384"/>
        <s v="102026-0397"/>
        <s v="102026-0499"/>
        <s v="102026-0480"/>
        <s v="102026-0464"/>
        <s v="102026-0515"/>
        <s v="2020-0126"/>
        <s v="2020-0180"/>
        <s v="2020-0223"/>
        <s v="2020-0275"/>
        <s v="2020-0335"/>
        <s v="2020-1167"/>
        <s v="R190897"/>
        <s v="R191011"/>
        <s v="R191131"/>
        <s v="2020-0027"/>
        <s v="2020-0125"/>
        <s v="2020-0221"/>
        <s v="2020-0338"/>
        <s v="2020-0416"/>
        <s v="2025-0162"/>
        <s v="2025-0243"/>
        <s v="2025-0244"/>
        <s v="2025-0245"/>
        <s v="2025-0267"/>
        <s v="2025-0387"/>
        <s v="2025-0421"/>
        <s v="102025-0545"/>
        <s v="102025-0608"/>
        <s v="102025-0725"/>
        <s v="102025-0815"/>
        <s v="102025-0900"/>
        <s v="102025-0997"/>
        <s v="102025-1126"/>
        <s v="102025-1249"/>
        <s v="102026-0029"/>
        <s v="102026-0199"/>
        <s v="102026-0318"/>
        <s v="102026-0473"/>
        <s v="102026-0597"/>
        <s v="2023-0330"/>
        <s v="102026-0353"/>
        <s v="102026-0354"/>
        <s v="102026-0235"/>
        <s v="102026-0234"/>
        <s v="102026-0536"/>
        <s v="2024-0795"/>
        <s v="102025-1311"/>
        <s v="102025-1312"/>
        <s v="2024-1024"/>
        <s v="2024-1025"/>
        <s v="102025-1308"/>
        <s v="102025-1309"/>
        <s v="2024-1137"/>
        <s v="102025-1310"/>
        <s v="102026-0032"/>
        <s v="102026-0197"/>
        <s v="102026-0316"/>
        <s v="2024-0226"/>
        <s v="2025-0330"/>
        <s v="102026-0361"/>
        <s v="102026-0501"/>
        <s v="102026-0648"/>
        <s v="102025-1099"/>
        <s v="2025-0337"/>
        <s v="102026-0369"/>
        <s v="102026-0044"/>
        <s v="102026-0186"/>
        <s v="102026-0305"/>
        <s v="102026-0482"/>
        <s v="102026-0493"/>
        <s v="2025-0056"/>
        <s v="2025-0334"/>
        <s v="102025-0672"/>
        <s v="102026-0367"/>
        <s v="2023-1142"/>
        <s v="2023-1239"/>
        <s v="2024-0049"/>
        <s v="2024-0132"/>
        <s v="2024-0258"/>
        <s v="2024-0386"/>
        <s v="2024-0488"/>
        <s v="2024-0583"/>
        <s v="2024-0684"/>
        <s v="2024-0828"/>
        <s v="2024-0928"/>
        <s v="2024-1016"/>
        <s v="2024-1052"/>
        <s v="2024-1187"/>
        <s v="2024-1281"/>
        <s v="2025-0062"/>
        <s v="2025-0151"/>
        <s v="2025-0279"/>
        <s v="2025-0434"/>
        <s v="102025-0740"/>
        <s v="102025-0984"/>
        <s v="102026-0007"/>
        <s v="102026-0364"/>
        <s v="102026-0442"/>
        <s v="102025-0558"/>
        <s v="102025-0605"/>
        <s v="102025-0746"/>
        <s v="102025-0812"/>
        <s v="102025-0899"/>
        <s v="102025-0991"/>
        <s v="102025-1123"/>
        <s v="102025-1267"/>
        <s v="102026-0023"/>
        <s v="102025-0525"/>
        <s v="102025-0606"/>
        <s v="102025-0708"/>
        <s v="102025-0811"/>
        <s v="102025-0898"/>
        <s v="102025-0990"/>
        <s v="102025-1122"/>
        <s v="102025-1226"/>
        <s v="102026-0022"/>
        <s v="102026-0203"/>
        <s v="102026-0322"/>
        <s v="102026-0366"/>
        <s v="102026-0472"/>
        <s v="102026-0601"/>
        <s v="2023-0477"/>
        <s v="102025-0578"/>
        <s v="2025-0382"/>
        <s v="102026-0080"/>
        <s v="102026-0130"/>
        <s v="102026-0148"/>
        <s v="102026-0268"/>
        <s v="102026-0436"/>
        <s v="102026-0522"/>
        <s v="102026-0154"/>
        <s v="102026-0275"/>
        <s v="102026-0498"/>
        <s v="102025-1274"/>
        <s v="102026-0048"/>
        <s v="102026-0182"/>
        <s v="102026-0301"/>
        <s v="102026-0478"/>
        <s v="2024-0657"/>
        <s v="2024-0678"/>
        <s v="2024-0710"/>
        <s v="2024-0769"/>
        <s v="2024-0770"/>
        <s v="2024-0846"/>
        <s v="2024-0822"/>
        <s v="2024-0883"/>
        <s v="2024-0885"/>
        <s v="2024-0945"/>
        <s v="2024-0923"/>
        <s v="2024-0992"/>
        <s v="2024-0991"/>
        <s v="2024-1068"/>
        <s v="2024-1046"/>
        <s v="2024-1125"/>
        <s v="2024-1127"/>
        <s v="2024-1204"/>
        <s v="2024-1181"/>
        <s v="2024-1253"/>
        <s v="2024-1252"/>
        <s v="2024-1275"/>
        <s v="2024-1300"/>
        <s v="2024-1344"/>
        <s v="2024-1347"/>
        <s v="2025-0029"/>
        <s v="2025-0030"/>
        <s v="2025-0118"/>
        <s v="2025-0119"/>
        <s v="2025-0170"/>
        <s v="2025-0145"/>
        <s v="2025-0203"/>
        <s v="2025-0339"/>
        <s v="102025-0594"/>
        <s v="102025-0638"/>
        <s v="102025-0653"/>
        <s v="102025-0748"/>
        <s v="102025-0687"/>
        <s v="102025-0761"/>
        <s v="102025-0827"/>
        <s v="102025-0801"/>
        <s v="102025-0866"/>
        <s v="102025-0889"/>
        <s v="102025-0884"/>
        <s v="102025-0949"/>
        <s v="102025-1013"/>
        <s v="102025-0979"/>
        <s v="102025-1061"/>
        <s v="102025-1139"/>
        <s v="102025-1111"/>
        <s v="102025-1178"/>
        <s v="102025-1213"/>
        <s v="102025-1268"/>
        <s v="102025-1285"/>
        <s v="102026-0012"/>
        <s v="102026-0212"/>
        <s v="102026-0331"/>
        <s v="102026-0350"/>
        <s v="102026-0351"/>
        <s v="102026-0370"/>
        <s v="102026-0449"/>
        <s v="102026-0534"/>
        <s v="102026-0540"/>
        <s v="102026-0541"/>
        <s v="102026-0542"/>
        <s v="2021-0784"/>
        <s v="2022-0596"/>
        <s v="2022-0975"/>
        <s v="2022-1061"/>
        <s v="2023-0210"/>
        <s v="2023-0347"/>
        <s v="2023-0516"/>
        <s v="2023-0557"/>
        <s v="2023-0607"/>
        <s v="2023-0646"/>
        <s v="2023-0716"/>
        <s v="2023-0771"/>
        <s v="2023-0834"/>
        <s v="2023-0868"/>
        <s v="2023-0913"/>
        <s v="2023-0957"/>
        <s v="2023-1059"/>
        <s v="2023-1097"/>
        <s v="2023-1188"/>
        <s v="2023-1211"/>
        <s v="2023-1286"/>
        <s v="2023-1309"/>
        <s v="2024-0001"/>
        <s v="2024-0083"/>
        <s v="2024-0185"/>
        <s v="2024-0140"/>
        <s v="2024-0241"/>
        <s v="2024-0304"/>
        <s v="2024-0325"/>
        <s v="2024-0377"/>
        <s v="2024-0420"/>
        <s v="2024-0531"/>
        <s v="2024-0546"/>
        <s v="2024-0628"/>
        <s v="2024-0649"/>
        <s v="2024-0666"/>
        <s v="2024-0743"/>
        <s v="2024-0785"/>
        <s v="2024-0809"/>
        <s v="2024-0872"/>
        <s v="2024-0886"/>
        <s v="2024-0971"/>
        <s v="2024-0995"/>
        <s v="2024-1094"/>
        <s v="2024-1128"/>
        <s v="2024-1233"/>
        <s v="2024-1251"/>
        <s v="2024-1329"/>
        <s v="2024-1348"/>
        <s v="2025-0002"/>
        <s v="2025-0055"/>
        <s v="2025-0109"/>
        <s v="2025-0197"/>
        <s v="2025-0204"/>
        <s v="2025-0272"/>
        <s v="2025-0313"/>
        <s v="2025-0357"/>
        <s v="2025-0426"/>
        <s v="2025-0477"/>
        <s v="102025-0527"/>
        <s v="102025-0568"/>
        <s v="102025-0614"/>
        <s v="102025-0654"/>
        <s v="102025-0711"/>
        <s v="102025-0760"/>
        <s v="102025-0858"/>
        <s v="102025-0875"/>
        <s v="102025-0906"/>
        <s v="102025-0957"/>
        <s v="102025-1053"/>
        <s v="102025-1074"/>
        <s v="102025-1171"/>
        <s v="102025-1186"/>
        <s v="102025-1231"/>
        <s v="102025-1284"/>
        <s v="102026-0085"/>
        <s v="102026-0091"/>
        <s v="102026-0124"/>
        <s v="102026-0125"/>
        <s v="102026-0394"/>
        <s v="102026-0448"/>
        <s v="2020-0449"/>
        <s v="2022-0965"/>
        <s v="2025-0041"/>
        <s v="2025-0042"/>
        <s v="2025-0043"/>
        <s v="102025-0544"/>
        <s v="102025-0509"/>
        <s v="102025-0507"/>
        <s v="102025-0582"/>
        <s v="102025-0603"/>
        <s v="102025-0634"/>
        <s v="102025-0651"/>
        <s v="102025-0726"/>
        <s v="102025-0689"/>
        <s v="102025-0685"/>
        <s v="102025-0819"/>
        <s v="102025-0818"/>
        <s v="102025-0803"/>
        <s v="102025-0896"/>
        <s v="102025-0928"/>
        <s v="102025-0923"/>
        <s v="102025-1003"/>
        <s v="102025-1002"/>
        <s v="102025-0981"/>
        <s v="102025-1130"/>
        <s v="102025-1129"/>
        <s v="102025-1113"/>
        <s v="102025-1215"/>
        <s v="102025-1212"/>
        <s v="102025-1248"/>
        <s v="102026-0035"/>
        <s v="102026-0034"/>
        <s v="102026-0014"/>
        <s v="102026-0210"/>
        <s v="102026-0196"/>
        <s v="102026-0195"/>
        <s v="102026-0329"/>
        <s v="102026-0315"/>
        <s v="102026-0314"/>
        <s v="102026-0470"/>
        <s v="102026-0465"/>
        <s v="102026-0445"/>
        <s v="2024-1136"/>
        <s v="102026-0538"/>
        <s v="102025-1132"/>
        <s v="102025-1238"/>
        <s v="102026-0037"/>
        <s v="102026-0193"/>
        <s v="102026-0312"/>
        <s v="102026-0476"/>
        <s v="102026-0505"/>
        <s v="102026-0506"/>
        <s v="2023-0488"/>
        <s v="102025-0823"/>
        <s v="102025-0902"/>
        <s v="102025-1009"/>
        <s v="102025-1135"/>
        <s v="102025-1257"/>
        <s v="102026-0006"/>
        <s v="102026-0190"/>
        <s v="102026-0309"/>
        <s v="102026-0468"/>
        <s v="2024-0907"/>
        <s v="2024-1332"/>
        <s v="2024-1371"/>
        <s v="2025-0122"/>
        <s v="102026-0236"/>
        <s v="2024-0733"/>
        <s v="2024-0856"/>
        <s v="2024-0955"/>
        <s v="2024-1078"/>
        <s v="2024-1214"/>
        <s v="2024-1242"/>
        <s v="2024-1310"/>
        <s v="2025-0083"/>
        <s v="2025-0217"/>
        <s v="102025-0791"/>
        <s v="102025-0502"/>
        <s v="2022-0544"/>
        <s v="102026-0548"/>
        <s v="2021-0646"/>
        <s v="2021-0747"/>
        <s v="2021-0815"/>
        <s v="2021-0913"/>
        <s v="2021-1006"/>
        <s v="2021-1084"/>
        <s v="2022-0032"/>
        <s v="2022-0148"/>
        <s v="2022-0223"/>
        <s v="2022-0338"/>
        <s v="2022-0431"/>
        <s v="2022-0513"/>
        <s v="2022-0599"/>
        <s v="2022-0721"/>
        <s v="2022-0787"/>
        <s v="2022-0887"/>
        <s v="2022-1012"/>
        <s v="2022-1142"/>
        <s v="2023-0030"/>
        <s v="2023-0150"/>
        <s v="2023-0214"/>
        <s v="2023-0285"/>
        <s v="2023-0334"/>
        <s v="2023-0399"/>
        <s v="2023-0511"/>
        <s v="2023-0602"/>
        <s v="2023-0720"/>
        <s v="2023-0838"/>
        <s v="2023-0910"/>
        <s v="2023-0985"/>
        <s v="2023-1040"/>
        <s v="2023-1172"/>
        <s v="2023-1269"/>
        <s v="2024-0458"/>
        <s v="2024-0459"/>
        <s v="2024-0908"/>
        <s v="102026-0143"/>
        <s v="102026-0142"/>
        <s v="102026-0146"/>
        <s v="102026-0145"/>
        <s v="102026-0244"/>
        <s v="102026-0243"/>
        <s v="102026-0245"/>
        <s v="102026-0246"/>
        <s v="102026-0650"/>
        <s v="102026-0651"/>
        <s v="102026-0656"/>
        <s v="102026-0657"/>
        <s v="102026-0658"/>
        <s v="102026-0659"/>
        <s v="2024-1372"/>
        <s v="2025-0003"/>
        <s v="102026-0004"/>
        <s v="102026-0120"/>
        <s v="2024-0571"/>
        <s v="2024-0570"/>
        <s v="2022-1098"/>
        <s v="2021-1130"/>
        <s v="102026-0258" u="1"/>
        <s v="102026-0259" u="1"/>
        <s v="102026-0549" u="1"/>
        <s v="102026-0556" u="1"/>
        <s v="102026-0560" u="1"/>
        <s v="102026-0527" u="1"/>
      </sharedItems>
    </cacheField>
    <cacheField name="Saldo" numFmtId="0">
      <sharedItems containsSemiMixedTypes="0" containsString="0" containsNumber="1" minValue="-277509.26" maxValue="182928.15"/>
    </cacheField>
    <cacheField name="Saldo1" numFmtId="0">
      <sharedItems containsSemiMixedTypes="0" containsString="0" containsNumber="1" minValue="-277509.26" maxValue="175000"/>
    </cacheField>
    <cacheField name="030dagen" numFmtId="0">
      <sharedItems containsSemiMixedTypes="0" containsString="0" containsNumber="1" minValue="-3278.55" maxValue="59895"/>
    </cacheField>
    <cacheField name="3160dagen" numFmtId="0">
      <sharedItems containsSemiMixedTypes="0" containsString="0" containsNumber="1" minValue="-60000" maxValue="79225.84"/>
    </cacheField>
    <cacheField name="6190dagen" numFmtId="0">
      <sharedItems containsSemiMixedTypes="0" containsString="0" containsNumber="1" minValue="-1028.5" maxValue="90757.04"/>
    </cacheField>
    <cacheField name="90dagen" numFmtId="0">
      <sharedItems containsSemiMixedTypes="0" containsString="0" containsNumber="1" minValue="-277509.26" maxValue="175000"/>
    </cacheField>
    <cacheField name="Dagenoud" numFmtId="1">
      <sharedItems containsSemiMixedTypes="0" containsString="0" containsNumber="1" containsInteger="1" minValue="1" maxValue="3372" count="721">
        <n v="1307"/>
        <n v="1069"/>
        <n v="2450"/>
        <n v="2405"/>
        <n v="2366"/>
        <n v="2331"/>
        <n v="2318"/>
        <n v="2310"/>
        <n v="2275"/>
        <n v="2247"/>
        <n v="2212"/>
        <n v="2188"/>
        <n v="2183"/>
        <n v="2156"/>
        <n v="2127"/>
        <n v="2093"/>
        <n v="2065"/>
        <n v="2030"/>
        <n v="2002"/>
        <n v="1974"/>
        <n v="1972"/>
        <n v="1937"/>
        <n v="1897"/>
        <n v="1883"/>
        <n v="1854"/>
        <n v="1820"/>
        <n v="1792"/>
        <n v="1762"/>
        <n v="1728"/>
        <n v="1692"/>
        <n v="1670"/>
        <n v="1656"/>
        <n v="1637"/>
        <n v="1608"/>
        <n v="1567"/>
        <n v="1544"/>
        <n v="1512"/>
        <n v="1482"/>
        <n v="1456"/>
        <n v="1426"/>
        <n v="1408"/>
        <n v="1386"/>
        <n v="1363"/>
        <n v="1328"/>
        <n v="1303"/>
        <n v="1272"/>
        <n v="1261"/>
        <n v="1258"/>
        <n v="1244"/>
        <n v="1198"/>
        <n v="1175"/>
        <n v="1149"/>
        <n v="1120"/>
        <n v="1118"/>
        <n v="1092"/>
        <n v="1058"/>
        <n v="1030"/>
        <n v="999"/>
        <n v="966"/>
        <n v="938"/>
        <n v="903"/>
        <n v="875"/>
        <n v="845"/>
        <n v="830"/>
        <n v="813"/>
        <n v="783"/>
        <n v="777"/>
        <n v="754"/>
        <n v="736"/>
        <n v="722"/>
        <n v="694"/>
        <n v="679"/>
        <n v="659"/>
        <n v="631"/>
        <n v="603"/>
        <n v="600"/>
        <n v="568"/>
        <n v="540"/>
        <n v="512"/>
        <n v="468"/>
        <n v="449"/>
        <n v="432"/>
        <n v="419"/>
        <n v="405"/>
        <n v="390"/>
        <n v="358"/>
        <n v="330"/>
        <n v="301"/>
        <n v="267"/>
        <n v="239"/>
        <n v="204"/>
        <n v="174"/>
        <n v="147"/>
        <n v="110"/>
        <n v="105"/>
        <n v="85"/>
        <n v="55"/>
        <n v="29"/>
        <n v="22"/>
        <n v="1197"/>
        <n v="43"/>
        <n v="237"/>
        <n v="42"/>
        <n v="305"/>
        <n v="151"/>
        <n v="692"/>
        <n v="670"/>
        <n v="665"/>
        <n v="658"/>
        <n v="634"/>
        <n v="621"/>
        <n v="610"/>
        <n v="608"/>
        <n v="602"/>
        <n v="599"/>
        <n v="592"/>
        <n v="575"/>
        <n v="560"/>
        <n v="551"/>
        <n v="550"/>
        <n v="547"/>
        <n v="536"/>
        <n v="533"/>
        <n v="530"/>
        <n v="517"/>
        <n v="510"/>
        <n v="505"/>
        <n v="502"/>
        <n v="498"/>
        <n v="495"/>
        <n v="487"/>
        <n v="484"/>
        <n v="483"/>
        <n v="476"/>
        <n v="463"/>
        <n v="462"/>
        <n v="453"/>
        <n v="448"/>
        <n v="442"/>
        <n v="438"/>
        <n v="434"/>
        <n v="414"/>
        <n v="407"/>
        <n v="398"/>
        <n v="393"/>
        <n v="377"/>
        <n v="371"/>
        <n v="357"/>
        <n v="350"/>
        <n v="341"/>
        <n v="337"/>
        <n v="329"/>
        <n v="314"/>
        <n v="312"/>
        <n v="309"/>
        <n v="284"/>
        <n v="264"/>
        <n v="263"/>
        <n v="259"/>
        <n v="238"/>
        <n v="235"/>
        <n v="225"/>
        <n v="214"/>
        <n v="201"/>
        <n v="197"/>
        <n v="194"/>
        <n v="193"/>
        <n v="187"/>
        <n v="183"/>
        <n v="176"/>
        <n v="173"/>
        <n v="172"/>
        <n v="169"/>
        <n v="162"/>
        <n v="158"/>
        <n v="155"/>
        <n v="148"/>
        <n v="145"/>
        <n v="137"/>
        <n v="130"/>
        <n v="112"/>
        <n v="99"/>
        <n v="96"/>
        <n v="91"/>
        <n v="78"/>
        <n v="64"/>
        <n v="60"/>
        <n v="46"/>
        <n v="39"/>
        <n v="35"/>
        <n v="33"/>
        <n v="32"/>
        <n v="26"/>
        <n v="19"/>
        <n v="13"/>
        <n v="11"/>
        <n v="7"/>
        <n v="456"/>
        <n v="36"/>
        <n v="27"/>
        <n v="189"/>
        <n v="1344"/>
        <n v="441"/>
        <n v="57"/>
        <n v="109"/>
        <n v="106"/>
        <n v="76"/>
        <n v="126"/>
        <n v="2322"/>
        <n v="1348"/>
        <n v="2919"/>
        <n v="2695"/>
        <n v="428"/>
        <n v="2338"/>
        <n v="1884"/>
        <n v="1882"/>
        <n v="2047"/>
        <n v="2046"/>
        <n v="2018"/>
        <n v="1990"/>
        <n v="1953"/>
        <n v="1913"/>
        <n v="1899"/>
        <n v="1074"/>
        <n v="1046"/>
        <n v="1018"/>
        <n v="1015"/>
        <n v="2549"/>
        <n v="2522"/>
        <n v="2492"/>
        <n v="2459"/>
        <n v="2430"/>
        <n v="2396"/>
        <n v="2368"/>
        <n v="2291"/>
        <n v="2276"/>
        <n v="2263"/>
        <n v="2234"/>
        <n v="2228"/>
        <n v="2207"/>
        <n v="2199"/>
        <n v="2172"/>
        <n v="2143"/>
        <n v="2109"/>
        <n v="2081"/>
        <n v="144"/>
        <n v="50"/>
        <n v="1213"/>
        <n v="1214"/>
        <n v="1191"/>
        <n v="1165"/>
        <n v="1136"/>
        <n v="1108"/>
        <n v="982"/>
        <n v="954"/>
        <n v="919"/>
        <n v="891"/>
        <n v="861"/>
        <n v="829"/>
        <n v="799"/>
        <n v="770"/>
        <n v="738"/>
        <n v="710"/>
        <n v="675"/>
        <n v="647"/>
        <n v="619"/>
        <n v="584"/>
        <n v="556"/>
        <n v="528"/>
        <n v="465"/>
        <n v="435"/>
        <n v="406"/>
        <n v="374"/>
        <n v="346"/>
        <n v="317"/>
        <n v="283"/>
        <n v="255"/>
        <n v="220"/>
        <n v="190"/>
        <n v="163"/>
        <n v="101"/>
        <n v="71"/>
        <n v="38"/>
        <n v="8"/>
        <n v="2735"/>
        <n v="2701"/>
        <n v="2673"/>
        <n v="2638"/>
        <n v="2611"/>
        <n v="2577"/>
        <n v="2554"/>
        <n v="2519"/>
        <n v="2462"/>
        <n v="2429"/>
        <n v="2400"/>
        <n v="2250"/>
        <n v="430"/>
        <n v="34"/>
        <n v="987"/>
        <n v="2700"/>
        <n v="2205"/>
        <n v="2204"/>
        <n v="1405"/>
        <n v="3042"/>
        <n v="2829"/>
        <n v="2513"/>
        <n v="1978"/>
        <n v="2294"/>
        <n v="2257"/>
        <n v="1855"/>
        <n v="3372"/>
        <n v="3344"/>
        <n v="3312"/>
        <n v="3283"/>
        <n v="3253"/>
        <n v="3221"/>
        <n v="3192"/>
        <n v="3161"/>
        <n v="3127"/>
        <n v="3100"/>
        <n v="3064"/>
        <n v="3098"/>
        <n v="744"/>
        <n v="1891"/>
        <n v="28"/>
        <n v="21"/>
        <n v="118"/>
        <n v="1790"/>
        <n v="2461"/>
        <n v="48"/>
        <n v="52"/>
        <n v="2197"/>
        <n v="409"/>
        <n v="1128"/>
        <n v="302"/>
        <n v="15"/>
        <n v="652"/>
        <n v="131"/>
        <n v="801"/>
        <n v="804"/>
        <n v="593"/>
        <n v="1107"/>
        <n v="351"/>
        <n v="404"/>
        <n v="102"/>
        <n v="690"/>
        <n v="467"/>
        <n v="49"/>
        <n v="14"/>
        <n v="1289"/>
        <n v="1168"/>
        <n v="1124"/>
        <n v="785"/>
        <n v="684"/>
        <n v="649"/>
        <n v="477"/>
        <n v="2189"/>
        <n v="1300"/>
        <n v="591"/>
        <n v="30"/>
        <n v="1093"/>
        <n v="629"/>
        <n v="77"/>
        <n v="361"/>
        <n v="1419"/>
        <n v="1778"/>
        <n v="1744"/>
        <n v="1708"/>
        <n v="1686"/>
        <n v="1653"/>
        <n v="1624"/>
        <n v="1583"/>
        <n v="1560"/>
        <n v="1528"/>
        <n v="1498"/>
        <n v="1472"/>
        <n v="1442"/>
        <n v="1402"/>
        <n v="1379"/>
        <n v="1319"/>
        <n v="1288"/>
        <n v="1260"/>
        <n v="1184"/>
        <n v="1143"/>
        <n v="969"/>
        <n v="763"/>
        <n v="104"/>
        <n v="75"/>
        <n v="68"/>
        <n v="729"/>
        <n v="700"/>
        <n v="1254"/>
        <n v="1603"/>
        <n v="58" u="1"/>
        <n v="1301" u="1"/>
        <n v="1063" u="1"/>
        <n v="2444" u="1"/>
        <n v="2399" u="1"/>
        <n v="2360" u="1"/>
        <n v="2325" u="1"/>
        <n v="2312" u="1"/>
        <n v="2304" u="1"/>
        <n v="2269" u="1"/>
        <n v="2241" u="1"/>
        <n v="2206" u="1"/>
        <n v="2182" u="1"/>
        <n v="2177" u="1"/>
        <n v="2150" u="1"/>
        <n v="2121" u="1"/>
        <n v="2087" u="1"/>
        <n v="2059" u="1"/>
        <n v="2024" u="1"/>
        <n v="1996" u="1"/>
        <n v="1968" u="1"/>
        <n v="1966" u="1"/>
        <n v="1931" u="1"/>
        <n v="1877" u="1"/>
        <n v="1848" u="1"/>
        <n v="1814" u="1"/>
        <n v="1786" u="1"/>
        <n v="1756" u="1"/>
        <n v="1722" u="1"/>
        <n v="1664" u="1"/>
        <n v="1650" u="1"/>
        <n v="1631" u="1"/>
        <n v="1602" u="1"/>
        <n v="1561" u="1"/>
        <n v="1538" u="1"/>
        <n v="1506" u="1"/>
        <n v="1476" u="1"/>
        <n v="1450" u="1"/>
        <n v="1420" u="1"/>
        <n v="1380" u="1"/>
        <n v="1357" u="1"/>
        <n v="1322" u="1"/>
        <n v="1297" u="1"/>
        <n v="1266" u="1"/>
        <n v="1255" u="1"/>
        <n v="1252" u="1"/>
        <n v="1238" u="1"/>
        <n v="1192" u="1"/>
        <n v="1169" u="1"/>
        <n v="1114" u="1"/>
        <n v="1112" u="1"/>
        <n v="1086" u="1"/>
        <n v="1052" u="1"/>
        <n v="1024" u="1"/>
        <n v="993" u="1"/>
        <n v="960" u="1"/>
        <n v="932" u="1"/>
        <n v="897" u="1"/>
        <n v="869" u="1"/>
        <n v="839" u="1"/>
        <n v="824" u="1"/>
        <n v="807" u="1"/>
        <n v="771" u="1"/>
        <n v="748" u="1"/>
        <n v="730" u="1"/>
        <n v="716" u="1"/>
        <n v="688" u="1"/>
        <n v="673" u="1"/>
        <n v="653" u="1"/>
        <n v="625" u="1"/>
        <n v="597" u="1"/>
        <n v="594" u="1"/>
        <n v="562" u="1"/>
        <n v="534" u="1"/>
        <n v="506" u="1"/>
        <n v="443" u="1"/>
        <n v="426" u="1"/>
        <n v="413" u="1"/>
        <n v="399" u="1"/>
        <n v="384" u="1"/>
        <n v="352" u="1"/>
        <n v="324" u="1"/>
        <n v="295" u="1"/>
        <n v="261" u="1"/>
        <n v="233" u="1"/>
        <n v="198" u="1"/>
        <n v="168" u="1"/>
        <n v="141" u="1"/>
        <n v="79" u="1"/>
        <n v="23" u="1"/>
        <n v="16" u="1"/>
        <n v="37" u="1"/>
        <n v="1" u="1"/>
        <n v="231" u="1"/>
        <n v="299" u="1"/>
        <n v="686" u="1"/>
        <n v="664" u="1"/>
        <n v="628" u="1"/>
        <n v="615" u="1"/>
        <n v="604" u="1"/>
        <n v="596" u="1"/>
        <n v="586" u="1"/>
        <n v="569" u="1"/>
        <n v="554" u="1"/>
        <n v="545" u="1"/>
        <n v="544" u="1"/>
        <n v="541" u="1"/>
        <n v="527" u="1"/>
        <n v="524" u="1"/>
        <n v="511" u="1"/>
        <n v="504" u="1"/>
        <n v="499" u="1"/>
        <n v="496" u="1"/>
        <n v="492" u="1"/>
        <n v="489" u="1"/>
        <n v="481" u="1"/>
        <n v="478" u="1"/>
        <n v="470" u="1"/>
        <n v="457" u="1"/>
        <n v="447" u="1"/>
        <n v="436" u="1"/>
        <n v="408" u="1"/>
        <n v="401" u="1"/>
        <n v="392" u="1"/>
        <n v="387" u="1"/>
        <n v="365" u="1"/>
        <n v="344" u="1"/>
        <n v="335" u="1"/>
        <n v="331" u="1"/>
        <n v="323" u="1"/>
        <n v="308" u="1"/>
        <n v="306" u="1"/>
        <n v="303" u="1"/>
        <n v="278" u="1"/>
        <n v="258" u="1"/>
        <n v="257" u="1"/>
        <n v="253" u="1"/>
        <n v="232" u="1"/>
        <n v="229" u="1"/>
        <n v="219" u="1"/>
        <n v="208" u="1"/>
        <n v="195" u="1"/>
        <n v="191" u="1"/>
        <n v="188" u="1"/>
        <n v="181" u="1"/>
        <n v="177" u="1"/>
        <n v="170" u="1"/>
        <n v="167" u="1"/>
        <n v="166" u="1"/>
        <n v="156" u="1"/>
        <n v="152" u="1"/>
        <n v="149" u="1"/>
        <n v="142" u="1"/>
        <n v="139" u="1"/>
        <n v="124" u="1"/>
        <n v="93" u="1"/>
        <n v="90" u="1"/>
        <n v="72" u="1"/>
        <n v="54" u="1"/>
        <n v="40" u="1"/>
        <n v="20" u="1"/>
        <n v="5" u="1"/>
        <n v="450" u="1"/>
        <n v="1338" u="1"/>
        <n v="51" u="1"/>
        <n v="103" u="1"/>
        <n v="100" u="1"/>
        <n v="70" u="1"/>
        <n v="2316" u="1"/>
        <n v="1342" u="1"/>
        <n v="2913" u="1"/>
        <n v="2689" u="1"/>
        <n v="422" u="1"/>
        <n v="2332" u="1"/>
        <n v="1878" u="1"/>
        <n v="1876" u="1"/>
        <n v="2041" u="1"/>
        <n v="2040" u="1"/>
        <n v="2012" u="1"/>
        <n v="1984" u="1"/>
        <n v="1947" u="1"/>
        <n v="1907" u="1"/>
        <n v="1893" u="1"/>
        <n v="1068" u="1"/>
        <n v="1040" u="1"/>
        <n v="1012" u="1"/>
        <n v="1009" u="1"/>
        <n v="2543" u="1"/>
        <n v="2516" u="1"/>
        <n v="2486" u="1"/>
        <n v="2453" u="1"/>
        <n v="2424" u="1"/>
        <n v="2390" u="1"/>
        <n v="2362" u="1"/>
        <n v="2285" u="1"/>
        <n v="2270" u="1"/>
        <n v="2222" u="1"/>
        <n v="2201" u="1"/>
        <n v="2193" u="1"/>
        <n v="2166" u="1"/>
        <n v="2137" u="1"/>
        <n v="2103" u="1"/>
        <n v="2075" u="1"/>
        <n v="138" u="1"/>
        <n v="44" u="1"/>
        <n v="1207" u="1"/>
        <n v="1208" u="1"/>
        <n v="1185" u="1"/>
        <n v="1159" u="1"/>
        <n v="1130" u="1"/>
        <n v="1102" u="1"/>
        <n v="976" u="1"/>
        <n v="948" u="1"/>
        <n v="913" u="1"/>
        <n v="885" u="1"/>
        <n v="855" u="1"/>
        <n v="823" u="1"/>
        <n v="793" u="1"/>
        <n v="764" u="1"/>
        <n v="732" u="1"/>
        <n v="704" u="1"/>
        <n v="669" u="1"/>
        <n v="641" u="1"/>
        <n v="613" u="1"/>
        <n v="578" u="1"/>
        <n v="522" u="1"/>
        <n v="459" u="1"/>
        <n v="429" u="1"/>
        <n v="400" u="1"/>
        <n v="368" u="1"/>
        <n v="340" u="1"/>
        <n v="311" u="1"/>
        <n v="277" u="1"/>
        <n v="249" u="1"/>
        <n v="184" u="1"/>
        <n v="157" u="1"/>
        <n v="120" u="1"/>
        <n v="95" u="1"/>
        <n v="65" u="1"/>
        <n v="2" u="1"/>
        <n v="2729" u="1"/>
        <n v="2667" u="1"/>
        <n v="2632" u="1"/>
        <n v="2605" u="1"/>
        <n v="2571" u="1"/>
        <n v="2548" u="1"/>
        <n v="2456" u="1"/>
        <n v="2423" u="1"/>
        <n v="2394" u="1"/>
        <n v="2244" u="1"/>
        <n v="424" u="1"/>
        <n v="981" u="1"/>
        <n v="2694" u="1"/>
        <n v="2198" u="1"/>
        <n v="1399" u="1"/>
        <n v="3036" u="1"/>
        <n v="2823" u="1"/>
        <n v="2507" u="1"/>
        <n v="2288" u="1"/>
        <n v="2251" u="1"/>
        <n v="1849" u="1"/>
        <n v="3366" u="1"/>
        <n v="3338" u="1"/>
        <n v="3306" u="1"/>
        <n v="3277" u="1"/>
        <n v="3247" u="1"/>
        <n v="3215" u="1"/>
        <n v="3186" u="1"/>
        <n v="3155" u="1"/>
        <n v="3121" u="1"/>
        <n v="3094" u="1"/>
        <n v="3058" u="1"/>
        <n v="3092" u="1"/>
        <n v="1885" u="1"/>
        <n v="1784" u="1"/>
        <n v="2455" u="1"/>
        <n v="2191" u="1"/>
        <n v="403" u="1"/>
        <n v="1122" u="1"/>
        <n v="296" u="1"/>
        <n v="9" u="1"/>
        <n v="646" u="1"/>
        <n v="125" u="1"/>
        <n v="795" u="1"/>
        <n v="798" u="1"/>
        <n v="587" u="1"/>
        <n v="1101" u="1"/>
        <n v="345" u="1"/>
        <n v="461" u="1"/>
        <n v="1283" u="1"/>
        <n v="1162" u="1"/>
        <n v="779" u="1"/>
        <n v="678" u="1"/>
        <n v="643" u="1"/>
        <n v="471" u="1"/>
        <n v="1294" u="1"/>
        <n v="585" u="1"/>
        <n v="24" u="1"/>
        <n v="1087" u="1"/>
        <n v="623" u="1"/>
        <n v="355" u="1"/>
        <n v="1413" u="1"/>
        <n v="1772" u="1"/>
        <n v="1738" u="1"/>
        <n v="1702" u="1"/>
        <n v="1680" u="1"/>
        <n v="1647" u="1"/>
        <n v="1618" u="1"/>
        <n v="1577" u="1"/>
        <n v="1554" u="1"/>
        <n v="1522" u="1"/>
        <n v="1492" u="1"/>
        <n v="1466" u="1"/>
        <n v="1436" u="1"/>
        <n v="1396" u="1"/>
        <n v="1373" u="1"/>
        <n v="1313" u="1"/>
        <n v="1282" u="1"/>
        <n v="1178" u="1"/>
        <n v="1137" u="1"/>
        <n v="963" u="1"/>
        <n v="757" u="1"/>
        <n v="98" u="1"/>
        <n v="69" u="1"/>
        <n v="62" u="1"/>
        <n v="723" u="1"/>
        <n v="1248" u="1"/>
        <n v="1597" u="1"/>
      </sharedItems>
    </cacheField>
    <cacheField name="Boekingsstatus" numFmtId="0">
      <sharedItems/>
    </cacheField>
    <cacheField name="Months (Vervaldatum)" numFmtId="0" databaseField="0">
      <fieldGroup base="6">
        <rangePr groupBy="months" startDate="2017-03-04T00:00:00" endDate="2026-05-22T00:00:00"/>
        <groupItems count="14">
          <s v="&lt;3/4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2/2026"/>
        </groupItems>
      </fieldGroup>
    </cacheField>
    <cacheField name="Quarters (Vervaldatum)" numFmtId="0" databaseField="0">
      <fieldGroup base="6">
        <rangePr groupBy="quarters" startDate="2017-03-04T00:00:00" endDate="2026-05-22T00:00:00"/>
        <groupItems count="6">
          <s v="&lt;3/4/2017"/>
          <s v="Qtr1"/>
          <s v="Qtr2"/>
          <s v="Qtr3"/>
          <s v="Qtr4"/>
          <s v="&gt;5/22/2026"/>
        </groupItems>
      </fieldGroup>
    </cacheField>
    <cacheField name="Years (Vervaldatum)" numFmtId="0" databaseField="0">
      <fieldGroup base="6">
        <rangePr groupBy="years" startDate="2017-03-04T00:00:00" endDate="2026-05-22T00:00:00"/>
        <groupItems count="12">
          <s v="&lt;3/4/2017"/>
          <s v="2017"/>
          <s v="2018"/>
          <s v="2019"/>
          <s v="2020"/>
          <s v="2021"/>
          <s v="2022"/>
          <s v="2023"/>
          <s v="2024"/>
          <s v="2025"/>
          <s v="2026"/>
          <s v="&gt;5/2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70.5809912037" createdVersion="8" refreshedVersion="8" minRefreshableVersion="3" recordCount="120" xr:uid="{813CF9FE-AB19-4A89-B811-A98E21D20675}">
  <cacheSource type="worksheet">
    <worksheetSource ref="A4:I124" sheet="Top20 "/>
  </cacheSource>
  <cacheFields count="9">
    <cacheField name="NaamDebiteur" numFmtId="0">
      <sharedItems/>
    </cacheField>
    <cacheField name="Total outstanding balance" numFmtId="165">
      <sharedItems containsSemiMixedTypes="0" containsString="0" containsNumber="1" minValue="-36905" maxValue="3729562.3099999996"/>
    </cacheField>
    <cacheField name="Oldest invoice" numFmtId="164">
      <sharedItems containsSemiMixedTypes="0" containsNonDate="0" containsDate="1" containsString="0" minDate="2017-02-02T00:00:00" maxDate="2026-05-08T00:00:00"/>
    </cacheField>
    <cacheField name="Days outstanding" numFmtId="0">
      <sharedItems containsSemiMixedTypes="0" containsString="0" containsNumber="1" containsInteger="1" minValue="21" maxValue="3402"/>
    </cacheField>
    <cacheField name="Last contact date" numFmtId="164">
      <sharedItems containsNonDate="0" containsString="0" containsBlank="1"/>
    </cacheField>
    <cacheField name="Reason not paid (if known)" numFmtId="0">
      <sharedItems containsNonDate="0" containsString="0" containsBlank="1"/>
    </cacheField>
    <cacheField name="Owner (finance / account manager)" numFmtId="0">
      <sharedItems containsBlank="1" count="12">
        <m/>
        <s v="Quirin Nieuwenhuizen"/>
        <s v="Laurens Nijssen"/>
        <s v="Shaira Castillo-Vierneza"/>
        <s v="Betty Kieboom"/>
        <s v="Edwin Mafficioli del Castelletto"/>
        <s v="Laura Vet-van Waart"/>
        <s v="Nowshin Jahan"/>
        <s v="for checking"/>
        <s v="Dave Nahar"/>
        <s v="Marcel Meerman"/>
        <s v="Quirin" u="1"/>
      </sharedItems>
    </cacheField>
    <cacheField name="Remarks" numFmtId="0">
      <sharedItems containsBlank="1"/>
    </cacheField>
    <cacheField name="Action Item" numFmtId="0">
      <sharedItems containsBlank="1" count="17">
        <s v="JPA"/>
        <s v="VNG"/>
        <s v="Payment agreement set-up - we need to update the monthly payment from 1k to 3k"/>
        <m/>
        <s v="to check if payment is updated"/>
        <s v="Email - Nice email"/>
        <s v="Email - Strickt email"/>
        <s v="Email - Standard"/>
        <s v="Deurwaarder"/>
        <s v="Deurwaarder BE - navragen"/>
        <s v="Payment Agreement"/>
        <s v="To Edwin"/>
        <s v="to deurwaarder"/>
        <s v="Email" u="1"/>
        <s v="Standard" u="1"/>
        <s v="Nice email" u="1"/>
        <s v="Strickt emai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">
  <r>
    <s v="RD1106"/>
    <s v="Van Noort Gassler &amp; Co Rotterdam B.V."/>
    <s v="1108"/>
    <x v="0"/>
    <s v="MEMO"/>
    <d v="2022-09-29T00:00:00"/>
    <x v="0"/>
    <x v="0"/>
    <n v="-22514.97"/>
    <n v="-22514.97"/>
    <n v="0"/>
    <n v="0"/>
    <n v="0"/>
    <n v="-22514.97"/>
    <x v="0"/>
    <s v="Definitief"/>
  </r>
  <r>
    <s v="RD1106"/>
    <s v="Van Noort Gassler &amp; Co Rotterdam B.V."/>
    <s v="1108"/>
    <x v="0"/>
    <s v="MEMO"/>
    <d v="2023-05-25T00:00:00"/>
    <x v="1"/>
    <x v="0"/>
    <n v="48698.36"/>
    <n v="48698.36"/>
    <n v="0"/>
    <n v="0"/>
    <n v="0"/>
    <n v="48698.36"/>
    <x v="1"/>
    <s v="Definitief"/>
  </r>
  <r>
    <s v="RD1106"/>
    <s v="Van Noort Gassler &amp; Co Rotterdam B.V."/>
    <s v="1108"/>
    <x v="0"/>
    <s v="VRK"/>
    <d v="2019-08-13T00:00:00"/>
    <x v="2"/>
    <x v="1"/>
    <n v="30.25"/>
    <n v="30.25"/>
    <n v="0"/>
    <n v="0"/>
    <n v="0"/>
    <n v="30.25"/>
    <x v="2"/>
    <s v="Definitief"/>
  </r>
  <r>
    <s v="RD1106"/>
    <s v="Van Noort Gassler &amp; Co Rotterdam B.V."/>
    <s v="1108"/>
    <x v="0"/>
    <s v="VRK"/>
    <d v="2019-08-13T00:00:00"/>
    <x v="2"/>
    <x v="2"/>
    <n v="61.59"/>
    <n v="61.59"/>
    <n v="0"/>
    <n v="0"/>
    <n v="0"/>
    <n v="61.59"/>
    <x v="2"/>
    <s v="Definitief"/>
  </r>
  <r>
    <s v="RD1106"/>
    <s v="Van Noort Gassler &amp; Co Rotterdam B.V."/>
    <s v="1108"/>
    <x v="0"/>
    <s v="VRK"/>
    <d v="2019-08-13T00:00:00"/>
    <x v="2"/>
    <x v="3"/>
    <n v="145.13"/>
    <n v="145.13"/>
    <n v="0"/>
    <n v="0"/>
    <n v="0"/>
    <n v="145.13"/>
    <x v="2"/>
    <s v="Definitief"/>
  </r>
  <r>
    <s v="RD1106"/>
    <s v="Van Noort Gassler &amp; Co Rotterdam B.V."/>
    <s v="1108"/>
    <x v="0"/>
    <s v="VRK"/>
    <d v="2019-09-27T00:00:00"/>
    <x v="3"/>
    <x v="4"/>
    <n v="30.25"/>
    <n v="30.25"/>
    <n v="0"/>
    <n v="0"/>
    <n v="0"/>
    <n v="30.25"/>
    <x v="3"/>
    <s v="Definitief"/>
  </r>
  <r>
    <s v="RD1106"/>
    <s v="Van Noort Gassler &amp; Co Rotterdam B.V."/>
    <s v="1108"/>
    <x v="0"/>
    <s v="VRK"/>
    <d v="2019-09-27T00:00:00"/>
    <x v="3"/>
    <x v="5"/>
    <n v="61.64"/>
    <n v="61.64"/>
    <n v="0"/>
    <n v="0"/>
    <n v="0"/>
    <n v="61.64"/>
    <x v="3"/>
    <s v="Definitief"/>
  </r>
  <r>
    <s v="RD1106"/>
    <s v="Van Noort Gassler &amp; Co Rotterdam B.V."/>
    <s v="1108"/>
    <x v="0"/>
    <s v="VRK"/>
    <d v="2019-09-27T00:00:00"/>
    <x v="3"/>
    <x v="6"/>
    <n v="145.13"/>
    <n v="145.13"/>
    <n v="0"/>
    <n v="0"/>
    <n v="0"/>
    <n v="145.13"/>
    <x v="3"/>
    <s v="Definitief"/>
  </r>
  <r>
    <s v="RD1106"/>
    <s v="Van Noort Gassler &amp; Co Rotterdam B.V."/>
    <s v="1108"/>
    <x v="0"/>
    <s v="VRK"/>
    <d v="2019-11-05T00:00:00"/>
    <x v="4"/>
    <x v="7"/>
    <n v="30.25"/>
    <n v="30.25"/>
    <n v="0"/>
    <n v="0"/>
    <n v="0"/>
    <n v="30.25"/>
    <x v="4"/>
    <s v="Definitief"/>
  </r>
  <r>
    <s v="RD1106"/>
    <s v="Van Noort Gassler &amp; Co Rotterdam B.V."/>
    <s v="1108"/>
    <x v="0"/>
    <s v="VRK"/>
    <d v="2019-11-05T00:00:00"/>
    <x v="4"/>
    <x v="8"/>
    <n v="30.25"/>
    <n v="30.25"/>
    <n v="0"/>
    <n v="0"/>
    <n v="0"/>
    <n v="30.25"/>
    <x v="4"/>
    <s v="Definitief"/>
  </r>
  <r>
    <s v="RD1106"/>
    <s v="Van Noort Gassler &amp; Co Rotterdam B.V."/>
    <s v="1108"/>
    <x v="0"/>
    <s v="VRK"/>
    <d v="2019-11-05T00:00:00"/>
    <x v="4"/>
    <x v="9"/>
    <n v="61.33"/>
    <n v="61.33"/>
    <n v="0"/>
    <n v="0"/>
    <n v="0"/>
    <n v="61.33"/>
    <x v="4"/>
    <s v="Definitief"/>
  </r>
  <r>
    <s v="RD1106"/>
    <s v="Van Noort Gassler &amp; Co Rotterdam B.V."/>
    <s v="1108"/>
    <x v="0"/>
    <s v="VRK"/>
    <d v="2019-11-05T00:00:00"/>
    <x v="4"/>
    <x v="10"/>
    <n v="145.13"/>
    <n v="145.13"/>
    <n v="0"/>
    <n v="0"/>
    <n v="0"/>
    <n v="145.13"/>
    <x v="4"/>
    <s v="Definitief"/>
  </r>
  <r>
    <s v="RD1106"/>
    <s v="Van Noort Gassler &amp; Co Rotterdam B.V."/>
    <s v="1108"/>
    <x v="0"/>
    <s v="VRK"/>
    <d v="2019-11-05T00:00:00"/>
    <x v="4"/>
    <x v="11"/>
    <n v="61.08"/>
    <n v="61.08"/>
    <n v="0"/>
    <n v="0"/>
    <n v="0"/>
    <n v="61.08"/>
    <x v="4"/>
    <s v="Definitief"/>
  </r>
  <r>
    <s v="RD1106"/>
    <s v="Van Noort Gassler &amp; Co Rotterdam B.V."/>
    <s v="1108"/>
    <x v="0"/>
    <s v="VRK"/>
    <d v="2019-11-05T00:00:00"/>
    <x v="4"/>
    <x v="12"/>
    <n v="145.13"/>
    <n v="145.13"/>
    <n v="0"/>
    <n v="0"/>
    <n v="0"/>
    <n v="145.13"/>
    <x v="4"/>
    <s v="Definitief"/>
  </r>
  <r>
    <s v="RD1106"/>
    <s v="Van Noort Gassler &amp; Co Rotterdam B.V."/>
    <s v="1108"/>
    <x v="0"/>
    <s v="VRK"/>
    <d v="2019-12-10T00:00:00"/>
    <x v="5"/>
    <x v="13"/>
    <n v="145.13"/>
    <n v="145.13"/>
    <n v="0"/>
    <n v="0"/>
    <n v="0"/>
    <n v="145.13"/>
    <x v="5"/>
    <s v="Definitief"/>
  </r>
  <r>
    <s v="RD1106"/>
    <s v="Van Noort Gassler &amp; Co Rotterdam B.V."/>
    <s v="1108"/>
    <x v="0"/>
    <s v="VRK"/>
    <d v="2019-12-10T00:00:00"/>
    <x v="5"/>
    <x v="14"/>
    <n v="61.13"/>
    <n v="61.13"/>
    <n v="0"/>
    <n v="0"/>
    <n v="0"/>
    <n v="61.13"/>
    <x v="5"/>
    <s v="Definitief"/>
  </r>
  <r>
    <s v="RD1106"/>
    <s v="Van Noort Gassler &amp; Co Rotterdam B.V."/>
    <s v="1108"/>
    <x v="0"/>
    <s v="VRK"/>
    <d v="2019-12-10T00:00:00"/>
    <x v="5"/>
    <x v="15"/>
    <n v="30.25"/>
    <n v="30.25"/>
    <n v="0"/>
    <n v="0"/>
    <n v="0"/>
    <n v="30.25"/>
    <x v="5"/>
    <s v="Definitief"/>
  </r>
  <r>
    <s v="RD1106"/>
    <s v="Van Noort Gassler &amp; Co Rotterdam B.V."/>
    <s v="1108"/>
    <x v="0"/>
    <s v="VRK"/>
    <d v="2019-12-23T00:00:00"/>
    <x v="6"/>
    <x v="16"/>
    <n v="3882.45"/>
    <n v="3882.45"/>
    <n v="0"/>
    <n v="0"/>
    <n v="0"/>
    <n v="3882.45"/>
    <x v="6"/>
    <s v="Definitief"/>
  </r>
  <r>
    <s v="RD1106"/>
    <s v="Van Noort Gassler &amp; Co Rotterdam B.V."/>
    <s v="1108"/>
    <x v="0"/>
    <s v="VRK"/>
    <d v="2019-12-31T00:00:00"/>
    <x v="7"/>
    <x v="17"/>
    <n v="30.25"/>
    <n v="30.25"/>
    <n v="0"/>
    <n v="0"/>
    <n v="0"/>
    <n v="30.25"/>
    <x v="7"/>
    <s v="Definitief"/>
  </r>
  <r>
    <s v="RD1106"/>
    <s v="Van Noort Gassler &amp; Co Rotterdam B.V."/>
    <s v="1108"/>
    <x v="0"/>
    <s v="VRK"/>
    <d v="2019-12-31T00:00:00"/>
    <x v="7"/>
    <x v="18"/>
    <n v="61.01"/>
    <n v="61.01"/>
    <n v="0"/>
    <n v="0"/>
    <n v="0"/>
    <n v="61.01"/>
    <x v="7"/>
    <s v="Definitief"/>
  </r>
  <r>
    <s v="RD1106"/>
    <s v="Van Noort Gassler &amp; Co Rotterdam B.V."/>
    <s v="1108"/>
    <x v="0"/>
    <s v="VRK"/>
    <d v="2019-12-31T00:00:00"/>
    <x v="7"/>
    <x v="19"/>
    <n v="448.46"/>
    <n v="448.46"/>
    <n v="0"/>
    <n v="0"/>
    <n v="0"/>
    <n v="448.46"/>
    <x v="7"/>
    <s v="Definitief"/>
  </r>
  <r>
    <s v="RD1106"/>
    <s v="Van Noort Gassler &amp; Co Rotterdam B.V."/>
    <s v="1108"/>
    <x v="0"/>
    <s v="VRK"/>
    <d v="2020-02-04T00:00:00"/>
    <x v="8"/>
    <x v="20"/>
    <n v="253.5"/>
    <n v="253.5"/>
    <n v="0"/>
    <n v="0"/>
    <n v="0"/>
    <n v="253.5"/>
    <x v="8"/>
    <s v="Definitief"/>
  </r>
  <r>
    <s v="RD1106"/>
    <s v="Van Noort Gassler &amp; Co Rotterdam B.V."/>
    <s v="1108"/>
    <x v="0"/>
    <s v="VRK"/>
    <d v="2020-02-04T00:00:00"/>
    <x v="8"/>
    <x v="21"/>
    <n v="253.5"/>
    <n v="253.5"/>
    <n v="0"/>
    <n v="0"/>
    <n v="0"/>
    <n v="253.5"/>
    <x v="8"/>
    <s v="Definitief"/>
  </r>
  <r>
    <s v="RD1106"/>
    <s v="Van Noort Gassler &amp; Co Rotterdam B.V."/>
    <s v="1108"/>
    <x v="0"/>
    <s v="VRK"/>
    <d v="2020-03-03T00:00:00"/>
    <x v="9"/>
    <x v="22"/>
    <n v="253.5"/>
    <n v="253.5"/>
    <n v="0"/>
    <n v="0"/>
    <n v="0"/>
    <n v="253.5"/>
    <x v="9"/>
    <s v="Definitief"/>
  </r>
  <r>
    <s v="RD1106"/>
    <s v="Van Noort Gassler &amp; Co Rotterdam B.V."/>
    <s v="1108"/>
    <x v="0"/>
    <s v="VRK"/>
    <d v="2020-04-07T00:00:00"/>
    <x v="10"/>
    <x v="23"/>
    <n v="253.5"/>
    <n v="253.5"/>
    <n v="0"/>
    <n v="0"/>
    <n v="0"/>
    <n v="253.5"/>
    <x v="10"/>
    <s v="Definitief"/>
  </r>
  <r>
    <s v="RD1106"/>
    <s v="Van Noort Gassler &amp; Co Rotterdam B.V."/>
    <s v="1108"/>
    <x v="0"/>
    <s v="VRK"/>
    <d v="2020-05-01T00:00:00"/>
    <x v="11"/>
    <x v="24"/>
    <n v="121.65"/>
    <n v="121.65"/>
    <n v="0"/>
    <n v="0"/>
    <n v="0"/>
    <n v="121.65"/>
    <x v="11"/>
    <s v="Definitief"/>
  </r>
  <r>
    <s v="RD1106"/>
    <s v="Van Noort Gassler &amp; Co Rotterdam B.V."/>
    <s v="1108"/>
    <x v="0"/>
    <s v="VRK"/>
    <d v="2020-05-06T00:00:00"/>
    <x v="12"/>
    <x v="25"/>
    <n v="256.52"/>
    <n v="256.52"/>
    <n v="0"/>
    <n v="0"/>
    <n v="0"/>
    <n v="256.52"/>
    <x v="12"/>
    <s v="Definitief"/>
  </r>
  <r>
    <s v="RD1106"/>
    <s v="Van Noort Gassler &amp; Co Rotterdam B.V."/>
    <s v="1108"/>
    <x v="0"/>
    <s v="VRK"/>
    <d v="2020-05-06T00:00:00"/>
    <x v="12"/>
    <x v="26"/>
    <n v="12.1"/>
    <n v="12.1"/>
    <n v="0"/>
    <n v="0"/>
    <n v="0"/>
    <n v="12.1"/>
    <x v="12"/>
    <s v="Definitief"/>
  </r>
  <r>
    <s v="RD1106"/>
    <s v="Van Noort Gassler &amp; Co Rotterdam B.V."/>
    <s v="1108"/>
    <x v="0"/>
    <s v="VRK"/>
    <d v="2020-06-02T00:00:00"/>
    <x v="13"/>
    <x v="27"/>
    <n v="258.94"/>
    <n v="258.94"/>
    <n v="0"/>
    <n v="0"/>
    <n v="0"/>
    <n v="258.94"/>
    <x v="13"/>
    <s v="Definitief"/>
  </r>
  <r>
    <s v="RD1106"/>
    <s v="Van Noort Gassler &amp; Co Rotterdam B.V."/>
    <s v="1108"/>
    <x v="0"/>
    <s v="VRK"/>
    <d v="2020-07-01T00:00:00"/>
    <x v="14"/>
    <x v="28"/>
    <n v="258.94"/>
    <n v="258.94"/>
    <n v="0"/>
    <n v="0"/>
    <n v="0"/>
    <n v="258.94"/>
    <x v="14"/>
    <s v="Definitief"/>
  </r>
  <r>
    <s v="RD1106"/>
    <s v="Van Noort Gassler &amp; Co Rotterdam B.V."/>
    <s v="1108"/>
    <x v="0"/>
    <s v="VRK"/>
    <d v="2020-07-01T00:00:00"/>
    <x v="14"/>
    <x v="29"/>
    <n v="17.25"/>
    <n v="17.25"/>
    <n v="0"/>
    <n v="0"/>
    <n v="0"/>
    <n v="17.25"/>
    <x v="14"/>
    <s v="Definitief"/>
  </r>
  <r>
    <s v="RD1106"/>
    <s v="Van Noort Gassler &amp; Co Rotterdam B.V."/>
    <s v="1108"/>
    <x v="0"/>
    <s v="VRK"/>
    <d v="2020-08-04T00:00:00"/>
    <x v="15"/>
    <x v="30"/>
    <n v="258.94"/>
    <n v="258.94"/>
    <n v="0"/>
    <n v="0"/>
    <n v="0"/>
    <n v="258.94"/>
    <x v="15"/>
    <s v="Definitief"/>
  </r>
  <r>
    <s v="RD1106"/>
    <s v="Van Noort Gassler &amp; Co Rotterdam B.V."/>
    <s v="1108"/>
    <x v="0"/>
    <s v="VRK"/>
    <d v="2020-09-01T00:00:00"/>
    <x v="16"/>
    <x v="31"/>
    <n v="258.94"/>
    <n v="258.94"/>
    <n v="0"/>
    <n v="0"/>
    <n v="0"/>
    <n v="258.94"/>
    <x v="16"/>
    <s v="Definitief"/>
  </r>
  <r>
    <s v="RD1106"/>
    <s v="Van Noort Gassler &amp; Co Rotterdam B.V."/>
    <s v="1108"/>
    <x v="0"/>
    <s v="VRK"/>
    <d v="2020-10-06T00:00:00"/>
    <x v="17"/>
    <x v="32"/>
    <n v="258.94"/>
    <n v="258.94"/>
    <n v="0"/>
    <n v="0"/>
    <n v="0"/>
    <n v="258.94"/>
    <x v="17"/>
    <s v="Definitief"/>
  </r>
  <r>
    <s v="RD1106"/>
    <s v="Van Noort Gassler &amp; Co Rotterdam B.V."/>
    <s v="1108"/>
    <x v="0"/>
    <s v="VRK"/>
    <d v="2020-11-03T00:00:00"/>
    <x v="18"/>
    <x v="33"/>
    <n v="258.94"/>
    <n v="258.94"/>
    <n v="0"/>
    <n v="0"/>
    <n v="0"/>
    <n v="258.94"/>
    <x v="18"/>
    <s v="Definitief"/>
  </r>
  <r>
    <s v="RD1106"/>
    <s v="Van Noort Gassler &amp; Co Rotterdam B.V."/>
    <s v="1108"/>
    <x v="0"/>
    <s v="VRK"/>
    <d v="2020-12-01T00:00:00"/>
    <x v="19"/>
    <x v="34"/>
    <n v="258.94"/>
    <n v="258.94"/>
    <n v="0"/>
    <n v="0"/>
    <n v="0"/>
    <n v="258.94"/>
    <x v="19"/>
    <s v="Definitief"/>
  </r>
  <r>
    <s v="RD1106"/>
    <s v="Van Noort Gassler &amp; Co Rotterdam B.V."/>
    <s v="1108"/>
    <x v="0"/>
    <s v="VRK"/>
    <d v="2020-12-03T00:00:00"/>
    <x v="20"/>
    <x v="35"/>
    <n v="4764.68"/>
    <n v="4764.68"/>
    <n v="0"/>
    <n v="0"/>
    <n v="0"/>
    <n v="4764.68"/>
    <x v="20"/>
    <s v="Definitief"/>
  </r>
  <r>
    <s v="RD1106"/>
    <s v="Van Noort Gassler &amp; Co Rotterdam B.V."/>
    <s v="1108"/>
    <x v="0"/>
    <s v="VRK"/>
    <d v="2021-01-07T00:00:00"/>
    <x v="21"/>
    <x v="36"/>
    <n v="258.94"/>
    <n v="258.94"/>
    <n v="0"/>
    <n v="0"/>
    <n v="0"/>
    <n v="258.94"/>
    <x v="21"/>
    <s v="Definitief"/>
  </r>
  <r>
    <s v="RD1106"/>
    <s v="Van Noort Gassler &amp; Co Rotterdam B.V."/>
    <s v="1108"/>
    <x v="0"/>
    <s v="VRK"/>
    <d v="2021-02-16T00:00:00"/>
    <x v="22"/>
    <x v="37"/>
    <n v="258.94"/>
    <n v="258.94"/>
    <n v="0"/>
    <n v="0"/>
    <n v="0"/>
    <n v="258.94"/>
    <x v="22"/>
    <s v="Definitief"/>
  </r>
  <r>
    <s v="RD1106"/>
    <s v="Van Noort Gassler &amp; Co Rotterdam B.V."/>
    <s v="1108"/>
    <x v="0"/>
    <s v="VRK"/>
    <d v="2021-03-02T00:00:00"/>
    <x v="23"/>
    <x v="38"/>
    <n v="258.94"/>
    <n v="258.94"/>
    <n v="0"/>
    <n v="0"/>
    <n v="0"/>
    <n v="258.94"/>
    <x v="23"/>
    <s v="Definitief"/>
  </r>
  <r>
    <s v="RD1106"/>
    <s v="Van Noort Gassler &amp; Co Rotterdam B.V."/>
    <s v="1108"/>
    <x v="0"/>
    <s v="VRK"/>
    <d v="2021-03-31T00:00:00"/>
    <x v="24"/>
    <x v="39"/>
    <n v="258.94"/>
    <n v="258.94"/>
    <n v="0"/>
    <n v="0"/>
    <n v="0"/>
    <n v="258.94"/>
    <x v="24"/>
    <s v="Definitief"/>
  </r>
  <r>
    <s v="RD1106"/>
    <s v="Van Noort Gassler &amp; Co Rotterdam B.V."/>
    <s v="1108"/>
    <x v="0"/>
    <s v="VRK"/>
    <d v="2021-05-04T00:00:00"/>
    <x v="25"/>
    <x v="40"/>
    <n v="258.94"/>
    <n v="258.94"/>
    <n v="0"/>
    <n v="0"/>
    <n v="0"/>
    <n v="258.94"/>
    <x v="25"/>
    <s v="Definitief"/>
  </r>
  <r>
    <s v="RD1106"/>
    <s v="Van Noort Gassler &amp; Co Rotterdam B.V."/>
    <s v="1108"/>
    <x v="0"/>
    <s v="VRK"/>
    <d v="2021-06-01T00:00:00"/>
    <x v="26"/>
    <x v="41"/>
    <n v="258.94"/>
    <n v="258.94"/>
    <n v="0"/>
    <n v="0"/>
    <n v="0"/>
    <n v="258.94"/>
    <x v="26"/>
    <s v="Definitief"/>
  </r>
  <r>
    <s v="RD1106"/>
    <s v="Van Noort Gassler &amp; Co Rotterdam B.V."/>
    <s v="1108"/>
    <x v="0"/>
    <s v="VRK"/>
    <d v="2021-07-01T00:00:00"/>
    <x v="27"/>
    <x v="42"/>
    <n v="258.94"/>
    <n v="258.94"/>
    <n v="0"/>
    <n v="0"/>
    <n v="0"/>
    <n v="258.94"/>
    <x v="27"/>
    <s v="Definitief"/>
  </r>
  <r>
    <s v="RD1106"/>
    <s v="Van Noort Gassler &amp; Co Rotterdam B.V."/>
    <s v="1108"/>
    <x v="0"/>
    <s v="VRK"/>
    <d v="2021-08-04T00:00:00"/>
    <x v="28"/>
    <x v="43"/>
    <n v="258.94"/>
    <n v="258.94"/>
    <n v="0"/>
    <n v="0"/>
    <n v="0"/>
    <n v="258.94"/>
    <x v="28"/>
    <s v="Definitief"/>
  </r>
  <r>
    <s v="RD1106"/>
    <s v="Van Noort Gassler &amp; Co Rotterdam B.V."/>
    <s v="1108"/>
    <x v="0"/>
    <s v="VRK"/>
    <d v="2021-09-09T00:00:00"/>
    <x v="29"/>
    <x v="44"/>
    <n v="258.94"/>
    <n v="258.94"/>
    <n v="0"/>
    <n v="0"/>
    <n v="0"/>
    <n v="258.94"/>
    <x v="29"/>
    <s v="Definitief"/>
  </r>
  <r>
    <s v="RD1106"/>
    <s v="Van Noort Gassler &amp; Co Rotterdam B.V."/>
    <s v="1108"/>
    <x v="0"/>
    <s v="VRK"/>
    <d v="2021-10-01T00:00:00"/>
    <x v="30"/>
    <x v="45"/>
    <n v="258.94"/>
    <n v="258.94"/>
    <n v="0"/>
    <n v="0"/>
    <n v="0"/>
    <n v="258.94"/>
    <x v="30"/>
    <s v="Definitief"/>
  </r>
  <r>
    <s v="RD1106"/>
    <s v="Van Noort Gassler &amp; Co Rotterdam B.V."/>
    <s v="1108"/>
    <x v="0"/>
    <s v="VRK"/>
    <d v="2021-10-15T00:00:00"/>
    <x v="31"/>
    <x v="46"/>
    <n v="3438.12"/>
    <n v="3438.12"/>
    <n v="0"/>
    <n v="0"/>
    <n v="0"/>
    <n v="3438.12"/>
    <x v="31"/>
    <s v="Definitief"/>
  </r>
  <r>
    <s v="RD1106"/>
    <s v="Van Noort Gassler &amp; Co Rotterdam B.V."/>
    <s v="1108"/>
    <x v="0"/>
    <s v="VRK"/>
    <d v="2021-11-03T00:00:00"/>
    <x v="32"/>
    <x v="47"/>
    <n v="258.94"/>
    <n v="258.94"/>
    <n v="0"/>
    <n v="0"/>
    <n v="0"/>
    <n v="258.94"/>
    <x v="32"/>
    <s v="Definitief"/>
  </r>
  <r>
    <s v="RD1106"/>
    <s v="Van Noort Gassler &amp; Co Rotterdam B.V."/>
    <s v="1108"/>
    <x v="0"/>
    <s v="VRK"/>
    <d v="2021-12-02T00:00:00"/>
    <x v="33"/>
    <x v="48"/>
    <n v="258.94"/>
    <n v="258.94"/>
    <n v="0"/>
    <n v="0"/>
    <n v="0"/>
    <n v="258.94"/>
    <x v="33"/>
    <s v="Definitief"/>
  </r>
  <r>
    <s v="RD1106"/>
    <s v="Van Noort Gassler &amp; Co Rotterdam B.V."/>
    <s v="1108"/>
    <x v="0"/>
    <s v="VRK"/>
    <d v="2022-01-12T00:00:00"/>
    <x v="34"/>
    <x v="49"/>
    <n v="258.94"/>
    <n v="258.94"/>
    <n v="0"/>
    <n v="0"/>
    <n v="0"/>
    <n v="258.94"/>
    <x v="34"/>
    <s v="Definitief"/>
  </r>
  <r>
    <s v="RD1106"/>
    <s v="Van Noort Gassler &amp; Co Rotterdam B.V."/>
    <s v="1108"/>
    <x v="0"/>
    <s v="VRK"/>
    <d v="2022-02-04T00:00:00"/>
    <x v="35"/>
    <x v="50"/>
    <n v="258.94"/>
    <n v="258.94"/>
    <n v="0"/>
    <n v="0"/>
    <n v="0"/>
    <n v="258.94"/>
    <x v="35"/>
    <s v="Definitief"/>
  </r>
  <r>
    <s v="RD1106"/>
    <s v="Van Noort Gassler &amp; Co Rotterdam B.V."/>
    <s v="1108"/>
    <x v="0"/>
    <s v="VRK"/>
    <d v="2022-03-08T00:00:00"/>
    <x v="36"/>
    <x v="51"/>
    <n v="258.94"/>
    <n v="258.94"/>
    <n v="0"/>
    <n v="0"/>
    <n v="0"/>
    <n v="258.94"/>
    <x v="36"/>
    <s v="Definitief"/>
  </r>
  <r>
    <s v="RD1106"/>
    <s v="Van Noort Gassler &amp; Co Rotterdam B.V."/>
    <s v="1108"/>
    <x v="0"/>
    <s v="VRK"/>
    <d v="2022-04-07T00:00:00"/>
    <x v="37"/>
    <x v="52"/>
    <n v="258.94"/>
    <n v="258.94"/>
    <n v="0"/>
    <n v="0"/>
    <n v="0"/>
    <n v="258.94"/>
    <x v="37"/>
    <s v="Definitief"/>
  </r>
  <r>
    <s v="RD1106"/>
    <s v="Van Noort Gassler &amp; Co Rotterdam B.V."/>
    <s v="1108"/>
    <x v="0"/>
    <s v="VRK"/>
    <d v="2022-05-03T00:00:00"/>
    <x v="38"/>
    <x v="53"/>
    <n v="258.94"/>
    <n v="258.94"/>
    <n v="0"/>
    <n v="0"/>
    <n v="0"/>
    <n v="258.94"/>
    <x v="38"/>
    <s v="Definitief"/>
  </r>
  <r>
    <s v="RD1106"/>
    <s v="Van Noort Gassler &amp; Co Rotterdam B.V."/>
    <s v="1108"/>
    <x v="0"/>
    <s v="VRK"/>
    <d v="2022-06-02T00:00:00"/>
    <x v="39"/>
    <x v="54"/>
    <n v="258.94"/>
    <n v="258.94"/>
    <n v="0"/>
    <n v="0"/>
    <n v="0"/>
    <n v="258.94"/>
    <x v="39"/>
    <s v="Definitief"/>
  </r>
  <r>
    <s v="RD1106"/>
    <s v="Van Noort Gassler &amp; Co Rotterdam B.V."/>
    <s v="1108"/>
    <x v="0"/>
    <s v="VRK"/>
    <d v="2022-06-20T00:00:00"/>
    <x v="40"/>
    <x v="55"/>
    <n v="10608.07"/>
    <n v="10608.07"/>
    <n v="0"/>
    <n v="0"/>
    <n v="0"/>
    <n v="10608.07"/>
    <x v="40"/>
    <s v="Definitief"/>
  </r>
  <r>
    <s v="RD1106"/>
    <s v="Van Noort Gassler &amp; Co Rotterdam B.V."/>
    <s v="1108"/>
    <x v="0"/>
    <s v="VRK"/>
    <d v="2022-06-20T00:00:00"/>
    <x v="40"/>
    <x v="56"/>
    <n v="-10608.07"/>
    <n v="-10608.07"/>
    <n v="0"/>
    <n v="0"/>
    <n v="0"/>
    <n v="-10608.07"/>
    <x v="40"/>
    <s v="Definitief"/>
  </r>
  <r>
    <s v="RD1106"/>
    <s v="Van Noort Gassler &amp; Co Rotterdam B.V."/>
    <s v="1108"/>
    <x v="0"/>
    <s v="VRK"/>
    <d v="2022-07-12T00:00:00"/>
    <x v="41"/>
    <x v="57"/>
    <n v="258.94"/>
    <n v="258.94"/>
    <n v="0"/>
    <n v="0"/>
    <n v="0"/>
    <n v="258.94"/>
    <x v="41"/>
    <s v="Definitief"/>
  </r>
  <r>
    <s v="RD1106"/>
    <s v="Van Noort Gassler &amp; Co Rotterdam B.V."/>
    <s v="1108"/>
    <x v="0"/>
    <s v="VRK"/>
    <d v="2022-08-04T00:00:00"/>
    <x v="42"/>
    <x v="58"/>
    <n v="258.94"/>
    <n v="258.94"/>
    <n v="0"/>
    <n v="0"/>
    <n v="0"/>
    <n v="258.94"/>
    <x v="42"/>
    <s v="Definitief"/>
  </r>
  <r>
    <s v="RD1106"/>
    <s v="Van Noort Gassler &amp; Co Rotterdam B.V."/>
    <s v="1108"/>
    <x v="0"/>
    <s v="VRK"/>
    <d v="2022-09-08T00:00:00"/>
    <x v="43"/>
    <x v="59"/>
    <n v="293.43"/>
    <n v="293.43"/>
    <n v="0"/>
    <n v="0"/>
    <n v="0"/>
    <n v="293.43"/>
    <x v="43"/>
    <s v="Definitief"/>
  </r>
  <r>
    <s v="RD1106"/>
    <s v="Van Noort Gassler &amp; Co Rotterdam B.V."/>
    <s v="1108"/>
    <x v="0"/>
    <s v="VRK"/>
    <d v="2022-10-03T00:00:00"/>
    <x v="44"/>
    <x v="60"/>
    <n v="293.43"/>
    <n v="293.43"/>
    <n v="0"/>
    <n v="0"/>
    <n v="0"/>
    <n v="293.43"/>
    <x v="44"/>
    <s v="Definitief"/>
  </r>
  <r>
    <s v="RD1106"/>
    <s v="Van Noort Gassler &amp; Co Rotterdam B.V."/>
    <s v="1108"/>
    <x v="0"/>
    <s v="VRK"/>
    <d v="2022-11-03T00:00:00"/>
    <x v="45"/>
    <x v="61"/>
    <n v="293.43"/>
    <n v="293.43"/>
    <n v="0"/>
    <n v="0"/>
    <n v="0"/>
    <n v="293.43"/>
    <x v="45"/>
    <s v="Definitief"/>
  </r>
  <r>
    <s v="RD1106"/>
    <s v="Van Noort Gassler &amp; Co Rotterdam B.V."/>
    <s v="1108"/>
    <x v="0"/>
    <s v="VRK"/>
    <d v="2022-11-14T00:00:00"/>
    <x v="46"/>
    <x v="62"/>
    <n v="6352.5"/>
    <n v="6352.5"/>
    <n v="0"/>
    <n v="0"/>
    <n v="0"/>
    <n v="6352.5"/>
    <x v="46"/>
    <s v="Definitief"/>
  </r>
  <r>
    <s v="RD1106"/>
    <s v="Van Noort Gassler &amp; Co Rotterdam B.V."/>
    <s v="1108"/>
    <x v="0"/>
    <s v="VRK"/>
    <d v="2022-11-17T00:00:00"/>
    <x v="47"/>
    <x v="63"/>
    <n v="31900.48"/>
    <n v="31900.48"/>
    <n v="0"/>
    <n v="0"/>
    <n v="0"/>
    <n v="31900.48"/>
    <x v="47"/>
    <s v="Definitief"/>
  </r>
  <r>
    <s v="RD1106"/>
    <s v="Van Noort Gassler &amp; Co Rotterdam B.V."/>
    <s v="1108"/>
    <x v="0"/>
    <s v="VRK"/>
    <d v="2022-11-17T00:00:00"/>
    <x v="47"/>
    <x v="64"/>
    <n v="32761.81"/>
    <n v="32761.81"/>
    <n v="0"/>
    <n v="0"/>
    <n v="0"/>
    <n v="32761.81"/>
    <x v="47"/>
    <s v="Definitief"/>
  </r>
  <r>
    <s v="RD1106"/>
    <s v="Van Noort Gassler &amp; Co Rotterdam B.V."/>
    <s v="1108"/>
    <x v="0"/>
    <s v="VRK"/>
    <d v="2022-12-01T00:00:00"/>
    <x v="48"/>
    <x v="65"/>
    <n v="293.43"/>
    <n v="293.43"/>
    <n v="0"/>
    <n v="0"/>
    <n v="0"/>
    <n v="293.43"/>
    <x v="48"/>
    <s v="Definitief"/>
  </r>
  <r>
    <s v="RD1106"/>
    <s v="Van Noort Gassler &amp; Co Rotterdam B.V."/>
    <s v="1108"/>
    <x v="0"/>
    <s v="VRK"/>
    <d v="2023-01-16T00:00:00"/>
    <x v="49"/>
    <x v="66"/>
    <n v="293.43"/>
    <n v="293.43"/>
    <n v="0"/>
    <n v="0"/>
    <n v="0"/>
    <n v="293.43"/>
    <x v="49"/>
    <s v="Definitief"/>
  </r>
  <r>
    <s v="RD1106"/>
    <s v="Van Noort Gassler &amp; Co Rotterdam B.V."/>
    <s v="1108"/>
    <x v="0"/>
    <s v="VRK"/>
    <d v="2023-02-08T00:00:00"/>
    <x v="50"/>
    <x v="67"/>
    <n v="293.43"/>
    <n v="293.43"/>
    <n v="0"/>
    <n v="0"/>
    <n v="0"/>
    <n v="293.43"/>
    <x v="50"/>
    <s v="Definitief"/>
  </r>
  <r>
    <s v="RD1106"/>
    <s v="Van Noort Gassler &amp; Co Rotterdam B.V."/>
    <s v="1108"/>
    <x v="0"/>
    <s v="VRK"/>
    <d v="2023-03-06T00:00:00"/>
    <x v="51"/>
    <x v="68"/>
    <n v="293.43"/>
    <n v="293.43"/>
    <n v="0"/>
    <n v="0"/>
    <n v="0"/>
    <n v="293.43"/>
    <x v="51"/>
    <s v="Definitief"/>
  </r>
  <r>
    <s v="RD1106"/>
    <s v="Van Noort Gassler &amp; Co Rotterdam B.V."/>
    <s v="1108"/>
    <x v="0"/>
    <s v="VRK"/>
    <d v="2023-04-04T00:00:00"/>
    <x v="52"/>
    <x v="69"/>
    <n v="293.43"/>
    <n v="293.43"/>
    <n v="0"/>
    <n v="0"/>
    <n v="0"/>
    <n v="293.43"/>
    <x v="52"/>
    <s v="Definitief"/>
  </r>
  <r>
    <s v="RD1106"/>
    <s v="Van Noort Gassler &amp; Co Rotterdam B.V."/>
    <s v="1108"/>
    <x v="0"/>
    <s v="VRK"/>
    <d v="2023-04-06T00:00:00"/>
    <x v="53"/>
    <x v="70"/>
    <n v="121.21"/>
    <n v="121.21"/>
    <n v="0"/>
    <n v="0"/>
    <n v="0"/>
    <n v="121.21"/>
    <x v="53"/>
    <s v="Definitief"/>
  </r>
  <r>
    <s v="RD1106"/>
    <s v="Van Noort Gassler &amp; Co Rotterdam B.V."/>
    <s v="1108"/>
    <x v="0"/>
    <s v="VRK"/>
    <d v="2023-05-02T00:00:00"/>
    <x v="54"/>
    <x v="71"/>
    <n v="222.89"/>
    <n v="222.89"/>
    <n v="0"/>
    <n v="0"/>
    <n v="0"/>
    <n v="222.89"/>
    <x v="54"/>
    <s v="Definitief"/>
  </r>
  <r>
    <s v="RD1106"/>
    <s v="Van Noort Gassler &amp; Co Rotterdam B.V."/>
    <s v="1108"/>
    <x v="0"/>
    <s v="VRK"/>
    <d v="2023-06-05T00:00:00"/>
    <x v="55"/>
    <x v="72"/>
    <n v="222.89"/>
    <n v="222.89"/>
    <n v="0"/>
    <n v="0"/>
    <n v="0"/>
    <n v="222.89"/>
    <x v="55"/>
    <s v="Definitief"/>
  </r>
  <r>
    <s v="RD1106"/>
    <s v="Van Noort Gassler &amp; Co Rotterdam B.V."/>
    <s v="1108"/>
    <x v="0"/>
    <s v="VRK"/>
    <d v="2023-07-03T00:00:00"/>
    <x v="56"/>
    <x v="73"/>
    <n v="222.89"/>
    <n v="222.89"/>
    <n v="0"/>
    <n v="0"/>
    <n v="0"/>
    <n v="222.89"/>
    <x v="56"/>
    <s v="Definitief"/>
  </r>
  <r>
    <s v="RD1106"/>
    <s v="Van Noort Gassler &amp; Co Rotterdam B.V."/>
    <s v="1108"/>
    <x v="0"/>
    <s v="VRK"/>
    <d v="2023-08-03T00:00:00"/>
    <x v="57"/>
    <x v="74"/>
    <n v="222.89"/>
    <n v="222.89"/>
    <n v="0"/>
    <n v="0"/>
    <n v="0"/>
    <n v="222.89"/>
    <x v="57"/>
    <s v="Definitief"/>
  </r>
  <r>
    <s v="RD1106"/>
    <s v="Van Noort Gassler &amp; Co Rotterdam B.V."/>
    <s v="1108"/>
    <x v="0"/>
    <s v="VRK"/>
    <d v="2023-09-05T00:00:00"/>
    <x v="58"/>
    <x v="75"/>
    <n v="222.89"/>
    <n v="222.89"/>
    <n v="0"/>
    <n v="0"/>
    <n v="0"/>
    <n v="222.89"/>
    <x v="58"/>
    <s v="Definitief"/>
  </r>
  <r>
    <s v="RD1106"/>
    <s v="Van Noort Gassler &amp; Co Rotterdam B.V."/>
    <s v="1108"/>
    <x v="0"/>
    <s v="VRK"/>
    <d v="2023-10-03T00:00:00"/>
    <x v="59"/>
    <x v="76"/>
    <n v="222.89"/>
    <n v="222.89"/>
    <n v="0"/>
    <n v="0"/>
    <n v="0"/>
    <n v="222.89"/>
    <x v="59"/>
    <s v="Definitief"/>
  </r>
  <r>
    <s v="RD1106"/>
    <s v="Van Noort Gassler &amp; Co Rotterdam B.V."/>
    <s v="1108"/>
    <x v="0"/>
    <s v="VRK"/>
    <d v="2023-11-07T00:00:00"/>
    <x v="60"/>
    <x v="77"/>
    <n v="222.89"/>
    <n v="222.89"/>
    <n v="0"/>
    <n v="0"/>
    <n v="0"/>
    <n v="222.89"/>
    <x v="60"/>
    <s v="Definitief"/>
  </r>
  <r>
    <s v="RD1106"/>
    <s v="Van Noort Gassler &amp; Co Rotterdam B.V."/>
    <s v="1108"/>
    <x v="0"/>
    <s v="VRK"/>
    <d v="2023-12-05T00:00:00"/>
    <x v="61"/>
    <x v="78"/>
    <n v="222.89"/>
    <n v="222.89"/>
    <n v="0"/>
    <n v="0"/>
    <n v="0"/>
    <n v="222.89"/>
    <x v="61"/>
    <s v="Definitief"/>
  </r>
  <r>
    <s v="RD1106"/>
    <s v="Van Noort Gassler &amp; Co Rotterdam B.V."/>
    <s v="1108"/>
    <x v="0"/>
    <s v="VRK"/>
    <d v="2024-01-04T00:00:00"/>
    <x v="62"/>
    <x v="79"/>
    <n v="222.89"/>
    <n v="222.89"/>
    <n v="0"/>
    <n v="0"/>
    <n v="0"/>
    <n v="222.89"/>
    <x v="62"/>
    <s v="Concept"/>
  </r>
  <r>
    <s v="RD1106"/>
    <s v="Van Noort Gassler &amp; Co Rotterdam B.V."/>
    <s v="1108"/>
    <x v="0"/>
    <s v="VRK"/>
    <d v="2024-01-19T00:00:00"/>
    <x v="63"/>
    <x v="80"/>
    <n v="2541"/>
    <n v="2541"/>
    <n v="0"/>
    <n v="0"/>
    <n v="0"/>
    <n v="2541"/>
    <x v="63"/>
    <s v="Concept"/>
  </r>
  <r>
    <s v="RD1106"/>
    <s v="Van Noort Gassler &amp; Co Rotterdam B.V."/>
    <s v="1108"/>
    <x v="0"/>
    <s v="VRK"/>
    <d v="2024-02-05T00:00:00"/>
    <x v="64"/>
    <x v="81"/>
    <n v="222.89"/>
    <n v="222.89"/>
    <n v="0"/>
    <n v="0"/>
    <n v="0"/>
    <n v="222.89"/>
    <x v="64"/>
    <s v="Concept"/>
  </r>
  <r>
    <s v="RD1106"/>
    <s v="Van Noort Gassler &amp; Co Rotterdam B.V."/>
    <s v="1108"/>
    <x v="0"/>
    <s v="VRK"/>
    <d v="2024-03-06T00:00:00"/>
    <x v="65"/>
    <x v="82"/>
    <n v="222.89"/>
    <n v="222.89"/>
    <n v="0"/>
    <n v="0"/>
    <n v="0"/>
    <n v="222.89"/>
    <x v="65"/>
    <s v="Concept"/>
  </r>
  <r>
    <s v="RD1106"/>
    <s v="Van Noort Gassler &amp; Co Rotterdam B.V."/>
    <s v="1108"/>
    <x v="0"/>
    <s v="VRK"/>
    <d v="2024-03-12T00:00:00"/>
    <x v="66"/>
    <x v="83"/>
    <n v="423.5"/>
    <n v="423.5"/>
    <n v="0"/>
    <n v="0"/>
    <n v="0"/>
    <n v="423.5"/>
    <x v="66"/>
    <s v="Concept"/>
  </r>
  <r>
    <s v="RD1106"/>
    <s v="Van Noort Gassler &amp; Co Rotterdam B.V."/>
    <s v="1108"/>
    <x v="0"/>
    <s v="VRK"/>
    <d v="2024-04-04T00:00:00"/>
    <x v="67"/>
    <x v="84"/>
    <n v="222.89"/>
    <n v="222.89"/>
    <n v="0"/>
    <n v="0"/>
    <n v="0"/>
    <n v="222.89"/>
    <x v="67"/>
    <s v="Concept"/>
  </r>
  <r>
    <s v="RD1106"/>
    <s v="Van Noort Gassler &amp; Co Rotterdam B.V."/>
    <s v="1108"/>
    <x v="0"/>
    <s v="VRK"/>
    <d v="2024-04-22T00:00:00"/>
    <x v="68"/>
    <x v="85"/>
    <n v="2286.9"/>
    <n v="2286.9"/>
    <n v="0"/>
    <n v="0"/>
    <n v="0"/>
    <n v="2286.9"/>
    <x v="68"/>
    <s v="Concept"/>
  </r>
  <r>
    <s v="RD1106"/>
    <s v="Van Noort Gassler &amp; Co Rotterdam B.V."/>
    <s v="1108"/>
    <x v="0"/>
    <s v="VRK"/>
    <d v="2024-05-06T00:00:00"/>
    <x v="69"/>
    <x v="86"/>
    <n v="222.89"/>
    <n v="222.89"/>
    <n v="0"/>
    <n v="0"/>
    <n v="0"/>
    <n v="222.89"/>
    <x v="69"/>
    <s v="Concept"/>
  </r>
  <r>
    <s v="RD1106"/>
    <s v="Van Noort Gassler &amp; Co Rotterdam B.V."/>
    <s v="1108"/>
    <x v="0"/>
    <s v="VRK"/>
    <d v="2024-06-03T00:00:00"/>
    <x v="70"/>
    <x v="87"/>
    <n v="222.89"/>
    <n v="222.89"/>
    <n v="0"/>
    <n v="0"/>
    <n v="0"/>
    <n v="222.89"/>
    <x v="70"/>
    <s v="Concept"/>
  </r>
  <r>
    <s v="RD1106"/>
    <s v="Van Noort Gassler &amp; Co Rotterdam B.V."/>
    <s v="1108"/>
    <x v="0"/>
    <s v="VRK"/>
    <d v="2024-06-18T00:00:00"/>
    <x v="71"/>
    <x v="88"/>
    <n v="1439.9"/>
    <n v="1439.9"/>
    <n v="0"/>
    <n v="0"/>
    <n v="0"/>
    <n v="1439.9"/>
    <x v="71"/>
    <s v="Concept"/>
  </r>
  <r>
    <s v="RD1106"/>
    <s v="Van Noort Gassler &amp; Co Rotterdam B.V."/>
    <s v="1108"/>
    <x v="0"/>
    <s v="VRK"/>
    <d v="2024-07-08T00:00:00"/>
    <x v="72"/>
    <x v="89"/>
    <n v="222.89"/>
    <n v="222.89"/>
    <n v="0"/>
    <n v="0"/>
    <n v="0"/>
    <n v="222.89"/>
    <x v="72"/>
    <s v="Concept"/>
  </r>
  <r>
    <s v="RD1106"/>
    <s v="Van Noort Gassler &amp; Co Rotterdam B.V."/>
    <s v="1108"/>
    <x v="0"/>
    <s v="VRK"/>
    <d v="2024-08-05T00:00:00"/>
    <x v="73"/>
    <x v="90"/>
    <n v="222.89"/>
    <n v="222.89"/>
    <n v="0"/>
    <n v="0"/>
    <n v="0"/>
    <n v="222.89"/>
    <x v="73"/>
    <s v="Concept"/>
  </r>
  <r>
    <s v="RD1106"/>
    <s v="Van Noort Gassler &amp; Co Rotterdam B.V."/>
    <s v="1108"/>
    <x v="0"/>
    <s v="VRK"/>
    <d v="2024-09-02T00:00:00"/>
    <x v="74"/>
    <x v="91"/>
    <n v="222.89"/>
    <n v="222.89"/>
    <n v="0"/>
    <n v="0"/>
    <n v="0"/>
    <n v="222.89"/>
    <x v="74"/>
    <s v="Concept"/>
  </r>
  <r>
    <s v="RD1106"/>
    <s v="Van Noort Gassler &amp; Co Rotterdam B.V."/>
    <s v="1108"/>
    <x v="0"/>
    <s v="VRK"/>
    <d v="2024-09-05T00:00:00"/>
    <x v="75"/>
    <x v="92"/>
    <n v="-139.16999999999999"/>
    <n v="-139.16999999999999"/>
    <n v="0"/>
    <n v="0"/>
    <n v="0"/>
    <n v="-139.16999999999999"/>
    <x v="75"/>
    <s v="Concept"/>
  </r>
  <r>
    <s v="RD1106"/>
    <s v="Van Noort Gassler &amp; Co Rotterdam B.V."/>
    <s v="1108"/>
    <x v="0"/>
    <s v="VRK"/>
    <d v="2024-09-05T00:00:00"/>
    <x v="75"/>
    <x v="93"/>
    <n v="208.91"/>
    <n v="208.91"/>
    <n v="0"/>
    <n v="0"/>
    <n v="0"/>
    <n v="208.91"/>
    <x v="75"/>
    <s v="Concept"/>
  </r>
  <r>
    <s v="RD1106"/>
    <s v="Van Noort Gassler &amp; Co Rotterdam B.V."/>
    <s v="1108"/>
    <x v="0"/>
    <s v="VRK"/>
    <d v="2024-10-07T00:00:00"/>
    <x v="76"/>
    <x v="94"/>
    <n v="248.7"/>
    <n v="248.7"/>
    <n v="0"/>
    <n v="0"/>
    <n v="0"/>
    <n v="248.7"/>
    <x v="76"/>
    <s v="Concept"/>
  </r>
  <r>
    <s v="RD1106"/>
    <s v="Van Noort Gassler &amp; Co Rotterdam B.V."/>
    <s v="1108"/>
    <x v="0"/>
    <s v="VRK"/>
    <d v="2024-11-04T00:00:00"/>
    <x v="77"/>
    <x v="95"/>
    <n v="248.7"/>
    <n v="248.7"/>
    <n v="0"/>
    <n v="0"/>
    <n v="0"/>
    <n v="248.7"/>
    <x v="77"/>
    <s v="Concept"/>
  </r>
  <r>
    <s v="RD1106"/>
    <s v="Van Noort Gassler &amp; Co Rotterdam B.V."/>
    <s v="1108"/>
    <x v="0"/>
    <s v="VRK"/>
    <d v="2024-12-02T00:00:00"/>
    <x v="78"/>
    <x v="96"/>
    <n v="248.7"/>
    <n v="248.7"/>
    <n v="0"/>
    <n v="0"/>
    <n v="0"/>
    <n v="248.7"/>
    <x v="78"/>
    <s v="Concept"/>
  </r>
  <r>
    <s v="RD1106"/>
    <s v="Van Noort Gassler &amp; Co Rotterdam B.V."/>
    <s v="1108"/>
    <x v="0"/>
    <s v="VRK"/>
    <d v="2025-01-15T00:00:00"/>
    <x v="79"/>
    <x v="97"/>
    <n v="248.7"/>
    <n v="248.7"/>
    <n v="0"/>
    <n v="0"/>
    <n v="0"/>
    <n v="248.7"/>
    <x v="79"/>
    <s v="Concept"/>
  </r>
  <r>
    <s v="RD1106"/>
    <s v="Van Noort Gassler &amp; Co Rotterdam B.V."/>
    <s v="1108"/>
    <x v="0"/>
    <s v="VRK"/>
    <d v="2025-02-03T00:00:00"/>
    <x v="80"/>
    <x v="98"/>
    <n v="248.7"/>
    <n v="248.7"/>
    <n v="0"/>
    <n v="0"/>
    <n v="0"/>
    <n v="248.7"/>
    <x v="80"/>
    <s v="Concept"/>
  </r>
  <r>
    <s v="RD1106"/>
    <s v="Van Noort Gassler &amp; Co Rotterdam B.V."/>
    <s v="1108"/>
    <x v="0"/>
    <s v="VRK"/>
    <d v="2025-02-20T00:00:00"/>
    <x v="81"/>
    <x v="99"/>
    <n v="31859.91"/>
    <n v="31859.91"/>
    <n v="0"/>
    <n v="0"/>
    <n v="0"/>
    <n v="31859.91"/>
    <x v="81"/>
    <s v="Concept"/>
  </r>
  <r>
    <s v="RD1106"/>
    <s v="Van Noort Gassler &amp; Co Rotterdam B.V."/>
    <s v="1108"/>
    <x v="0"/>
    <s v="VRK"/>
    <d v="2025-03-05T00:00:00"/>
    <x v="82"/>
    <x v="100"/>
    <n v="248.7"/>
    <n v="248.7"/>
    <n v="0"/>
    <n v="0"/>
    <n v="0"/>
    <n v="248.7"/>
    <x v="82"/>
    <s v="Concept"/>
  </r>
  <r>
    <s v="RD1106"/>
    <s v="Van Noort Gassler &amp; Co Rotterdam B.V."/>
    <s v="1108"/>
    <x v="0"/>
    <s v="VRK"/>
    <d v="2025-03-19T00:00:00"/>
    <x v="83"/>
    <x v="101"/>
    <n v="7623"/>
    <n v="7623"/>
    <n v="0"/>
    <n v="0"/>
    <n v="0"/>
    <n v="7623"/>
    <x v="83"/>
    <s v="Concept"/>
  </r>
  <r>
    <s v="RD1106"/>
    <s v="Van Noort Gassler &amp; Co Rotterdam B.V."/>
    <s v="1108"/>
    <x v="0"/>
    <s v="VRK"/>
    <d v="2025-04-03T00:00:00"/>
    <x v="84"/>
    <x v="102"/>
    <n v="248.7"/>
    <n v="248.7"/>
    <n v="0"/>
    <n v="0"/>
    <n v="0"/>
    <n v="248.7"/>
    <x v="84"/>
    <s v="Concept"/>
  </r>
  <r>
    <s v="RD1106"/>
    <s v="Van Noort Gassler &amp; Co Rotterdam B.V."/>
    <s v="1108"/>
    <x v="0"/>
    <s v="VRK"/>
    <d v="2025-05-05T00:00:00"/>
    <x v="85"/>
    <x v="103"/>
    <n v="248.7"/>
    <n v="248.7"/>
    <n v="0"/>
    <n v="0"/>
    <n v="0"/>
    <n v="248.7"/>
    <x v="85"/>
    <s v="Concept"/>
  </r>
  <r>
    <s v="RD1106"/>
    <s v="Van Noort Gassler &amp; Co Rotterdam B.V."/>
    <s v="1108"/>
    <x v="0"/>
    <s v="VRK"/>
    <d v="2025-06-02T00:00:00"/>
    <x v="86"/>
    <x v="104"/>
    <n v="248.7"/>
    <n v="248.7"/>
    <n v="0"/>
    <n v="0"/>
    <n v="0"/>
    <n v="248.7"/>
    <x v="86"/>
    <s v="Concept"/>
  </r>
  <r>
    <s v="RD1106"/>
    <s v="Van Noort Gassler &amp; Co Rotterdam B.V."/>
    <s v="1108"/>
    <x v="0"/>
    <s v="VRK"/>
    <d v="2025-07-01T00:00:00"/>
    <x v="87"/>
    <x v="105"/>
    <n v="248.7"/>
    <n v="248.7"/>
    <n v="0"/>
    <n v="0"/>
    <n v="0"/>
    <n v="248.7"/>
    <x v="87"/>
    <s v="Concept"/>
  </r>
  <r>
    <s v="RD1106"/>
    <s v="Van Noort Gassler &amp; Co Rotterdam B.V."/>
    <s v="1108"/>
    <x v="0"/>
    <s v="VRK"/>
    <d v="2025-08-04T00:00:00"/>
    <x v="88"/>
    <x v="106"/>
    <n v="248.7"/>
    <n v="248.7"/>
    <n v="0"/>
    <n v="0"/>
    <n v="0"/>
    <n v="248.7"/>
    <x v="88"/>
    <s v="Concept"/>
  </r>
  <r>
    <s v="RD1106"/>
    <s v="Van Noort Gassler &amp; Co Rotterdam B.V."/>
    <s v="1108"/>
    <x v="0"/>
    <s v="VRK"/>
    <d v="2025-09-01T00:00:00"/>
    <x v="89"/>
    <x v="107"/>
    <n v="248.7"/>
    <n v="248.7"/>
    <n v="0"/>
    <n v="0"/>
    <n v="0"/>
    <n v="248.7"/>
    <x v="89"/>
    <s v="Concept"/>
  </r>
  <r>
    <s v="RD1106"/>
    <s v="Van Noort Gassler &amp; Co Rotterdam B.V."/>
    <s v="1108"/>
    <x v="0"/>
    <s v="VRK"/>
    <d v="2025-10-06T00:00:00"/>
    <x v="90"/>
    <x v="108"/>
    <n v="248.7"/>
    <n v="248.7"/>
    <n v="0"/>
    <n v="0"/>
    <n v="0"/>
    <n v="248.7"/>
    <x v="90"/>
    <s v="Concept"/>
  </r>
  <r>
    <s v="RD1106"/>
    <s v="Van Noort Gassler &amp; Co Rotterdam B.V."/>
    <s v="1108"/>
    <x v="0"/>
    <s v="VRK"/>
    <d v="2025-11-05T00:00:00"/>
    <x v="91"/>
    <x v="109"/>
    <n v="248.7"/>
    <n v="248.7"/>
    <n v="0"/>
    <n v="0"/>
    <n v="0"/>
    <n v="248.7"/>
    <x v="91"/>
    <s v="Concept"/>
  </r>
  <r>
    <s v="RD1106"/>
    <s v="Van Noort Gassler &amp; Co Rotterdam B.V."/>
    <s v="1108"/>
    <x v="0"/>
    <s v="VRK"/>
    <d v="2025-12-02T00:00:00"/>
    <x v="92"/>
    <x v="110"/>
    <n v="248.7"/>
    <n v="248.7"/>
    <n v="0"/>
    <n v="0"/>
    <n v="0"/>
    <n v="248.7"/>
    <x v="92"/>
    <s v="Concept"/>
  </r>
  <r>
    <s v="RD1106"/>
    <s v="Van Noort Gassler &amp; Co Rotterdam B.V."/>
    <s v="1108"/>
    <x v="0"/>
    <s v="VRK"/>
    <d v="2026-01-08T00:00:00"/>
    <x v="93"/>
    <x v="111"/>
    <n v="248.7"/>
    <n v="248.7"/>
    <n v="0"/>
    <n v="0"/>
    <n v="0"/>
    <n v="248.7"/>
    <x v="93"/>
    <s v="Concept"/>
  </r>
  <r>
    <s v="RD1106"/>
    <s v="Van Noort Gassler &amp; Co Rotterdam B.V."/>
    <s v="1108"/>
    <x v="0"/>
    <s v="VRK"/>
    <d v="2026-01-13T00:00:00"/>
    <x v="94"/>
    <x v="112"/>
    <n v="82.99"/>
    <n v="82.99"/>
    <n v="0"/>
    <n v="0"/>
    <n v="0"/>
    <n v="82.99"/>
    <x v="94"/>
    <s v="Concept"/>
  </r>
  <r>
    <s v="RD1106"/>
    <s v="Van Noort Gassler &amp; Co Rotterdam B.V."/>
    <s v="1108"/>
    <x v="0"/>
    <s v="VRK"/>
    <d v="2026-02-02T00:00:00"/>
    <x v="95"/>
    <x v="113"/>
    <n v="254.03"/>
    <n v="254.03"/>
    <n v="0"/>
    <n v="0"/>
    <n v="254.03"/>
    <n v="0"/>
    <x v="95"/>
    <s v="Concept"/>
  </r>
  <r>
    <s v="RD1106"/>
    <s v="Van Noort Gassler &amp; Co Rotterdam B.V."/>
    <s v="1108"/>
    <x v="0"/>
    <s v="VRK"/>
    <d v="2026-03-04T00:00:00"/>
    <x v="96"/>
    <x v="114"/>
    <n v="254.03"/>
    <n v="254.03"/>
    <n v="0"/>
    <n v="254.03"/>
    <n v="0"/>
    <n v="0"/>
    <x v="96"/>
    <s v="Concept"/>
  </r>
  <r>
    <s v="RD1106"/>
    <s v="Van Noort Gassler &amp; Co Rotterdam B.V."/>
    <s v="1108"/>
    <x v="0"/>
    <s v="VRK"/>
    <d v="2026-03-30T00:00:00"/>
    <x v="97"/>
    <x v="115"/>
    <n v="26257"/>
    <n v="26257"/>
    <n v="26257"/>
    <n v="0"/>
    <n v="0"/>
    <n v="0"/>
    <x v="97"/>
    <s v="Concept"/>
  </r>
  <r>
    <s v="RD1106"/>
    <s v="Van Noort Gassler &amp; Co Rotterdam B.V."/>
    <s v="1108"/>
    <x v="0"/>
    <s v="VRK"/>
    <d v="2026-04-06T00:00:00"/>
    <x v="98"/>
    <x v="116"/>
    <n v="254.03"/>
    <n v="254.03"/>
    <n v="254.03"/>
    <n v="0"/>
    <n v="0"/>
    <n v="0"/>
    <x v="98"/>
    <s v="Concept"/>
  </r>
  <r>
    <s v="RD1106"/>
    <s v="Van Noort Gassler &amp; Co Rotterdam B.V."/>
    <s v="1110"/>
    <x v="1"/>
    <s v="VRK"/>
    <d v="2023-01-17T00:00:00"/>
    <x v="99"/>
    <x v="117"/>
    <n v="17617.599999999999"/>
    <n v="17617.599999999999"/>
    <n v="0"/>
    <n v="0"/>
    <n v="0"/>
    <n v="17617.599999999999"/>
    <x v="99"/>
    <s v="Definitief"/>
  </r>
  <r>
    <s v="RD1106"/>
    <s v="Van Noort Gassler &amp; Co Rotterdam B.V."/>
    <s v="1110"/>
    <x v="1"/>
    <s v="VRK"/>
    <d v="2023-04-06T00:00:00"/>
    <x v="53"/>
    <x v="118"/>
    <n v="72.599999999999994"/>
    <n v="72.599999999999994"/>
    <n v="0"/>
    <n v="0"/>
    <n v="0"/>
    <n v="72.599999999999994"/>
    <x v="53"/>
    <s v="Definitief"/>
  </r>
  <r>
    <s v="RD1106"/>
    <s v="Van Noort Gassler &amp; Co Rotterdam B.V."/>
    <s v="1110"/>
    <x v="1"/>
    <s v="VRK"/>
    <d v="2026-03-16T00:00:00"/>
    <x v="100"/>
    <x v="119"/>
    <n v="524.63"/>
    <n v="524.63"/>
    <n v="0"/>
    <n v="524.63"/>
    <n v="0"/>
    <n v="0"/>
    <x v="100"/>
    <s v="Concept"/>
  </r>
  <r>
    <s v="RD1106"/>
    <s v="Van Noort Gassler &amp; Co Rotterdam B.V."/>
    <s v="1111"/>
    <x v="2"/>
    <s v="BNK"/>
    <d v="2025-09-03T00:00:00"/>
    <x v="101"/>
    <x v="0"/>
    <n v="-90000"/>
    <n v="-90000"/>
    <n v="0"/>
    <n v="0"/>
    <n v="0"/>
    <n v="-90000"/>
    <x v="101"/>
    <s v="Concept"/>
  </r>
  <r>
    <s v="RD1106"/>
    <s v="Van Noort Gassler &amp; Co Rotterdam B.V."/>
    <s v="1111"/>
    <x v="2"/>
    <s v="BNK"/>
    <d v="2026-03-17T00:00:00"/>
    <x v="102"/>
    <x v="0"/>
    <n v="-60000"/>
    <n v="-60000"/>
    <n v="0"/>
    <n v="-60000"/>
    <n v="0"/>
    <n v="0"/>
    <x v="102"/>
    <s v="Concept"/>
  </r>
  <r>
    <s v="RD1106"/>
    <s v="Van Noort Gassler &amp; Co Rotterdam B.V."/>
    <s v="1111"/>
    <x v="2"/>
    <s v="MEMO"/>
    <d v="2025-06-27T00:00:00"/>
    <x v="103"/>
    <x v="0"/>
    <n v="-218713"/>
    <n v="-218713"/>
    <n v="0"/>
    <n v="0"/>
    <n v="0"/>
    <n v="-218713"/>
    <x v="103"/>
    <s v="Concept"/>
  </r>
  <r>
    <s v="RD1106"/>
    <s v="Van Noort Gassler &amp; Co Rotterdam B.V."/>
    <s v="1111"/>
    <x v="2"/>
    <s v="MEMO"/>
    <d v="2025-11-28T00:00:00"/>
    <x v="104"/>
    <x v="0"/>
    <n v="-277509.26"/>
    <n v="-277509.26"/>
    <n v="0"/>
    <n v="0"/>
    <n v="0"/>
    <n v="-277509.26"/>
    <x v="104"/>
    <s v="Concept"/>
  </r>
  <r>
    <s v="RD1106"/>
    <s v="Van Noort Gassler &amp; Co Rotterdam B.V."/>
    <s v="1111"/>
    <x v="2"/>
    <s v="VRK"/>
    <d v="2024-06-05T00:00:00"/>
    <x v="105"/>
    <x v="120"/>
    <n v="21600"/>
    <n v="21600"/>
    <n v="0"/>
    <n v="0"/>
    <n v="0"/>
    <n v="21600"/>
    <x v="105"/>
    <s v="Concept"/>
  </r>
  <r>
    <s v="RD1106"/>
    <s v="Van Noort Gassler &amp; Co Rotterdam B.V."/>
    <s v="1111"/>
    <x v="2"/>
    <s v="VRK"/>
    <d v="2024-06-18T00:00:00"/>
    <x v="71"/>
    <x v="121"/>
    <n v="75957.75"/>
    <n v="45540.44"/>
    <n v="0"/>
    <n v="0"/>
    <n v="0"/>
    <n v="45540.44"/>
    <x v="71"/>
    <s v="Concept"/>
  </r>
  <r>
    <s v="RD1106"/>
    <s v="Van Noort Gassler &amp; Co Rotterdam B.V."/>
    <s v="1111"/>
    <x v="2"/>
    <s v="VRK"/>
    <d v="2024-06-27T00:00:00"/>
    <x v="106"/>
    <x v="122"/>
    <n v="64595.11"/>
    <n v="64595.11"/>
    <n v="0"/>
    <n v="0"/>
    <n v="0"/>
    <n v="64595.11"/>
    <x v="106"/>
    <s v="Concept"/>
  </r>
  <r>
    <s v="RD1106"/>
    <s v="Van Noort Gassler &amp; Co Rotterdam B.V."/>
    <s v="1111"/>
    <x v="2"/>
    <s v="VRK"/>
    <d v="2024-07-02T00:00:00"/>
    <x v="107"/>
    <x v="123"/>
    <n v="63218.87"/>
    <n v="63218.87"/>
    <n v="0"/>
    <n v="0"/>
    <n v="0"/>
    <n v="63218.87"/>
    <x v="107"/>
    <s v="Concept"/>
  </r>
  <r>
    <s v="RD1106"/>
    <s v="Van Noort Gassler &amp; Co Rotterdam B.V."/>
    <s v="1111"/>
    <x v="2"/>
    <s v="VRK"/>
    <d v="2024-07-09T00:00:00"/>
    <x v="108"/>
    <x v="124"/>
    <n v="-25155.9"/>
    <n v="-25155.9"/>
    <n v="0"/>
    <n v="0"/>
    <n v="0"/>
    <n v="-25155.9"/>
    <x v="108"/>
    <s v="Concept"/>
  </r>
  <r>
    <s v="RD1106"/>
    <s v="Van Noort Gassler &amp; Co Rotterdam B.V."/>
    <s v="1111"/>
    <x v="2"/>
    <s v="VRK"/>
    <d v="2024-07-09T00:00:00"/>
    <x v="108"/>
    <x v="125"/>
    <n v="19602"/>
    <n v="19602"/>
    <n v="0"/>
    <n v="0"/>
    <n v="0"/>
    <n v="19602"/>
    <x v="108"/>
    <s v="Concept"/>
  </r>
  <r>
    <s v="RD1106"/>
    <s v="Van Noort Gassler &amp; Co Rotterdam B.V."/>
    <s v="1111"/>
    <x v="2"/>
    <s v="VRK"/>
    <d v="2024-08-02T00:00:00"/>
    <x v="109"/>
    <x v="126"/>
    <n v="1815"/>
    <n v="1815"/>
    <n v="0"/>
    <n v="0"/>
    <n v="0"/>
    <n v="1815"/>
    <x v="109"/>
    <s v="Concept"/>
  </r>
  <r>
    <s v="RD1106"/>
    <s v="Van Noort Gassler &amp; Co Rotterdam B.V."/>
    <s v="1111"/>
    <x v="2"/>
    <s v="VRK"/>
    <d v="2024-08-05T00:00:00"/>
    <x v="73"/>
    <x v="127"/>
    <n v="21845.34"/>
    <n v="21845.34"/>
    <n v="0"/>
    <n v="0"/>
    <n v="0"/>
    <n v="21845.34"/>
    <x v="73"/>
    <s v="Concept"/>
  </r>
  <r>
    <s v="RD1106"/>
    <s v="Van Noort Gassler &amp; Co Rotterdam B.V."/>
    <s v="1111"/>
    <x v="2"/>
    <s v="VRK"/>
    <d v="2024-08-05T00:00:00"/>
    <x v="73"/>
    <x v="128"/>
    <n v="32365.83"/>
    <n v="32365.83"/>
    <n v="0"/>
    <n v="0"/>
    <n v="0"/>
    <n v="32365.83"/>
    <x v="73"/>
    <s v="Concept"/>
  </r>
  <r>
    <s v="RD1106"/>
    <s v="Van Noort Gassler &amp; Co Rotterdam B.V."/>
    <s v="1111"/>
    <x v="2"/>
    <s v="VRK"/>
    <d v="2024-08-15T00:00:00"/>
    <x v="110"/>
    <x v="129"/>
    <n v="3539.25"/>
    <n v="3539.25"/>
    <n v="0"/>
    <n v="0"/>
    <n v="0"/>
    <n v="3539.25"/>
    <x v="110"/>
    <s v="Concept"/>
  </r>
  <r>
    <s v="RD1106"/>
    <s v="Van Noort Gassler &amp; Co Rotterdam B.V."/>
    <s v="1111"/>
    <x v="2"/>
    <s v="VRK"/>
    <d v="2024-08-26T00:00:00"/>
    <x v="111"/>
    <x v="130"/>
    <n v="33215.089999999997"/>
    <n v="33215.089999999997"/>
    <n v="0"/>
    <n v="0"/>
    <n v="0"/>
    <n v="33215.089999999997"/>
    <x v="111"/>
    <s v="Concept"/>
  </r>
  <r>
    <s v="RD1106"/>
    <s v="Van Noort Gassler &amp; Co Rotterdam B.V."/>
    <s v="1111"/>
    <x v="2"/>
    <s v="VRK"/>
    <d v="2024-08-26T00:00:00"/>
    <x v="111"/>
    <x v="131"/>
    <n v="16694.41"/>
    <n v="16694.41"/>
    <n v="0"/>
    <n v="0"/>
    <n v="0"/>
    <n v="16694.41"/>
    <x v="111"/>
    <s v="Concept"/>
  </r>
  <r>
    <s v="RD1106"/>
    <s v="Van Noort Gassler &amp; Co Rotterdam B.V."/>
    <s v="1111"/>
    <x v="2"/>
    <s v="VRK"/>
    <d v="2024-08-28T00:00:00"/>
    <x v="112"/>
    <x v="132"/>
    <n v="55422.62"/>
    <n v="55422.62"/>
    <n v="0"/>
    <n v="0"/>
    <n v="0"/>
    <n v="55422.62"/>
    <x v="112"/>
    <s v="Concept"/>
  </r>
  <r>
    <s v="RD1106"/>
    <s v="Van Noort Gassler &amp; Co Rotterdam B.V."/>
    <s v="1111"/>
    <x v="2"/>
    <s v="VRK"/>
    <d v="2024-09-03T00:00:00"/>
    <x v="113"/>
    <x v="133"/>
    <n v="54450"/>
    <n v="54450"/>
    <n v="0"/>
    <n v="0"/>
    <n v="0"/>
    <n v="54450"/>
    <x v="113"/>
    <s v="Concept"/>
  </r>
  <r>
    <s v="RD1106"/>
    <s v="Van Noort Gassler &amp; Co Rotterdam B.V."/>
    <s v="1111"/>
    <x v="2"/>
    <s v="VRK"/>
    <d v="2024-09-05T00:00:00"/>
    <x v="75"/>
    <x v="134"/>
    <n v="23685.75"/>
    <n v="23685.75"/>
    <n v="0"/>
    <n v="0"/>
    <n v="0"/>
    <n v="23685.75"/>
    <x v="75"/>
    <s v="Concept"/>
  </r>
  <r>
    <s v="RD1106"/>
    <s v="Van Noort Gassler &amp; Co Rotterdam B.V."/>
    <s v="1111"/>
    <x v="2"/>
    <s v="VRK"/>
    <d v="2024-09-06T00:00:00"/>
    <x v="114"/>
    <x v="135"/>
    <n v="32716.560000000001"/>
    <n v="32716.560000000001"/>
    <n v="0"/>
    <n v="0"/>
    <n v="0"/>
    <n v="32716.560000000001"/>
    <x v="114"/>
    <s v="Concept"/>
  </r>
  <r>
    <s v="RD1106"/>
    <s v="Van Noort Gassler &amp; Co Rotterdam B.V."/>
    <s v="1111"/>
    <x v="2"/>
    <s v="VRK"/>
    <d v="2024-09-13T00:00:00"/>
    <x v="115"/>
    <x v="136"/>
    <n v="71625.08"/>
    <n v="71625.08"/>
    <n v="0"/>
    <n v="0"/>
    <n v="0"/>
    <n v="71625.08"/>
    <x v="115"/>
    <s v="Concept"/>
  </r>
  <r>
    <s v="RD1106"/>
    <s v="Van Noort Gassler &amp; Co Rotterdam B.V."/>
    <s v="1111"/>
    <x v="2"/>
    <s v="VRK"/>
    <d v="2024-09-30T00:00:00"/>
    <x v="116"/>
    <x v="137"/>
    <n v="25591.5"/>
    <n v="25591.5"/>
    <n v="0"/>
    <n v="0"/>
    <n v="0"/>
    <n v="25591.5"/>
    <x v="116"/>
    <s v="Concept"/>
  </r>
  <r>
    <s v="RD1106"/>
    <s v="Van Noort Gassler &amp; Co Rotterdam B.V."/>
    <s v="1111"/>
    <x v="2"/>
    <s v="VRK"/>
    <d v="2024-09-30T00:00:00"/>
    <x v="116"/>
    <x v="138"/>
    <n v="3049.2"/>
    <n v="3049.2"/>
    <n v="0"/>
    <n v="0"/>
    <n v="0"/>
    <n v="3049.2"/>
    <x v="116"/>
    <s v="Concept"/>
  </r>
  <r>
    <s v="RD1106"/>
    <s v="Van Noort Gassler &amp; Co Rotterdam B.V."/>
    <s v="1111"/>
    <x v="2"/>
    <s v="VRK"/>
    <d v="2024-09-30T00:00:00"/>
    <x v="116"/>
    <x v="139"/>
    <n v="14157"/>
    <n v="14157"/>
    <n v="0"/>
    <n v="0"/>
    <n v="0"/>
    <n v="14157"/>
    <x v="116"/>
    <s v="Concept"/>
  </r>
  <r>
    <s v="RD1106"/>
    <s v="Van Noort Gassler &amp; Co Rotterdam B.V."/>
    <s v="1111"/>
    <x v="2"/>
    <s v="VRK"/>
    <d v="2024-10-15T00:00:00"/>
    <x v="117"/>
    <x v="140"/>
    <n v="10617.75"/>
    <n v="10617.75"/>
    <n v="0"/>
    <n v="0"/>
    <n v="0"/>
    <n v="10617.75"/>
    <x v="117"/>
    <s v="Concept"/>
  </r>
  <r>
    <s v="RD1106"/>
    <s v="Van Noort Gassler &amp; Co Rotterdam B.V."/>
    <s v="1111"/>
    <x v="2"/>
    <s v="VRK"/>
    <d v="2024-10-24T00:00:00"/>
    <x v="118"/>
    <x v="141"/>
    <n v="15790.5"/>
    <n v="15790.5"/>
    <n v="0"/>
    <n v="0"/>
    <n v="0"/>
    <n v="15790.5"/>
    <x v="118"/>
    <s v="Concept"/>
  </r>
  <r>
    <s v="RD1106"/>
    <s v="Van Noort Gassler &amp; Co Rotterdam B.V."/>
    <s v="1111"/>
    <x v="2"/>
    <s v="VRK"/>
    <d v="2024-10-24T00:00:00"/>
    <x v="118"/>
    <x v="142"/>
    <n v="60831.54"/>
    <n v="60831.54"/>
    <n v="0"/>
    <n v="0"/>
    <n v="0"/>
    <n v="60831.54"/>
    <x v="118"/>
    <s v="Concept"/>
  </r>
  <r>
    <s v="RD1106"/>
    <s v="Van Noort Gassler &amp; Co Rotterdam B.V."/>
    <s v="1111"/>
    <x v="2"/>
    <s v="VRK"/>
    <d v="2024-10-25T00:00:00"/>
    <x v="119"/>
    <x v="143"/>
    <n v="42383.88"/>
    <n v="42383.88"/>
    <n v="0"/>
    <n v="0"/>
    <n v="0"/>
    <n v="42383.88"/>
    <x v="119"/>
    <s v="Concept"/>
  </r>
  <r>
    <s v="RD1106"/>
    <s v="Van Noort Gassler &amp; Co Rotterdam B.V."/>
    <s v="1111"/>
    <x v="2"/>
    <s v="VRK"/>
    <d v="2024-10-28T00:00:00"/>
    <x v="120"/>
    <x v="144"/>
    <n v="5445"/>
    <n v="5445"/>
    <n v="0"/>
    <n v="0"/>
    <n v="0"/>
    <n v="5445"/>
    <x v="120"/>
    <s v="Concept"/>
  </r>
  <r>
    <s v="RD1106"/>
    <s v="Van Noort Gassler &amp; Co Rotterdam B.V."/>
    <s v="1111"/>
    <x v="2"/>
    <s v="VRK"/>
    <d v="2024-11-04T00:00:00"/>
    <x v="77"/>
    <x v="145"/>
    <n v="60831.54"/>
    <n v="60831.54"/>
    <n v="0"/>
    <n v="0"/>
    <n v="0"/>
    <n v="60831.54"/>
    <x v="77"/>
    <s v="Concept"/>
  </r>
  <r>
    <s v="RD1106"/>
    <s v="Van Noort Gassler &amp; Co Rotterdam B.V."/>
    <s v="1111"/>
    <x v="2"/>
    <s v="VRK"/>
    <d v="2024-11-08T00:00:00"/>
    <x v="121"/>
    <x v="146"/>
    <n v="3267"/>
    <n v="3267"/>
    <n v="0"/>
    <n v="0"/>
    <n v="0"/>
    <n v="3267"/>
    <x v="121"/>
    <s v="Concept"/>
  </r>
  <r>
    <s v="RD1106"/>
    <s v="Van Noort Gassler &amp; Co Rotterdam B.V."/>
    <s v="1111"/>
    <x v="2"/>
    <s v="VRK"/>
    <d v="2024-11-11T00:00:00"/>
    <x v="122"/>
    <x v="147"/>
    <n v="5445"/>
    <n v="5445"/>
    <n v="0"/>
    <n v="0"/>
    <n v="0"/>
    <n v="5445"/>
    <x v="122"/>
    <s v="Concept"/>
  </r>
  <r>
    <s v="RD1106"/>
    <s v="Van Noort Gassler &amp; Co Rotterdam B.V."/>
    <s v="1111"/>
    <x v="2"/>
    <s v="VRK"/>
    <d v="2024-11-14T00:00:00"/>
    <x v="123"/>
    <x v="148"/>
    <n v="9801"/>
    <n v="9801"/>
    <n v="0"/>
    <n v="0"/>
    <n v="0"/>
    <n v="9801"/>
    <x v="123"/>
    <s v="Concept"/>
  </r>
  <r>
    <s v="RD1106"/>
    <s v="Van Noort Gassler &amp; Co Rotterdam B.V."/>
    <s v="1111"/>
    <x v="2"/>
    <s v="VRK"/>
    <d v="2024-11-14T00:00:00"/>
    <x v="123"/>
    <x v="149"/>
    <n v="5445"/>
    <n v="5445"/>
    <n v="0"/>
    <n v="0"/>
    <n v="0"/>
    <n v="5445"/>
    <x v="123"/>
    <s v="Concept"/>
  </r>
  <r>
    <s v="RD1106"/>
    <s v="Van Noort Gassler &amp; Co Rotterdam B.V."/>
    <s v="1111"/>
    <x v="2"/>
    <s v="VRK"/>
    <d v="2024-11-14T00:00:00"/>
    <x v="123"/>
    <x v="150"/>
    <n v="128018.34"/>
    <n v="128018.34"/>
    <n v="0"/>
    <n v="0"/>
    <n v="0"/>
    <n v="128018.34"/>
    <x v="123"/>
    <s v="Concept"/>
  </r>
  <r>
    <s v="RD1106"/>
    <s v="Van Noort Gassler &amp; Co Rotterdam B.V."/>
    <s v="1111"/>
    <x v="2"/>
    <s v="VRK"/>
    <d v="2024-11-27T00:00:00"/>
    <x v="124"/>
    <x v="151"/>
    <n v="174383.42"/>
    <n v="174383.42"/>
    <n v="0"/>
    <n v="0"/>
    <n v="0"/>
    <n v="174383.42"/>
    <x v="124"/>
    <s v="Concept"/>
  </r>
  <r>
    <s v="RD1106"/>
    <s v="Van Noort Gassler &amp; Co Rotterdam B.V."/>
    <s v="1111"/>
    <x v="2"/>
    <s v="VRK"/>
    <d v="2024-12-04T00:00:00"/>
    <x v="125"/>
    <x v="152"/>
    <n v="4791.6000000000004"/>
    <n v="4791.6000000000004"/>
    <n v="0"/>
    <n v="0"/>
    <n v="0"/>
    <n v="4791.6000000000004"/>
    <x v="125"/>
    <s v="Concept"/>
  </r>
  <r>
    <s v="RD1106"/>
    <s v="Van Noort Gassler &amp; Co Rotterdam B.V."/>
    <s v="1111"/>
    <x v="2"/>
    <s v="VRK"/>
    <d v="2024-12-09T00:00:00"/>
    <x v="126"/>
    <x v="153"/>
    <n v="59352.4"/>
    <n v="59352.4"/>
    <n v="0"/>
    <n v="0"/>
    <n v="0"/>
    <n v="59352.4"/>
    <x v="126"/>
    <s v="Concept"/>
  </r>
  <r>
    <s v="RD1106"/>
    <s v="Van Noort Gassler &amp; Co Rotterdam B.V."/>
    <s v="1111"/>
    <x v="2"/>
    <s v="VRK"/>
    <d v="2024-12-12T00:00:00"/>
    <x v="127"/>
    <x v="154"/>
    <n v="5445"/>
    <n v="5445"/>
    <n v="0"/>
    <n v="0"/>
    <n v="0"/>
    <n v="5445"/>
    <x v="127"/>
    <s v="Concept"/>
  </r>
  <r>
    <s v="RD1106"/>
    <s v="Van Noort Gassler &amp; Co Rotterdam B.V."/>
    <s v="1111"/>
    <x v="2"/>
    <s v="VRK"/>
    <d v="2024-12-16T00:00:00"/>
    <x v="128"/>
    <x v="155"/>
    <n v="27225"/>
    <n v="27225"/>
    <n v="0"/>
    <n v="0"/>
    <n v="0"/>
    <n v="27225"/>
    <x v="128"/>
    <s v="Concept"/>
  </r>
  <r>
    <s v="RD1106"/>
    <s v="Van Noort Gassler &amp; Co Rotterdam B.V."/>
    <s v="1111"/>
    <x v="2"/>
    <s v="VRK"/>
    <d v="2024-12-19T00:00:00"/>
    <x v="129"/>
    <x v="156"/>
    <n v="5445"/>
    <n v="5445"/>
    <n v="0"/>
    <n v="0"/>
    <n v="0"/>
    <n v="5445"/>
    <x v="129"/>
    <s v="Concept"/>
  </r>
  <r>
    <s v="RD1106"/>
    <s v="Van Noort Gassler &amp; Co Rotterdam B.V."/>
    <s v="1111"/>
    <x v="2"/>
    <s v="VRK"/>
    <d v="2024-12-19T00:00:00"/>
    <x v="129"/>
    <x v="157"/>
    <n v="5445"/>
    <n v="5445"/>
    <n v="0"/>
    <n v="0"/>
    <n v="0"/>
    <n v="5445"/>
    <x v="129"/>
    <s v="Concept"/>
  </r>
  <r>
    <s v="RD1106"/>
    <s v="Van Noort Gassler &amp; Co Rotterdam B.V."/>
    <s v="1111"/>
    <x v="2"/>
    <s v="VRK"/>
    <d v="2024-12-27T00:00:00"/>
    <x v="130"/>
    <x v="158"/>
    <n v="58806"/>
    <n v="58806"/>
    <n v="0"/>
    <n v="0"/>
    <n v="0"/>
    <n v="58806"/>
    <x v="130"/>
    <s v="Concept"/>
  </r>
  <r>
    <s v="RD1106"/>
    <s v="Van Noort Gassler &amp; Co Rotterdam B.V."/>
    <s v="1111"/>
    <x v="2"/>
    <s v="VRK"/>
    <d v="2024-12-27T00:00:00"/>
    <x v="130"/>
    <x v="159"/>
    <n v="68611.53"/>
    <n v="68611.53"/>
    <n v="0"/>
    <n v="0"/>
    <n v="0"/>
    <n v="68611.53"/>
    <x v="130"/>
    <s v="Concept"/>
  </r>
  <r>
    <s v="RD1106"/>
    <s v="Van Noort Gassler &amp; Co Rotterdam B.V."/>
    <s v="1111"/>
    <x v="2"/>
    <s v="VRK"/>
    <d v="2024-12-30T00:00:00"/>
    <x v="131"/>
    <x v="160"/>
    <n v="10890"/>
    <n v="10890"/>
    <n v="0"/>
    <n v="0"/>
    <n v="0"/>
    <n v="10890"/>
    <x v="131"/>
    <s v="Concept"/>
  </r>
  <r>
    <s v="RD1106"/>
    <s v="Van Noort Gassler &amp; Co Rotterdam B.V."/>
    <s v="1111"/>
    <x v="2"/>
    <s v="VRK"/>
    <d v="2024-12-31T00:00:00"/>
    <x v="132"/>
    <x v="161"/>
    <n v="5445"/>
    <n v="5445"/>
    <n v="0"/>
    <n v="0"/>
    <n v="0"/>
    <n v="5445"/>
    <x v="132"/>
    <s v="Concept"/>
  </r>
  <r>
    <s v="RD1106"/>
    <s v="Van Noort Gassler &amp; Co Rotterdam B.V."/>
    <s v="1111"/>
    <x v="2"/>
    <s v="VRK"/>
    <d v="2025-01-07T00:00:00"/>
    <x v="133"/>
    <x v="162"/>
    <n v="79710.62"/>
    <n v="79710.62"/>
    <n v="0"/>
    <n v="0"/>
    <n v="0"/>
    <n v="79710.62"/>
    <x v="133"/>
    <s v="Concept"/>
  </r>
  <r>
    <s v="RD1106"/>
    <s v="Van Noort Gassler &amp; Co Rotterdam B.V."/>
    <s v="1111"/>
    <x v="2"/>
    <s v="VRK"/>
    <d v="2025-01-20T00:00:00"/>
    <x v="134"/>
    <x v="163"/>
    <n v="10500"/>
    <n v="10500"/>
    <n v="0"/>
    <n v="0"/>
    <n v="0"/>
    <n v="10500"/>
    <x v="134"/>
    <s v="Concept"/>
  </r>
  <r>
    <s v="RD1106"/>
    <s v="Van Noort Gassler &amp; Co Rotterdam B.V."/>
    <s v="1111"/>
    <x v="2"/>
    <s v="VRK"/>
    <d v="2025-01-20T00:00:00"/>
    <x v="134"/>
    <x v="164"/>
    <n v="8031.38"/>
    <n v="8031.38"/>
    <n v="0"/>
    <n v="0"/>
    <n v="0"/>
    <n v="8031.38"/>
    <x v="134"/>
    <s v="Concept"/>
  </r>
  <r>
    <s v="RD1106"/>
    <s v="Van Noort Gassler &amp; Co Rotterdam B.V."/>
    <s v="1111"/>
    <x v="2"/>
    <s v="VRK"/>
    <d v="2025-01-21T00:00:00"/>
    <x v="135"/>
    <x v="165"/>
    <n v="10890"/>
    <n v="10890"/>
    <n v="0"/>
    <n v="0"/>
    <n v="0"/>
    <n v="10890"/>
    <x v="135"/>
    <s v="Concept"/>
  </r>
  <r>
    <s v="RD1106"/>
    <s v="Van Noort Gassler &amp; Co Rotterdam B.V."/>
    <s v="1111"/>
    <x v="2"/>
    <s v="VRK"/>
    <d v="2025-01-30T00:00:00"/>
    <x v="136"/>
    <x v="166"/>
    <n v="14157"/>
    <n v="14157"/>
    <n v="0"/>
    <n v="0"/>
    <n v="0"/>
    <n v="14157"/>
    <x v="136"/>
    <s v="Concept"/>
  </r>
  <r>
    <s v="RD1106"/>
    <s v="Van Noort Gassler &amp; Co Rotterdam B.V."/>
    <s v="1111"/>
    <x v="2"/>
    <s v="VRK"/>
    <d v="2025-02-04T00:00:00"/>
    <x v="137"/>
    <x v="167"/>
    <n v="55539"/>
    <n v="55539"/>
    <n v="0"/>
    <n v="0"/>
    <n v="0"/>
    <n v="55539"/>
    <x v="137"/>
    <s v="Concept"/>
  </r>
  <r>
    <s v="RD1106"/>
    <s v="Van Noort Gassler &amp; Co Rotterdam B.V."/>
    <s v="1111"/>
    <x v="2"/>
    <s v="VRK"/>
    <d v="2025-02-04T00:00:00"/>
    <x v="137"/>
    <x v="168"/>
    <n v="27541.15"/>
    <n v="27541.15"/>
    <n v="0"/>
    <n v="0"/>
    <n v="0"/>
    <n v="27541.15"/>
    <x v="137"/>
    <s v="Concept"/>
  </r>
  <r>
    <s v="RD1106"/>
    <s v="Van Noort Gassler &amp; Co Rotterdam B.V."/>
    <s v="1111"/>
    <x v="2"/>
    <s v="VRK"/>
    <d v="2025-02-10T00:00:00"/>
    <x v="138"/>
    <x v="169"/>
    <n v="32125.5"/>
    <n v="32125.5"/>
    <n v="0"/>
    <n v="0"/>
    <n v="0"/>
    <n v="32125.5"/>
    <x v="138"/>
    <s v="Concept"/>
  </r>
  <r>
    <s v="RD1106"/>
    <s v="Van Noort Gassler &amp; Co Rotterdam B.V."/>
    <s v="1111"/>
    <x v="2"/>
    <s v="VRK"/>
    <d v="2025-02-14T00:00:00"/>
    <x v="139"/>
    <x v="170"/>
    <n v="53905.5"/>
    <n v="53905.5"/>
    <n v="0"/>
    <n v="0"/>
    <n v="0"/>
    <n v="53905.5"/>
    <x v="139"/>
    <s v="Concept"/>
  </r>
  <r>
    <s v="RD1106"/>
    <s v="Van Noort Gassler &amp; Co Rotterdam B.V."/>
    <s v="1111"/>
    <x v="2"/>
    <s v="VRK"/>
    <d v="2025-02-18T00:00:00"/>
    <x v="140"/>
    <x v="171"/>
    <n v="4356"/>
    <n v="4356"/>
    <n v="0"/>
    <n v="0"/>
    <n v="0"/>
    <n v="4356"/>
    <x v="140"/>
    <s v="Concept"/>
  </r>
  <r>
    <s v="RD1106"/>
    <s v="Van Noort Gassler &amp; Co Rotterdam B.V."/>
    <s v="1111"/>
    <x v="2"/>
    <s v="VRK"/>
    <d v="2025-03-10T00:00:00"/>
    <x v="141"/>
    <x v="172"/>
    <n v="7623"/>
    <n v="7623"/>
    <n v="0"/>
    <n v="0"/>
    <n v="0"/>
    <n v="7623"/>
    <x v="141"/>
    <s v="Concept"/>
  </r>
  <r>
    <s v="RD1106"/>
    <s v="Van Noort Gassler &amp; Co Rotterdam B.V."/>
    <s v="1111"/>
    <x v="2"/>
    <s v="VRK"/>
    <d v="2025-03-10T00:00:00"/>
    <x v="141"/>
    <x v="173"/>
    <n v="106027.23"/>
    <n v="106027.23"/>
    <n v="0"/>
    <n v="0"/>
    <n v="0"/>
    <n v="106027.23"/>
    <x v="141"/>
    <s v="Concept"/>
  </r>
  <r>
    <s v="RD1106"/>
    <s v="Van Noort Gassler &amp; Co Rotterdam B.V."/>
    <s v="1111"/>
    <x v="2"/>
    <s v="VRK"/>
    <d v="2025-03-17T00:00:00"/>
    <x v="142"/>
    <x v="174"/>
    <n v="34690.129999999997"/>
    <n v="34690.129999999997"/>
    <n v="0"/>
    <n v="0"/>
    <n v="0"/>
    <n v="34690.129999999997"/>
    <x v="142"/>
    <s v="Concept"/>
  </r>
  <r>
    <s v="RD1106"/>
    <s v="Van Noort Gassler &amp; Co Rotterdam B.V."/>
    <s v="1111"/>
    <x v="2"/>
    <s v="VRK"/>
    <d v="2025-03-17T00:00:00"/>
    <x v="142"/>
    <x v="175"/>
    <n v="5445"/>
    <n v="5445"/>
    <n v="0"/>
    <n v="0"/>
    <n v="0"/>
    <n v="5445"/>
    <x v="142"/>
    <s v="Concept"/>
  </r>
  <r>
    <s v="RD1106"/>
    <s v="Van Noort Gassler &amp; Co Rotterdam B.V."/>
    <s v="1111"/>
    <x v="2"/>
    <s v="VRK"/>
    <d v="2025-03-19T00:00:00"/>
    <x v="83"/>
    <x v="176"/>
    <n v="5445"/>
    <n v="5445"/>
    <n v="0"/>
    <n v="0"/>
    <n v="0"/>
    <n v="5445"/>
    <x v="83"/>
    <s v="Concept"/>
  </r>
  <r>
    <s v="RD1106"/>
    <s v="Van Noort Gassler &amp; Co Rotterdam B.V."/>
    <s v="1111"/>
    <x v="2"/>
    <s v="VRK"/>
    <d v="2025-03-19T00:00:00"/>
    <x v="83"/>
    <x v="177"/>
    <n v="4356"/>
    <n v="4356"/>
    <n v="0"/>
    <n v="0"/>
    <n v="0"/>
    <n v="4356"/>
    <x v="83"/>
    <s v="Concept"/>
  </r>
  <r>
    <s v="RD1106"/>
    <s v="Van Noort Gassler &amp; Co Rotterdam B.V."/>
    <s v="1111"/>
    <x v="2"/>
    <s v="VRK"/>
    <d v="2025-03-26T00:00:00"/>
    <x v="143"/>
    <x v="178"/>
    <n v="17424"/>
    <n v="17424"/>
    <n v="0"/>
    <n v="0"/>
    <n v="0"/>
    <n v="17424"/>
    <x v="143"/>
    <s v="Concept"/>
  </r>
  <r>
    <s v="RD1106"/>
    <s v="Van Noort Gassler &amp; Co Rotterdam B.V."/>
    <s v="1111"/>
    <x v="2"/>
    <s v="VRK"/>
    <d v="2025-03-31T00:00:00"/>
    <x v="144"/>
    <x v="179"/>
    <n v="16335"/>
    <n v="16335"/>
    <n v="0"/>
    <n v="0"/>
    <n v="0"/>
    <n v="16335"/>
    <x v="144"/>
    <s v="Concept"/>
  </r>
  <r>
    <s v="RD1106"/>
    <s v="Van Noort Gassler &amp; Co Rotterdam B.V."/>
    <s v="1111"/>
    <x v="2"/>
    <s v="VRK"/>
    <d v="2025-04-16T00:00:00"/>
    <x v="145"/>
    <x v="180"/>
    <n v="19602"/>
    <n v="19602"/>
    <n v="0"/>
    <n v="0"/>
    <n v="0"/>
    <n v="19602"/>
    <x v="145"/>
    <s v="Concept"/>
  </r>
  <r>
    <s v="RD1106"/>
    <s v="Van Noort Gassler &amp; Co Rotterdam B.V."/>
    <s v="1111"/>
    <x v="2"/>
    <s v="VRK"/>
    <d v="2025-04-22T00:00:00"/>
    <x v="146"/>
    <x v="181"/>
    <n v="91119.41"/>
    <n v="91119.41"/>
    <n v="0"/>
    <n v="0"/>
    <n v="0"/>
    <n v="91119.41"/>
    <x v="146"/>
    <s v="Concept"/>
  </r>
  <r>
    <s v="RD1106"/>
    <s v="Van Noort Gassler &amp; Co Rotterdam B.V."/>
    <s v="1111"/>
    <x v="2"/>
    <s v="VRK"/>
    <d v="2025-05-06T00:00:00"/>
    <x v="147"/>
    <x v="182"/>
    <n v="93113.09"/>
    <n v="93113.09"/>
    <n v="0"/>
    <n v="0"/>
    <n v="0"/>
    <n v="93113.09"/>
    <x v="147"/>
    <s v="Concept"/>
  </r>
  <r>
    <s v="RD1106"/>
    <s v="Van Noort Gassler &amp; Co Rotterdam B.V."/>
    <s v="1111"/>
    <x v="2"/>
    <s v="VRK"/>
    <d v="2025-05-13T00:00:00"/>
    <x v="148"/>
    <x v="183"/>
    <n v="64277.33"/>
    <n v="64277.33"/>
    <n v="0"/>
    <n v="0"/>
    <n v="0"/>
    <n v="64277.33"/>
    <x v="148"/>
    <s v="Concept"/>
  </r>
  <r>
    <s v="RD1106"/>
    <s v="Van Noort Gassler &amp; Co Rotterdam B.V."/>
    <s v="1111"/>
    <x v="2"/>
    <s v="VRK"/>
    <d v="2025-05-22T00:00:00"/>
    <x v="149"/>
    <x v="184"/>
    <n v="15790.5"/>
    <n v="15790.5"/>
    <n v="0"/>
    <n v="0"/>
    <n v="0"/>
    <n v="15790.5"/>
    <x v="149"/>
    <s v="Concept"/>
  </r>
  <r>
    <s v="RD1106"/>
    <s v="Van Noort Gassler &amp; Co Rotterdam B.V."/>
    <s v="1111"/>
    <x v="2"/>
    <s v="VRK"/>
    <d v="2025-05-26T00:00:00"/>
    <x v="150"/>
    <x v="185"/>
    <n v="39204"/>
    <n v="39204"/>
    <n v="0"/>
    <n v="0"/>
    <n v="0"/>
    <n v="39204"/>
    <x v="150"/>
    <s v="Concept"/>
  </r>
  <r>
    <s v="RD1106"/>
    <s v="Van Noort Gassler &amp; Co Rotterdam B.V."/>
    <s v="1111"/>
    <x v="2"/>
    <s v="VRK"/>
    <d v="2025-06-03T00:00:00"/>
    <x v="151"/>
    <x v="186"/>
    <n v="16200"/>
    <n v="16200"/>
    <n v="0"/>
    <n v="0"/>
    <n v="0"/>
    <n v="16200"/>
    <x v="151"/>
    <s v="Concept"/>
  </r>
  <r>
    <s v="RD1106"/>
    <s v="Van Noort Gassler &amp; Co Rotterdam B.V."/>
    <s v="1111"/>
    <x v="2"/>
    <s v="VRK"/>
    <d v="2025-06-18T00:00:00"/>
    <x v="152"/>
    <x v="187"/>
    <n v="27225"/>
    <n v="27225"/>
    <n v="0"/>
    <n v="0"/>
    <n v="0"/>
    <n v="27225"/>
    <x v="152"/>
    <s v="Concept"/>
  </r>
  <r>
    <s v="RD1106"/>
    <s v="Van Noort Gassler &amp; Co Rotterdam B.V."/>
    <s v="1111"/>
    <x v="2"/>
    <s v="VRK"/>
    <d v="2025-06-20T00:00:00"/>
    <x v="153"/>
    <x v="188"/>
    <n v="105383.35"/>
    <n v="105383.35"/>
    <n v="0"/>
    <n v="0"/>
    <n v="0"/>
    <n v="105383.35"/>
    <x v="153"/>
    <s v="Concept"/>
  </r>
  <r>
    <s v="RD1106"/>
    <s v="Van Noort Gassler &amp; Co Rotterdam B.V."/>
    <s v="1111"/>
    <x v="2"/>
    <s v="VRK"/>
    <d v="2025-06-23T00:00:00"/>
    <x v="154"/>
    <x v="189"/>
    <n v="93190.7"/>
    <n v="93190.7"/>
    <n v="0"/>
    <n v="0"/>
    <n v="0"/>
    <n v="93190.7"/>
    <x v="154"/>
    <s v="Concept"/>
  </r>
  <r>
    <s v="RD1106"/>
    <s v="Van Noort Gassler &amp; Co Rotterdam B.V."/>
    <s v="1111"/>
    <x v="2"/>
    <s v="VRK"/>
    <d v="2025-07-01T00:00:00"/>
    <x v="87"/>
    <x v="190"/>
    <n v="54527.62"/>
    <n v="54527.62"/>
    <n v="0"/>
    <n v="0"/>
    <n v="0"/>
    <n v="54527.62"/>
    <x v="87"/>
    <s v="Concept"/>
  </r>
  <r>
    <s v="RD1106"/>
    <s v="Van Noort Gassler &amp; Co Rotterdam B.V."/>
    <s v="1111"/>
    <x v="2"/>
    <s v="VRK"/>
    <d v="2025-07-18T00:00:00"/>
    <x v="155"/>
    <x v="191"/>
    <n v="18850.439999999999"/>
    <n v="18850.439999999999"/>
    <n v="0"/>
    <n v="0"/>
    <n v="0"/>
    <n v="18850.439999999999"/>
    <x v="155"/>
    <s v="Concept"/>
  </r>
  <r>
    <s v="RD1106"/>
    <s v="Van Noort Gassler &amp; Co Rotterdam B.V."/>
    <s v="1111"/>
    <x v="2"/>
    <s v="VRK"/>
    <d v="2025-08-07T00:00:00"/>
    <x v="156"/>
    <x v="192"/>
    <n v="46295.47"/>
    <n v="46295.47"/>
    <n v="0"/>
    <n v="0"/>
    <n v="0"/>
    <n v="46295.47"/>
    <x v="156"/>
    <s v="Concept"/>
  </r>
  <r>
    <s v="RD1106"/>
    <s v="Van Noort Gassler &amp; Co Rotterdam B.V."/>
    <s v="1111"/>
    <x v="2"/>
    <s v="VRK"/>
    <d v="2025-08-08T00:00:00"/>
    <x v="157"/>
    <x v="193"/>
    <n v="16988.400000000001"/>
    <n v="16988.400000000001"/>
    <n v="0"/>
    <n v="0"/>
    <n v="0"/>
    <n v="16988.400000000001"/>
    <x v="157"/>
    <s v="Concept"/>
  </r>
  <r>
    <s v="RD1106"/>
    <s v="Van Noort Gassler &amp; Co Rotterdam B.V."/>
    <s v="1111"/>
    <x v="2"/>
    <s v="VRK"/>
    <d v="2025-08-12T00:00:00"/>
    <x v="158"/>
    <x v="194"/>
    <n v="54101.47"/>
    <n v="54101.47"/>
    <n v="0"/>
    <n v="0"/>
    <n v="0"/>
    <n v="54101.47"/>
    <x v="158"/>
    <s v="Concept"/>
  </r>
  <r>
    <s v="RD1106"/>
    <s v="Van Noort Gassler &amp; Co Rotterdam B.V."/>
    <s v="1111"/>
    <x v="2"/>
    <s v="VRK"/>
    <d v="2025-09-02T00:00:00"/>
    <x v="159"/>
    <x v="195"/>
    <n v="9256.5"/>
    <n v="9256.5"/>
    <n v="0"/>
    <n v="0"/>
    <n v="0"/>
    <n v="9256.5"/>
    <x v="159"/>
    <s v="Concept"/>
  </r>
  <r>
    <s v="RD1106"/>
    <s v="Van Noort Gassler &amp; Co Rotterdam B.V."/>
    <s v="1111"/>
    <x v="2"/>
    <s v="VRK"/>
    <d v="2025-09-05T00:00:00"/>
    <x v="160"/>
    <x v="196"/>
    <n v="50638.92"/>
    <n v="50638.92"/>
    <n v="0"/>
    <n v="0"/>
    <n v="0"/>
    <n v="50638.92"/>
    <x v="160"/>
    <s v="Concept"/>
  </r>
  <r>
    <s v="RD1106"/>
    <s v="Van Noort Gassler &amp; Co Rotterdam B.V."/>
    <s v="1111"/>
    <x v="2"/>
    <s v="VRK"/>
    <d v="2025-09-15T00:00:00"/>
    <x v="161"/>
    <x v="197"/>
    <n v="182928.15"/>
    <n v="175000"/>
    <n v="0"/>
    <n v="0"/>
    <n v="0"/>
    <n v="175000"/>
    <x v="161"/>
    <s v="Concept"/>
  </r>
  <r>
    <s v="RD1106"/>
    <s v="Van Noort Gassler &amp; Co Rotterdam B.V."/>
    <s v="1111"/>
    <x v="2"/>
    <s v="VRK"/>
    <d v="2025-09-26T00:00:00"/>
    <x v="162"/>
    <x v="198"/>
    <n v="54450.42"/>
    <n v="54450.42"/>
    <n v="0"/>
    <n v="0"/>
    <n v="0"/>
    <n v="54450.42"/>
    <x v="162"/>
    <s v="Concept"/>
  </r>
  <r>
    <s v="RD1106"/>
    <s v="Van Noort Gassler &amp; Co Rotterdam B.V."/>
    <s v="1111"/>
    <x v="2"/>
    <s v="VRK"/>
    <d v="2025-10-06T00:00:00"/>
    <x v="90"/>
    <x v="199"/>
    <n v="16335"/>
    <n v="16335"/>
    <n v="0"/>
    <n v="0"/>
    <n v="0"/>
    <n v="16335"/>
    <x v="90"/>
    <s v="Concept"/>
  </r>
  <r>
    <s v="RD1106"/>
    <s v="Van Noort Gassler &amp; Co Rotterdam B.V."/>
    <s v="1111"/>
    <x v="2"/>
    <s v="VRK"/>
    <d v="2025-10-09T00:00:00"/>
    <x v="163"/>
    <x v="200"/>
    <n v="16335"/>
    <n v="16335"/>
    <n v="0"/>
    <n v="0"/>
    <n v="0"/>
    <n v="16335"/>
    <x v="163"/>
    <s v="Concept"/>
  </r>
  <r>
    <s v="RD1106"/>
    <s v="Van Noort Gassler &amp; Co Rotterdam B.V."/>
    <s v="1111"/>
    <x v="2"/>
    <s v="VRK"/>
    <d v="2025-10-13T00:00:00"/>
    <x v="164"/>
    <x v="201"/>
    <n v="55278.06"/>
    <n v="55278.06"/>
    <n v="0"/>
    <n v="0"/>
    <n v="0"/>
    <n v="55278.06"/>
    <x v="164"/>
    <s v="Concept"/>
  </r>
  <r>
    <s v="RD1106"/>
    <s v="Van Noort Gassler &amp; Co Rotterdam B.V."/>
    <s v="1111"/>
    <x v="2"/>
    <s v="VRK"/>
    <d v="2025-10-16T00:00:00"/>
    <x v="165"/>
    <x v="202"/>
    <n v="27225"/>
    <n v="27225"/>
    <n v="0"/>
    <n v="0"/>
    <n v="0"/>
    <n v="27225"/>
    <x v="165"/>
    <s v="Concept"/>
  </r>
  <r>
    <s v="RD1106"/>
    <s v="Van Noort Gassler &amp; Co Rotterdam B.V."/>
    <s v="1111"/>
    <x v="2"/>
    <s v="VRK"/>
    <d v="2025-10-16T00:00:00"/>
    <x v="165"/>
    <x v="203"/>
    <n v="39204"/>
    <n v="39204"/>
    <n v="0"/>
    <n v="0"/>
    <n v="0"/>
    <n v="39204"/>
    <x v="165"/>
    <s v="Concept"/>
  </r>
  <r>
    <s v="RD1106"/>
    <s v="Van Noort Gassler &amp; Co Rotterdam B.V."/>
    <s v="1111"/>
    <x v="2"/>
    <s v="VRK"/>
    <d v="2025-10-17T00:00:00"/>
    <x v="166"/>
    <x v="204"/>
    <n v="-39204"/>
    <n v="-39204"/>
    <n v="0"/>
    <n v="0"/>
    <n v="0"/>
    <n v="-39204"/>
    <x v="166"/>
    <s v="Concept"/>
  </r>
  <r>
    <s v="RD1106"/>
    <s v="Van Noort Gassler &amp; Co Rotterdam B.V."/>
    <s v="1111"/>
    <x v="2"/>
    <s v="VRK"/>
    <d v="2025-10-17T00:00:00"/>
    <x v="166"/>
    <x v="205"/>
    <n v="26801.5"/>
    <n v="26801.5"/>
    <n v="0"/>
    <n v="0"/>
    <n v="0"/>
    <n v="26801.5"/>
    <x v="166"/>
    <s v="Concept"/>
  </r>
  <r>
    <s v="RD1106"/>
    <s v="Van Noort Gassler &amp; Co Rotterdam B.V."/>
    <s v="1111"/>
    <x v="2"/>
    <s v="VRK"/>
    <d v="2025-10-23T00:00:00"/>
    <x v="167"/>
    <x v="206"/>
    <n v="84518.5"/>
    <n v="84518.5"/>
    <n v="0"/>
    <n v="0"/>
    <n v="0"/>
    <n v="84518.5"/>
    <x v="167"/>
    <s v="Concept"/>
  </r>
  <r>
    <s v="RD1106"/>
    <s v="Van Noort Gassler &amp; Co Rotterdam B.V."/>
    <s v="1111"/>
    <x v="2"/>
    <s v="VRK"/>
    <d v="2025-10-27T00:00:00"/>
    <x v="168"/>
    <x v="207"/>
    <n v="49005"/>
    <n v="49005"/>
    <n v="0"/>
    <n v="0"/>
    <n v="0"/>
    <n v="49005"/>
    <x v="168"/>
    <s v="Concept"/>
  </r>
  <r>
    <s v="RD1106"/>
    <s v="Van Noort Gassler &amp; Co Rotterdam B.V."/>
    <s v="1111"/>
    <x v="2"/>
    <s v="VRK"/>
    <d v="2025-11-03T00:00:00"/>
    <x v="169"/>
    <x v="208"/>
    <n v="7623"/>
    <n v="7623"/>
    <n v="0"/>
    <n v="0"/>
    <n v="0"/>
    <n v="7623"/>
    <x v="169"/>
    <s v="Concept"/>
  </r>
  <r>
    <s v="RD1106"/>
    <s v="Van Noort Gassler &amp; Co Rotterdam B.V."/>
    <s v="1111"/>
    <x v="2"/>
    <s v="VRK"/>
    <d v="2025-11-06T00:00:00"/>
    <x v="170"/>
    <x v="209"/>
    <n v="134103.89000000001"/>
    <n v="134103.89000000001"/>
    <n v="0"/>
    <n v="0"/>
    <n v="0"/>
    <n v="134103.89000000001"/>
    <x v="170"/>
    <s v="Concept"/>
  </r>
  <r>
    <s v="RD1106"/>
    <s v="Van Noort Gassler &amp; Co Rotterdam B.V."/>
    <s v="1111"/>
    <x v="2"/>
    <s v="VRK"/>
    <d v="2025-11-06T00:00:00"/>
    <x v="170"/>
    <x v="210"/>
    <n v="86168.94"/>
    <n v="86168.94"/>
    <n v="0"/>
    <n v="0"/>
    <n v="0"/>
    <n v="86168.94"/>
    <x v="170"/>
    <s v="Concept"/>
  </r>
  <r>
    <s v="RD1106"/>
    <s v="Van Noort Gassler &amp; Co Rotterdam B.V."/>
    <s v="1111"/>
    <x v="2"/>
    <s v="VRK"/>
    <d v="2025-11-07T00:00:00"/>
    <x v="171"/>
    <x v="211"/>
    <n v="6534"/>
    <n v="6534"/>
    <n v="0"/>
    <n v="0"/>
    <n v="0"/>
    <n v="6534"/>
    <x v="171"/>
    <s v="Concept"/>
  </r>
  <r>
    <s v="RD1106"/>
    <s v="Van Noort Gassler &amp; Co Rotterdam B.V."/>
    <s v="1111"/>
    <x v="2"/>
    <s v="VRK"/>
    <d v="2025-11-10T00:00:00"/>
    <x v="172"/>
    <x v="212"/>
    <n v="9801"/>
    <n v="9801"/>
    <n v="0"/>
    <n v="0"/>
    <n v="0"/>
    <n v="9801"/>
    <x v="172"/>
    <s v="Concept"/>
  </r>
  <r>
    <s v="RD1106"/>
    <s v="Van Noort Gassler &amp; Co Rotterdam B.V."/>
    <s v="1111"/>
    <x v="2"/>
    <s v="VRK"/>
    <d v="2025-11-17T00:00:00"/>
    <x v="173"/>
    <x v="213"/>
    <n v="5445"/>
    <n v="5445"/>
    <n v="0"/>
    <n v="0"/>
    <n v="0"/>
    <n v="5445"/>
    <x v="173"/>
    <s v="Concept"/>
  </r>
  <r>
    <s v="RD1106"/>
    <s v="Van Noort Gassler &amp; Co Rotterdam B.V."/>
    <s v="1111"/>
    <x v="2"/>
    <s v="VRK"/>
    <d v="2025-11-17T00:00:00"/>
    <x v="173"/>
    <x v="214"/>
    <n v="9801"/>
    <n v="9801"/>
    <n v="0"/>
    <n v="0"/>
    <n v="0"/>
    <n v="9801"/>
    <x v="173"/>
    <s v="Concept"/>
  </r>
  <r>
    <s v="RD1106"/>
    <s v="Van Noort Gassler &amp; Co Rotterdam B.V."/>
    <s v="1111"/>
    <x v="2"/>
    <s v="VRK"/>
    <d v="2025-11-21T00:00:00"/>
    <x v="174"/>
    <x v="215"/>
    <n v="-9801"/>
    <n v="-9801"/>
    <n v="0"/>
    <n v="0"/>
    <n v="0"/>
    <n v="-9801"/>
    <x v="174"/>
    <s v="Concept"/>
  </r>
  <r>
    <s v="RD1106"/>
    <s v="Van Noort Gassler &amp; Co Rotterdam B.V."/>
    <s v="1111"/>
    <x v="2"/>
    <s v="VRK"/>
    <d v="2025-11-21T00:00:00"/>
    <x v="174"/>
    <x v="216"/>
    <n v="8712"/>
    <n v="8712"/>
    <n v="0"/>
    <n v="0"/>
    <n v="0"/>
    <n v="8712"/>
    <x v="174"/>
    <s v="Concept"/>
  </r>
  <r>
    <s v="RD1106"/>
    <s v="Van Noort Gassler &amp; Co Rotterdam B.V."/>
    <s v="1111"/>
    <x v="2"/>
    <s v="VRK"/>
    <d v="2025-11-24T00:00:00"/>
    <x v="175"/>
    <x v="217"/>
    <n v="5445"/>
    <n v="5445"/>
    <n v="0"/>
    <n v="0"/>
    <n v="0"/>
    <n v="5445"/>
    <x v="175"/>
    <s v="Concept"/>
  </r>
  <r>
    <s v="RD1106"/>
    <s v="Van Noort Gassler &amp; Co Rotterdam B.V."/>
    <s v="1111"/>
    <x v="2"/>
    <s v="VRK"/>
    <d v="2025-11-24T00:00:00"/>
    <x v="175"/>
    <x v="218"/>
    <n v="54450.36"/>
    <n v="54450.36"/>
    <n v="0"/>
    <n v="0"/>
    <n v="0"/>
    <n v="54450.36"/>
    <x v="175"/>
    <s v="Concept"/>
  </r>
  <r>
    <s v="RD1106"/>
    <s v="Van Noort Gassler &amp; Co Rotterdam B.V."/>
    <s v="1111"/>
    <x v="2"/>
    <s v="VRK"/>
    <d v="2025-11-28T00:00:00"/>
    <x v="104"/>
    <x v="219"/>
    <n v="54678.41"/>
    <n v="54678.41"/>
    <n v="0"/>
    <n v="0"/>
    <n v="0"/>
    <n v="54678.41"/>
    <x v="104"/>
    <s v="Concept"/>
  </r>
  <r>
    <s v="RD1106"/>
    <s v="Van Noort Gassler &amp; Co Rotterdam B.V."/>
    <s v="1111"/>
    <x v="2"/>
    <s v="VRK"/>
    <d v="2025-12-01T00:00:00"/>
    <x v="176"/>
    <x v="220"/>
    <n v="11979"/>
    <n v="11979"/>
    <n v="0"/>
    <n v="0"/>
    <n v="0"/>
    <n v="11979"/>
    <x v="176"/>
    <s v="Concept"/>
  </r>
  <r>
    <s v="RD1106"/>
    <s v="Van Noort Gassler &amp; Co Rotterdam B.V."/>
    <s v="1111"/>
    <x v="2"/>
    <s v="VRK"/>
    <d v="2025-12-01T00:00:00"/>
    <x v="176"/>
    <x v="221"/>
    <n v="20790"/>
    <n v="20790"/>
    <n v="0"/>
    <n v="0"/>
    <n v="0"/>
    <n v="20790"/>
    <x v="176"/>
    <s v="Concept"/>
  </r>
  <r>
    <s v="RD1106"/>
    <s v="Van Noort Gassler &amp; Co Rotterdam B.V."/>
    <s v="1111"/>
    <x v="2"/>
    <s v="VRK"/>
    <d v="2025-12-01T00:00:00"/>
    <x v="176"/>
    <x v="222"/>
    <n v="18778.72"/>
    <n v="18778.72"/>
    <n v="0"/>
    <n v="0"/>
    <n v="0"/>
    <n v="18778.72"/>
    <x v="176"/>
    <s v="Concept"/>
  </r>
  <r>
    <s v="RD1106"/>
    <s v="Van Noort Gassler &amp; Co Rotterdam B.V."/>
    <s v="1111"/>
    <x v="2"/>
    <s v="VRK"/>
    <d v="2025-12-04T00:00:00"/>
    <x v="177"/>
    <x v="223"/>
    <n v="-20790"/>
    <n v="-20790"/>
    <n v="0"/>
    <n v="0"/>
    <n v="0"/>
    <n v="-20790"/>
    <x v="177"/>
    <s v="Concept"/>
  </r>
  <r>
    <s v="RD1106"/>
    <s v="Van Noort Gassler &amp; Co Rotterdam B.V."/>
    <s v="1111"/>
    <x v="2"/>
    <s v="VRK"/>
    <d v="2025-12-04T00:00:00"/>
    <x v="177"/>
    <x v="224"/>
    <n v="22869"/>
    <n v="22869"/>
    <n v="0"/>
    <n v="0"/>
    <n v="0"/>
    <n v="22869"/>
    <x v="177"/>
    <s v="Concept"/>
  </r>
  <r>
    <s v="RD1106"/>
    <s v="Van Noort Gassler &amp; Co Rotterdam B.V."/>
    <s v="1111"/>
    <x v="2"/>
    <s v="VRK"/>
    <d v="2025-12-12T00:00:00"/>
    <x v="178"/>
    <x v="225"/>
    <n v="34848"/>
    <n v="34848"/>
    <n v="0"/>
    <n v="0"/>
    <n v="0"/>
    <n v="34848"/>
    <x v="178"/>
    <s v="Concept"/>
  </r>
  <r>
    <s v="RD1106"/>
    <s v="Van Noort Gassler &amp; Co Rotterdam B.V."/>
    <s v="1111"/>
    <x v="2"/>
    <s v="VRK"/>
    <d v="2025-12-19T00:00:00"/>
    <x v="179"/>
    <x v="226"/>
    <n v="7623"/>
    <n v="7623"/>
    <n v="0"/>
    <n v="0"/>
    <n v="0"/>
    <n v="7623"/>
    <x v="179"/>
    <s v="Concept"/>
  </r>
  <r>
    <s v="RD1106"/>
    <s v="Van Noort Gassler &amp; Co Rotterdam B.V."/>
    <s v="1111"/>
    <x v="2"/>
    <s v="VRK"/>
    <d v="2026-01-06T00:00:00"/>
    <x v="180"/>
    <x v="227"/>
    <n v="8167.5"/>
    <n v="8167.5"/>
    <n v="0"/>
    <n v="0"/>
    <n v="0"/>
    <n v="8167.5"/>
    <x v="180"/>
    <s v="Concept"/>
  </r>
  <r>
    <s v="RD1106"/>
    <s v="Van Noort Gassler &amp; Co Rotterdam B.V."/>
    <s v="1111"/>
    <x v="2"/>
    <s v="VRK"/>
    <d v="2026-01-19T00:00:00"/>
    <x v="181"/>
    <x v="228"/>
    <n v="44104.5"/>
    <n v="44104.5"/>
    <n v="0"/>
    <n v="0"/>
    <n v="0"/>
    <n v="44104.5"/>
    <x v="181"/>
    <s v="Concept"/>
  </r>
  <r>
    <s v="RD1106"/>
    <s v="Van Noort Gassler &amp; Co Rotterdam B.V."/>
    <s v="1111"/>
    <x v="2"/>
    <s v="VRK"/>
    <d v="2026-01-22T00:00:00"/>
    <x v="182"/>
    <x v="229"/>
    <n v="6969.6"/>
    <n v="6969.6"/>
    <n v="0"/>
    <n v="0"/>
    <n v="0"/>
    <n v="6969.6"/>
    <x v="182"/>
    <s v="Concept"/>
  </r>
  <r>
    <s v="RD1106"/>
    <s v="Van Noort Gassler &amp; Co Rotterdam B.V."/>
    <s v="1111"/>
    <x v="2"/>
    <s v="VRK"/>
    <d v="2026-01-27T00:00:00"/>
    <x v="183"/>
    <x v="230"/>
    <n v="88211.31"/>
    <n v="88211.31"/>
    <n v="0"/>
    <n v="0"/>
    <n v="0"/>
    <n v="88211.31"/>
    <x v="183"/>
    <s v="Concept"/>
  </r>
  <r>
    <s v="RD1106"/>
    <s v="Van Noort Gassler &amp; Co Rotterdam B.V."/>
    <s v="1111"/>
    <x v="2"/>
    <s v="VRK"/>
    <d v="2026-02-02T00:00:00"/>
    <x v="95"/>
    <x v="231"/>
    <n v="7078.5"/>
    <n v="7078.5"/>
    <n v="0"/>
    <n v="0"/>
    <n v="7078.5"/>
    <n v="0"/>
    <x v="95"/>
    <s v="Concept"/>
  </r>
  <r>
    <s v="RD1106"/>
    <s v="Van Noort Gassler &amp; Co Rotterdam B.V."/>
    <s v="1111"/>
    <x v="2"/>
    <s v="VRK"/>
    <d v="2026-02-09T00:00:00"/>
    <x v="184"/>
    <x v="232"/>
    <n v="90757.04"/>
    <n v="90757.04"/>
    <n v="0"/>
    <n v="0"/>
    <n v="90757.04"/>
    <n v="0"/>
    <x v="184"/>
    <s v="Concept"/>
  </r>
  <r>
    <s v="RD1106"/>
    <s v="Van Noort Gassler &amp; Co Rotterdam B.V."/>
    <s v="1111"/>
    <x v="2"/>
    <s v="VRK"/>
    <d v="2026-02-09T00:00:00"/>
    <x v="184"/>
    <x v="233"/>
    <n v="25482.6"/>
    <n v="25482.6"/>
    <n v="0"/>
    <n v="0"/>
    <n v="25482.6"/>
    <n v="0"/>
    <x v="184"/>
    <s v="Concept"/>
  </r>
  <r>
    <s v="RD1106"/>
    <s v="Van Noort Gassler &amp; Co Rotterdam B.V."/>
    <s v="1111"/>
    <x v="2"/>
    <s v="VRK"/>
    <d v="2026-02-23T00:00:00"/>
    <x v="185"/>
    <x v="234"/>
    <n v="22732.880000000001"/>
    <n v="22732.880000000001"/>
    <n v="0"/>
    <n v="0"/>
    <n v="22732.880000000001"/>
    <n v="0"/>
    <x v="185"/>
    <s v="Concept"/>
  </r>
  <r>
    <s v="RD1106"/>
    <s v="Van Noort Gassler &amp; Co Rotterdam B.V."/>
    <s v="1111"/>
    <x v="2"/>
    <s v="VRK"/>
    <d v="2026-02-23T00:00:00"/>
    <x v="185"/>
    <x v="235"/>
    <n v="22732.880000000001"/>
    <n v="22732.880000000001"/>
    <n v="0"/>
    <n v="0"/>
    <n v="22732.880000000001"/>
    <n v="0"/>
    <x v="185"/>
    <s v="Concept"/>
  </r>
  <r>
    <s v="RD1106"/>
    <s v="Van Noort Gassler &amp; Co Rotterdam B.V."/>
    <s v="1111"/>
    <x v="2"/>
    <s v="VRK"/>
    <d v="2026-02-23T00:00:00"/>
    <x v="185"/>
    <x v="236"/>
    <n v="9801"/>
    <n v="9801"/>
    <n v="0"/>
    <n v="0"/>
    <n v="9801"/>
    <n v="0"/>
    <x v="185"/>
    <s v="Concept"/>
  </r>
  <r>
    <s v="RD1106"/>
    <s v="Van Noort Gassler &amp; Co Rotterdam B.V."/>
    <s v="1111"/>
    <x v="2"/>
    <s v="VRK"/>
    <d v="2026-02-27T00:00:00"/>
    <x v="186"/>
    <x v="237"/>
    <n v="8712"/>
    <n v="8712"/>
    <n v="0"/>
    <n v="8712"/>
    <n v="0"/>
    <n v="0"/>
    <x v="186"/>
    <s v="Concept"/>
  </r>
  <r>
    <s v="RD1106"/>
    <s v="Van Noort Gassler &amp; Co Rotterdam B.V."/>
    <s v="1111"/>
    <x v="2"/>
    <s v="VRK"/>
    <d v="2026-03-13T00:00:00"/>
    <x v="187"/>
    <x v="238"/>
    <n v="79225.84"/>
    <n v="79225.84"/>
    <n v="0"/>
    <n v="79225.84"/>
    <n v="0"/>
    <n v="0"/>
    <x v="187"/>
    <s v="Concept"/>
  </r>
  <r>
    <s v="RD1106"/>
    <s v="Van Noort Gassler &amp; Co Rotterdam B.V."/>
    <s v="1111"/>
    <x v="2"/>
    <s v="VRK"/>
    <d v="2026-03-20T00:00:00"/>
    <x v="188"/>
    <x v="239"/>
    <n v="25047"/>
    <n v="25047"/>
    <n v="0"/>
    <n v="25047"/>
    <n v="0"/>
    <n v="0"/>
    <x v="188"/>
    <s v="Concept"/>
  </r>
  <r>
    <s v="RD1106"/>
    <s v="Van Noort Gassler &amp; Co Rotterdam B.V."/>
    <s v="1111"/>
    <x v="2"/>
    <s v="VRK"/>
    <d v="2026-03-24T00:00:00"/>
    <x v="189"/>
    <x v="240"/>
    <n v="30492"/>
    <n v="30492"/>
    <n v="0"/>
    <n v="30492"/>
    <n v="0"/>
    <n v="0"/>
    <x v="189"/>
    <s v="Concept"/>
  </r>
  <r>
    <s v="RD1106"/>
    <s v="Van Noort Gassler &amp; Co Rotterdam B.V."/>
    <s v="1111"/>
    <x v="2"/>
    <s v="VRK"/>
    <d v="2026-03-24T00:00:00"/>
    <x v="189"/>
    <x v="241"/>
    <n v="32125.5"/>
    <n v="32125.5"/>
    <n v="0"/>
    <n v="32125.5"/>
    <n v="0"/>
    <n v="0"/>
    <x v="189"/>
    <s v="Concept"/>
  </r>
  <r>
    <s v="RD1106"/>
    <s v="Van Noort Gassler &amp; Co Rotterdam B.V."/>
    <s v="1111"/>
    <x v="2"/>
    <s v="VRK"/>
    <d v="2026-03-26T00:00:00"/>
    <x v="190"/>
    <x v="242"/>
    <n v="53656.98"/>
    <n v="53656.98"/>
    <n v="0"/>
    <n v="53656.98"/>
    <n v="0"/>
    <n v="0"/>
    <x v="190"/>
    <s v="Concept"/>
  </r>
  <r>
    <s v="RD1106"/>
    <s v="Van Noort Gassler &amp; Co Rotterdam B.V."/>
    <s v="1111"/>
    <x v="2"/>
    <s v="VRK"/>
    <d v="2026-03-27T00:00:00"/>
    <x v="191"/>
    <x v="243"/>
    <n v="14157"/>
    <n v="14157"/>
    <n v="0"/>
    <n v="14157"/>
    <n v="0"/>
    <n v="0"/>
    <x v="191"/>
    <s v="Concept"/>
  </r>
  <r>
    <s v="RD1106"/>
    <s v="Van Noort Gassler &amp; Co Rotterdam B.V."/>
    <s v="1111"/>
    <x v="2"/>
    <s v="VRK"/>
    <d v="2026-04-02T00:00:00"/>
    <x v="192"/>
    <x v="244"/>
    <n v="59895"/>
    <n v="59895"/>
    <n v="59895"/>
    <n v="0"/>
    <n v="0"/>
    <n v="0"/>
    <x v="192"/>
    <s v="Concept"/>
  </r>
  <r>
    <s v="RD1106"/>
    <s v="Van Noort Gassler &amp; Co Rotterdam B.V."/>
    <s v="1111"/>
    <x v="2"/>
    <s v="VRK"/>
    <d v="2026-04-09T00:00:00"/>
    <x v="193"/>
    <x v="245"/>
    <n v="57746.02"/>
    <n v="57746.02"/>
    <n v="57746.02"/>
    <n v="0"/>
    <n v="0"/>
    <n v="0"/>
    <x v="193"/>
    <s v="Concept"/>
  </r>
  <r>
    <s v="RD1106"/>
    <s v="Van Noort Gassler &amp; Co Rotterdam B.V."/>
    <s v="1111"/>
    <x v="2"/>
    <s v="VRK"/>
    <d v="2026-04-15T00:00:00"/>
    <x v="194"/>
    <x v="246"/>
    <n v="5445"/>
    <n v="5445"/>
    <n v="5445"/>
    <n v="0"/>
    <n v="0"/>
    <n v="0"/>
    <x v="194"/>
    <s v="Concept"/>
  </r>
  <r>
    <s v="RD1106"/>
    <s v="Van Noort Gassler &amp; Co Rotterdam B.V."/>
    <s v="1111"/>
    <x v="2"/>
    <s v="VRK"/>
    <d v="2026-04-17T00:00:00"/>
    <x v="195"/>
    <x v="247"/>
    <n v="26462.880000000001"/>
    <n v="26462.880000000001"/>
    <n v="26462.880000000001"/>
    <n v="0"/>
    <n v="0"/>
    <n v="0"/>
    <x v="195"/>
    <s v="Concept"/>
  </r>
  <r>
    <s v="RD1106"/>
    <s v="Van Noort Gassler &amp; Co Rotterdam B.V."/>
    <s v="1111"/>
    <x v="2"/>
    <s v="VRK"/>
    <d v="2026-04-17T00:00:00"/>
    <x v="195"/>
    <x v="248"/>
    <n v="10890"/>
    <n v="10890"/>
    <n v="10890"/>
    <n v="0"/>
    <n v="0"/>
    <n v="0"/>
    <x v="195"/>
    <s v="Concept"/>
  </r>
  <r>
    <s v="RD1106"/>
    <s v="Van Noort Gassler &amp; Co Rotterdam B.V."/>
    <s v="1111"/>
    <x v="2"/>
    <s v="VRK"/>
    <d v="2026-04-21T00:00:00"/>
    <x v="196"/>
    <x v="249"/>
    <n v="5230.8100000000004"/>
    <n v="5230.8100000000004"/>
    <n v="5230.8100000000004"/>
    <n v="0"/>
    <n v="0"/>
    <n v="0"/>
    <x v="196"/>
    <s v="Concept"/>
  </r>
  <r>
    <s v="RD1106"/>
    <s v="Van Noort Gassler &amp; Co Rotterdam B.V."/>
    <s v="1111"/>
    <x v="2"/>
    <s v="VRK"/>
    <d v="2026-04-21T00:00:00"/>
    <x v="196"/>
    <x v="250"/>
    <n v="3497.57"/>
    <n v="3497.57"/>
    <n v="3497.57"/>
    <n v="0"/>
    <n v="0"/>
    <n v="0"/>
    <x v="196"/>
    <s v="Concept"/>
  </r>
  <r>
    <s v="RD1106"/>
    <s v="Van Noort Gassler &amp; Co Rotterdam B.V."/>
    <s v="1181"/>
    <x v="3"/>
    <s v="VRK"/>
    <d v="2025-01-27T00:00:00"/>
    <x v="197"/>
    <x v="251"/>
    <n v="7865"/>
    <n v="5865"/>
    <n v="0"/>
    <n v="0"/>
    <n v="0"/>
    <n v="5865"/>
    <x v="197"/>
    <s v="Concept"/>
  </r>
  <r>
    <s v="RD1106"/>
    <s v="Van Noort Gassler &amp; Co Rotterdam B.V."/>
    <s v="1181"/>
    <x v="3"/>
    <s v="VRK"/>
    <d v="2025-01-27T00:00:00"/>
    <x v="197"/>
    <x v="252"/>
    <n v="7865"/>
    <n v="7865"/>
    <n v="0"/>
    <n v="0"/>
    <n v="0"/>
    <n v="7865"/>
    <x v="197"/>
    <s v="Concept"/>
  </r>
  <r>
    <s v="RD1106"/>
    <s v="Van Noort Gassler &amp; Co Rotterdam B.V."/>
    <s v="1181"/>
    <x v="3"/>
    <s v="VRK"/>
    <d v="2025-01-27T00:00:00"/>
    <x v="197"/>
    <x v="253"/>
    <n v="8470"/>
    <n v="8470"/>
    <n v="0"/>
    <n v="0"/>
    <n v="0"/>
    <n v="8470"/>
    <x v="197"/>
    <s v="Concept"/>
  </r>
  <r>
    <s v="RD1106"/>
    <s v="Van Noort Gassler &amp; Co Rotterdam B.V."/>
    <s v="1181"/>
    <x v="3"/>
    <s v="VRK"/>
    <d v="2025-01-27T00:00:00"/>
    <x v="197"/>
    <x v="254"/>
    <n v="9075"/>
    <n v="8075"/>
    <n v="0"/>
    <n v="0"/>
    <n v="0"/>
    <n v="8075"/>
    <x v="197"/>
    <s v="Concept"/>
  </r>
  <r>
    <s v="RD1106"/>
    <s v="Van Noort Gassler &amp; Co Rotterdam B.V."/>
    <s v="1181"/>
    <x v="3"/>
    <s v="VRK"/>
    <d v="2025-09-02T00:00:00"/>
    <x v="159"/>
    <x v="255"/>
    <n v="9075"/>
    <n v="9075"/>
    <n v="0"/>
    <n v="0"/>
    <n v="0"/>
    <n v="9075"/>
    <x v="159"/>
    <s v="Concept"/>
  </r>
  <r>
    <s v="RD1106"/>
    <s v="Van Noort Gassler &amp; Co Rotterdam B.V."/>
    <s v="1181"/>
    <x v="3"/>
    <s v="VRK"/>
    <d v="2025-09-02T00:00:00"/>
    <x v="159"/>
    <x v="256"/>
    <n v="9075"/>
    <n v="5075"/>
    <n v="0"/>
    <n v="0"/>
    <n v="0"/>
    <n v="5075"/>
    <x v="159"/>
    <s v="Concept"/>
  </r>
  <r>
    <s v="RD1106"/>
    <s v="Van Noort Gassler &amp; Co Rotterdam B.V."/>
    <s v="1290"/>
    <x v="4"/>
    <s v="VRK"/>
    <d v="2026-03-23T00:00:00"/>
    <x v="198"/>
    <x v="257"/>
    <n v="9164.18"/>
    <n v="9164.18"/>
    <n v="0"/>
    <n v="9164.18"/>
    <n v="0"/>
    <n v="0"/>
    <x v="198"/>
    <s v="Concept"/>
  </r>
  <r>
    <s v="RD1106"/>
    <s v="Van Noort Gassler &amp; Co Rotterdam B.V."/>
    <s v="1290"/>
    <x v="4"/>
    <s v="VRK"/>
    <d v="2026-04-01T00:00:00"/>
    <x v="199"/>
    <x v="258"/>
    <n v="2998.38"/>
    <n v="2998.38"/>
    <n v="2998.38"/>
    <n v="0"/>
    <n v="0"/>
    <n v="0"/>
    <x v="199"/>
    <s v="Concept"/>
  </r>
  <r>
    <s v="RD1106"/>
    <s v="Van Noort Gassler &amp; Co Rotterdam B.V."/>
    <s v="1292"/>
    <x v="5"/>
    <s v="VRK"/>
    <d v="2026-01-08T00:00:00"/>
    <x v="93"/>
    <x v="259"/>
    <n v="496.1"/>
    <n v="496.1"/>
    <n v="0"/>
    <n v="0"/>
    <n v="0"/>
    <n v="496.1"/>
    <x v="93"/>
    <s v="Concept"/>
  </r>
  <r>
    <s v="RD1106"/>
    <s v="Van Noort Gassler &amp; Co Rotterdam B.V."/>
    <s v="1292"/>
    <x v="5"/>
    <s v="VRK"/>
    <d v="2026-01-08T00:00:00"/>
    <x v="93"/>
    <x v="260"/>
    <n v="79.86"/>
    <n v="79.86"/>
    <n v="0"/>
    <n v="0"/>
    <n v="0"/>
    <n v="79.86"/>
    <x v="93"/>
    <s v="Concept"/>
  </r>
  <r>
    <s v="RD1106"/>
    <s v="Van Noort Gassler &amp; Co Rotterdam B.V."/>
    <s v="1292"/>
    <x v="5"/>
    <s v="VRK"/>
    <d v="2026-04-06T00:00:00"/>
    <x v="98"/>
    <x v="261"/>
    <n v="496.1"/>
    <n v="496.1"/>
    <n v="496.1"/>
    <n v="0"/>
    <n v="0"/>
    <n v="0"/>
    <x v="98"/>
    <s v="Concept"/>
  </r>
  <r>
    <s v="RD1106"/>
    <s v="Van Noort Gassler &amp; Co Rotterdam B.V."/>
    <s v="1292"/>
    <x v="5"/>
    <s v="VRK"/>
    <d v="2026-04-06T00:00:00"/>
    <x v="98"/>
    <x v="262"/>
    <n v="79.86"/>
    <n v="79.86"/>
    <n v="79.86"/>
    <n v="0"/>
    <n v="0"/>
    <n v="0"/>
    <x v="98"/>
    <s v="Concept"/>
  </r>
  <r>
    <s v="RD1106"/>
    <s v="Van Noort Gassler &amp; Co Rotterdam B.V."/>
    <s v="1293"/>
    <x v="6"/>
    <s v="VRK"/>
    <d v="2026-04-06T00:00:00"/>
    <x v="98"/>
    <x v="263"/>
    <n v="635.25"/>
    <n v="635.25"/>
    <n v="635.25"/>
    <n v="0"/>
    <n v="0"/>
    <n v="0"/>
    <x v="98"/>
    <s v="Concept"/>
  </r>
  <r>
    <s v="RD1106"/>
    <s v="Van Noort Gassler &amp; Co Rotterdam B.V."/>
    <s v="1293"/>
    <x v="6"/>
    <s v="VRK"/>
    <d v="2026-04-06T00:00:00"/>
    <x v="98"/>
    <x v="264"/>
    <n v="79.86"/>
    <n v="79.86"/>
    <n v="79.86"/>
    <n v="0"/>
    <n v="0"/>
    <n v="0"/>
    <x v="98"/>
    <s v="Concept"/>
  </r>
  <r>
    <s v="RD1106"/>
    <s v="Van Noort Gassler &amp; Co Rotterdam B.V."/>
    <s v="1295"/>
    <x v="7"/>
    <s v="VRK"/>
    <d v="2026-04-06T00:00:00"/>
    <x v="98"/>
    <x v="265"/>
    <n v="484"/>
    <n v="484"/>
    <n v="484"/>
    <n v="0"/>
    <n v="0"/>
    <n v="0"/>
    <x v="98"/>
    <s v="Concept"/>
  </r>
  <r>
    <s v="RD1106"/>
    <s v="Van Noort Gassler &amp; Co Rotterdam B.V."/>
    <s v="1295"/>
    <x v="7"/>
    <s v="VRK"/>
    <d v="2026-04-06T00:00:00"/>
    <x v="98"/>
    <x v="266"/>
    <n v="79.86"/>
    <n v="79.86"/>
    <n v="79.86"/>
    <n v="0"/>
    <n v="0"/>
    <n v="0"/>
    <x v="98"/>
    <s v="Concept"/>
  </r>
  <r>
    <s v="RD1106"/>
    <s v="Van Noort Gassler &amp; Co Rotterdam B.V."/>
    <s v="1312"/>
    <x v="8"/>
    <s v="BNK"/>
    <d v="2025-10-21T00:00:00"/>
    <x v="200"/>
    <x v="0"/>
    <n v="361.77"/>
    <n v="361.77"/>
    <n v="0"/>
    <n v="0"/>
    <n v="0"/>
    <n v="361.77"/>
    <x v="200"/>
    <s v="Concept"/>
  </r>
  <r>
    <s v="RD1106"/>
    <s v="Van Noort Gassler &amp; Co Rotterdam B.V."/>
    <s v="1337"/>
    <x v="9"/>
    <s v="VRK"/>
    <d v="2022-08-23T00:00:00"/>
    <x v="201"/>
    <x v="267"/>
    <n v="1725.26"/>
    <n v="1725.26"/>
    <n v="0"/>
    <n v="0"/>
    <n v="0"/>
    <n v="1725.26"/>
    <x v="201"/>
    <s v="Definitief"/>
  </r>
  <r>
    <s v="RD1106"/>
    <s v="Van Noort Gassler &amp; Co Rotterdam B.V."/>
    <s v="1410"/>
    <x v="10"/>
    <s v="BNK"/>
    <d v="2025-02-11T00:00:00"/>
    <x v="202"/>
    <x v="0"/>
    <n v="-242"/>
    <n v="-242"/>
    <n v="0"/>
    <n v="0"/>
    <n v="0"/>
    <n v="-242"/>
    <x v="202"/>
    <s v="Concept"/>
  </r>
  <r>
    <s v="RD1106"/>
    <s v="Van Noort Gassler &amp; Co Rotterdam B.V."/>
    <s v="1410"/>
    <x v="10"/>
    <s v="VRK"/>
    <d v="2025-11-05T00:00:00"/>
    <x v="91"/>
    <x v="268"/>
    <n v="9965.26"/>
    <n v="9965.26"/>
    <n v="0"/>
    <n v="0"/>
    <n v="0"/>
    <n v="9965.26"/>
    <x v="91"/>
    <s v="Concept"/>
  </r>
  <r>
    <s v="RD1106"/>
    <s v="Van Noort Gassler &amp; Co Rotterdam B.V."/>
    <s v="1410"/>
    <x v="10"/>
    <s v="VRK"/>
    <d v="2026-02-02T00:00:00"/>
    <x v="95"/>
    <x v="269"/>
    <n v="3297.25"/>
    <n v="3297.25"/>
    <n v="0"/>
    <n v="0"/>
    <n v="3297.25"/>
    <n v="0"/>
    <x v="95"/>
    <s v="Concept"/>
  </r>
  <r>
    <s v="RD1106"/>
    <s v="Van Noort Gassler &amp; Co Rotterdam B.V."/>
    <s v="1410"/>
    <x v="10"/>
    <s v="VRK"/>
    <d v="2026-03-02T00:00:00"/>
    <x v="203"/>
    <x v="270"/>
    <n v="3297.25"/>
    <n v="3297.25"/>
    <n v="0"/>
    <n v="3297.25"/>
    <n v="0"/>
    <n v="0"/>
    <x v="203"/>
    <s v="Concept"/>
  </r>
  <r>
    <s v="RD1106"/>
    <s v="Van Noort Gassler &amp; Co Rotterdam B.V."/>
    <s v="1410"/>
    <x v="10"/>
    <s v="VRK"/>
    <d v="2026-04-01T00:00:00"/>
    <x v="199"/>
    <x v="271"/>
    <n v="3297.25"/>
    <n v="3297.25"/>
    <n v="3297.25"/>
    <n v="0"/>
    <n v="0"/>
    <n v="0"/>
    <x v="199"/>
    <s v="Concept"/>
  </r>
  <r>
    <s v="RD1106"/>
    <s v="Van Noort Gassler &amp; Co Rotterdam B.V."/>
    <s v="1410"/>
    <x v="10"/>
    <s v="VRK"/>
    <d v="2026-04-06T00:00:00"/>
    <x v="98"/>
    <x v="272"/>
    <n v="574.75"/>
    <n v="574.75"/>
    <n v="574.75"/>
    <n v="0"/>
    <n v="0"/>
    <n v="0"/>
    <x v="98"/>
    <s v="Concept"/>
  </r>
  <r>
    <s v="RD1106"/>
    <s v="Van Noort Gassler &amp; Co Rotterdam B.V."/>
    <s v="1420"/>
    <x v="11"/>
    <s v="VRK"/>
    <d v="2026-01-09T00:00:00"/>
    <x v="204"/>
    <x v="273"/>
    <n v="3297.25"/>
    <n v="3297.25"/>
    <n v="0"/>
    <n v="0"/>
    <n v="0"/>
    <n v="3297.25"/>
    <x v="204"/>
    <s v="Concept"/>
  </r>
  <r>
    <s v="RD1106"/>
    <s v="Van Noort Gassler &amp; Co Rotterdam B.V."/>
    <s v="1420"/>
    <x v="11"/>
    <s v="VRK"/>
    <d v="2026-01-12T00:00:00"/>
    <x v="205"/>
    <x v="274"/>
    <n v="-3297.25"/>
    <n v="-3297.25"/>
    <n v="0"/>
    <n v="0"/>
    <n v="0"/>
    <n v="-3297.25"/>
    <x v="205"/>
    <s v="Concept"/>
  </r>
  <r>
    <s v="RD1106"/>
    <s v="Van Noort Gassler &amp; Co Rotterdam B.V."/>
    <s v="1420"/>
    <x v="11"/>
    <s v="VRK"/>
    <d v="2026-02-02T00:00:00"/>
    <x v="95"/>
    <x v="275"/>
    <n v="1028.5"/>
    <n v="1028.5"/>
    <n v="0"/>
    <n v="0"/>
    <n v="1028.5"/>
    <n v="0"/>
    <x v="95"/>
    <s v="Concept"/>
  </r>
  <r>
    <s v="RD1106"/>
    <s v="Van Noort Gassler &amp; Co Rotterdam B.V."/>
    <s v="1420"/>
    <x v="11"/>
    <s v="VRK"/>
    <d v="2026-02-02T00:00:00"/>
    <x v="95"/>
    <x v="276"/>
    <n v="19.12"/>
    <n v="19.12"/>
    <n v="0"/>
    <n v="0"/>
    <n v="19.12"/>
    <n v="0"/>
    <x v="95"/>
    <s v="Concept"/>
  </r>
  <r>
    <s v="RD1106"/>
    <s v="Van Noort Gassler &amp; Co Rotterdam B.V."/>
    <s v="1420"/>
    <x v="11"/>
    <s v="VRK"/>
    <d v="2026-02-11T00:00:00"/>
    <x v="206"/>
    <x v="277"/>
    <n v="-1028.5"/>
    <n v="-1028.5"/>
    <n v="0"/>
    <n v="0"/>
    <n v="-1028.5"/>
    <n v="0"/>
    <x v="206"/>
    <s v="Concept"/>
  </r>
  <r>
    <s v="RD1106"/>
    <s v="Van Noort Gassler &amp; Co Rotterdam B.V."/>
    <s v="1420"/>
    <x v="11"/>
    <s v="VRK"/>
    <d v="2026-02-11T00:00:00"/>
    <x v="206"/>
    <x v="278"/>
    <n v="-19.12"/>
    <n v="-19.12"/>
    <n v="0"/>
    <n v="0"/>
    <n v="-19.12"/>
    <n v="0"/>
    <x v="206"/>
    <s v="Concept"/>
  </r>
  <r>
    <s v="RD1106"/>
    <s v="Van Noort Gassler &amp; Co Rotterdam B.V."/>
    <s v="1420"/>
    <x v="11"/>
    <s v="VRK"/>
    <d v="2026-04-06T00:00:00"/>
    <x v="98"/>
    <x v="279"/>
    <n v="1028.5"/>
    <n v="1028.5"/>
    <n v="1028.5"/>
    <n v="0"/>
    <n v="0"/>
    <n v="0"/>
    <x v="98"/>
    <s v="Concept"/>
  </r>
  <r>
    <s v="RD1106"/>
    <s v="Van Noort Gassler &amp; Co Rotterdam B.V."/>
    <s v="1420"/>
    <x v="11"/>
    <s v="VRK"/>
    <d v="2026-04-06T00:00:00"/>
    <x v="98"/>
    <x v="280"/>
    <n v="55.66"/>
    <n v="55.66"/>
    <n v="55.66"/>
    <n v="0"/>
    <n v="0"/>
    <n v="0"/>
    <x v="98"/>
    <s v="Concept"/>
  </r>
  <r>
    <s v="RD1106"/>
    <s v="Van Noort Gassler &amp; Co Rotterdam B.V."/>
    <s v="1425"/>
    <x v="12"/>
    <s v="VRK"/>
    <d v="2025-12-02T00:00:00"/>
    <x v="92"/>
    <x v="281"/>
    <n v="126"/>
    <n v="126"/>
    <n v="0"/>
    <n v="0"/>
    <n v="0"/>
    <n v="126"/>
    <x v="92"/>
    <s v="Concept"/>
  </r>
  <r>
    <s v="RD1106"/>
    <s v="Van Noort Gassler &amp; Co Rotterdam B.V."/>
    <s v="1425"/>
    <x v="12"/>
    <s v="VRK"/>
    <d v="2026-04-06T00:00:00"/>
    <x v="98"/>
    <x v="282"/>
    <n v="126.05"/>
    <n v="126.05"/>
    <n v="126.05"/>
    <n v="0"/>
    <n v="0"/>
    <n v="0"/>
    <x v="98"/>
    <s v="Concept"/>
  </r>
  <r>
    <s v="RD1106"/>
    <s v="Van Noort Gassler &amp; Co Rotterdam B.V."/>
    <s v="1425"/>
    <x v="12"/>
    <s v="VRK"/>
    <d v="2026-04-06T00:00:00"/>
    <x v="98"/>
    <x v="283"/>
    <n v="193.6"/>
    <n v="193.6"/>
    <n v="193.6"/>
    <n v="0"/>
    <n v="0"/>
    <n v="0"/>
    <x v="98"/>
    <s v="Concept"/>
  </r>
  <r>
    <s v="RD1106"/>
    <s v="Van Noort Gassler &amp; Co Rotterdam B.V."/>
    <s v="1440"/>
    <x v="13"/>
    <s v="VRK"/>
    <d v="2026-04-06T00:00:00"/>
    <x v="98"/>
    <x v="284"/>
    <n v="42.35"/>
    <n v="42.35"/>
    <n v="42.35"/>
    <n v="0"/>
    <n v="0"/>
    <n v="0"/>
    <x v="98"/>
    <s v="Concept"/>
  </r>
  <r>
    <s v="RD1106"/>
    <s v="Van Noort Gassler &amp; Co Rotterdam B.V."/>
    <s v="1455"/>
    <x v="14"/>
    <s v="VRK"/>
    <d v="2026-01-08T00:00:00"/>
    <x v="207"/>
    <x v="285"/>
    <n v="319.44"/>
    <n v="319.44"/>
    <n v="0"/>
    <n v="0"/>
    <n v="0"/>
    <n v="319.44"/>
    <x v="207"/>
    <s v="Concept"/>
  </r>
  <r>
    <s v="RD1106"/>
    <s v="Van Noort Gassler &amp; Co Rotterdam B.V."/>
    <s v="1458"/>
    <x v="15"/>
    <s v="BNK"/>
    <d v="2019-12-19T00:00:00"/>
    <x v="208"/>
    <x v="286"/>
    <n v="-48.4"/>
    <n v="-48.4"/>
    <n v="0"/>
    <n v="0"/>
    <n v="0"/>
    <n v="-48.4"/>
    <x v="208"/>
    <s v="Definitief"/>
  </r>
  <r>
    <s v="RD1106"/>
    <s v="Van Noort Gassler &amp; Co Rotterdam B.V."/>
    <s v="1458"/>
    <x v="15"/>
    <s v="VRK"/>
    <d v="2021-01-07T00:00:00"/>
    <x v="21"/>
    <x v="287"/>
    <n v="72.599999999999994"/>
    <n v="72.599999999999994"/>
    <n v="0"/>
    <n v="0"/>
    <n v="0"/>
    <n v="72.599999999999994"/>
    <x v="21"/>
    <s v="Definitief"/>
  </r>
  <r>
    <s v="RD1106"/>
    <s v="Van Noort Gassler &amp; Co Rotterdam B.V."/>
    <s v="1458"/>
    <x v="15"/>
    <s v="VRK"/>
    <d v="2021-07-01T00:00:00"/>
    <x v="27"/>
    <x v="288"/>
    <n v="72.599999999999994"/>
    <n v="72.599999999999994"/>
    <n v="0"/>
    <n v="0"/>
    <n v="0"/>
    <n v="72.599999999999994"/>
    <x v="27"/>
    <s v="Definitief"/>
  </r>
  <r>
    <s v="RD1106"/>
    <s v="Van Noort Gassler &amp; Co Rotterdam B.V."/>
    <s v="1458"/>
    <x v="15"/>
    <s v="VRK"/>
    <d v="2021-10-01T00:00:00"/>
    <x v="30"/>
    <x v="289"/>
    <n v="72.599999999999994"/>
    <n v="72.599999999999994"/>
    <n v="0"/>
    <n v="0"/>
    <n v="0"/>
    <n v="72.599999999999994"/>
    <x v="30"/>
    <s v="Definitief"/>
  </r>
  <r>
    <s v="RD1106"/>
    <s v="Van Noort Gassler &amp; Co Rotterdam B.V."/>
    <s v="1458"/>
    <x v="15"/>
    <s v="VRK"/>
    <d v="2022-01-12T00:00:00"/>
    <x v="34"/>
    <x v="290"/>
    <n v="72.599999999999994"/>
    <n v="72.599999999999994"/>
    <n v="0"/>
    <n v="0"/>
    <n v="0"/>
    <n v="72.599999999999994"/>
    <x v="34"/>
    <s v="Definitief"/>
  </r>
  <r>
    <s v="RD1106"/>
    <s v="Van Noort Gassler &amp; Co Rotterdam B.V."/>
    <s v="1458"/>
    <x v="15"/>
    <s v="VRK"/>
    <d v="2022-07-12T00:00:00"/>
    <x v="41"/>
    <x v="291"/>
    <n v="72.599999999999994"/>
    <n v="72.599999999999994"/>
    <n v="0"/>
    <n v="0"/>
    <n v="0"/>
    <n v="72.599999999999994"/>
    <x v="41"/>
    <s v="Definitief"/>
  </r>
  <r>
    <s v="RD1106"/>
    <s v="Van Noort Gassler &amp; Co Rotterdam B.V."/>
    <s v="1458"/>
    <x v="15"/>
    <s v="VRK"/>
    <d v="2022-10-03T00:00:00"/>
    <x v="44"/>
    <x v="292"/>
    <n v="72.599999999999994"/>
    <n v="72.599999999999994"/>
    <n v="0"/>
    <n v="0"/>
    <n v="0"/>
    <n v="72.599999999999994"/>
    <x v="44"/>
    <s v="Definitief"/>
  </r>
  <r>
    <s v="RD1106"/>
    <s v="Van Noort Gassler &amp; Co Rotterdam B.V."/>
    <s v="1458"/>
    <x v="15"/>
    <s v="VRK"/>
    <d v="2023-01-16T00:00:00"/>
    <x v="49"/>
    <x v="293"/>
    <n v="72.599999999999994"/>
    <n v="72.599999999999994"/>
    <n v="0"/>
    <n v="0"/>
    <n v="0"/>
    <n v="72.599999999999994"/>
    <x v="49"/>
    <s v="Definitief"/>
  </r>
  <r>
    <s v="RD1106"/>
    <s v="Van Noort Gassler &amp; Co Rotterdam B.V."/>
    <s v="1458"/>
    <x v="15"/>
    <s v="VRK"/>
    <d v="2023-04-04T00:00:00"/>
    <x v="52"/>
    <x v="294"/>
    <n v="72.599999999999994"/>
    <n v="72.599999999999994"/>
    <n v="0"/>
    <n v="0"/>
    <n v="0"/>
    <n v="72.599999999999994"/>
    <x v="52"/>
    <s v="Definitief"/>
  </r>
  <r>
    <s v="RD1106"/>
    <s v="Van Noort Gassler &amp; Co Rotterdam B.V."/>
    <s v="1458"/>
    <x v="15"/>
    <s v="VRK"/>
    <d v="2023-07-03T00:00:00"/>
    <x v="56"/>
    <x v="295"/>
    <n v="72.599999999999994"/>
    <n v="72.599999999999994"/>
    <n v="0"/>
    <n v="0"/>
    <n v="0"/>
    <n v="72.599999999999994"/>
    <x v="56"/>
    <s v="Definitief"/>
  </r>
  <r>
    <s v="RD1106"/>
    <s v="Van Noort Gassler &amp; Co Rotterdam B.V."/>
    <s v="1458"/>
    <x v="15"/>
    <s v="VRK"/>
    <d v="2023-10-03T00:00:00"/>
    <x v="59"/>
    <x v="296"/>
    <n v="72.599999999999994"/>
    <n v="72.599999999999994"/>
    <n v="0"/>
    <n v="0"/>
    <n v="0"/>
    <n v="72.599999999999994"/>
    <x v="59"/>
    <s v="Definitief"/>
  </r>
  <r>
    <s v="RD1106"/>
    <s v="Van Noort Gassler &amp; Co Rotterdam B.V."/>
    <s v="1458"/>
    <x v="15"/>
    <s v="VRK"/>
    <d v="2024-01-04T00:00:00"/>
    <x v="62"/>
    <x v="297"/>
    <n v="72.599999999999994"/>
    <n v="72.599999999999994"/>
    <n v="0"/>
    <n v="0"/>
    <n v="0"/>
    <n v="72.599999999999994"/>
    <x v="62"/>
    <s v="Concept"/>
  </r>
  <r>
    <s v="RD1106"/>
    <s v="Van Noort Gassler &amp; Co Rotterdam B.V."/>
    <s v="1458"/>
    <x v="15"/>
    <s v="VRK"/>
    <d v="2024-04-04T00:00:00"/>
    <x v="67"/>
    <x v="298"/>
    <n v="72.599999999999994"/>
    <n v="72.599999999999994"/>
    <n v="0"/>
    <n v="0"/>
    <n v="0"/>
    <n v="72.599999999999994"/>
    <x v="67"/>
    <s v="Concept"/>
  </r>
  <r>
    <s v="RD1106"/>
    <s v="Van Noort Gassler &amp; Co Rotterdam B.V."/>
    <s v="1458"/>
    <x v="15"/>
    <s v="VRK"/>
    <d v="2024-07-08T00:00:00"/>
    <x v="72"/>
    <x v="299"/>
    <n v="72.599999999999994"/>
    <n v="72.599999999999994"/>
    <n v="0"/>
    <n v="0"/>
    <n v="0"/>
    <n v="72.599999999999994"/>
    <x v="72"/>
    <s v="Concept"/>
  </r>
  <r>
    <s v="RD1106"/>
    <s v="Van Noort Gassler &amp; Co Rotterdam B.V."/>
    <s v="1460"/>
    <x v="16"/>
    <s v="VRK"/>
    <d v="2022-04-07T00:00:00"/>
    <x v="37"/>
    <x v="300"/>
    <n v="72.599999999999994"/>
    <n v="57"/>
    <n v="0"/>
    <n v="0"/>
    <n v="0"/>
    <n v="57"/>
    <x v="37"/>
    <s v="Definitief"/>
  </r>
  <r>
    <s v="RD1106"/>
    <s v="Van Noort Gassler &amp; Co Rotterdam B.V."/>
    <s v="1460"/>
    <x v="16"/>
    <s v="VRK"/>
    <d v="2022-08-19T00:00:00"/>
    <x v="209"/>
    <x v="301"/>
    <n v="57"/>
    <n v="57"/>
    <n v="0"/>
    <n v="0"/>
    <n v="0"/>
    <n v="57"/>
    <x v="209"/>
    <s v="Definitief"/>
  </r>
  <r>
    <s v="RD1106"/>
    <s v="Van Noort Gassler &amp; Co Rotterdam B.V."/>
    <s v="1461"/>
    <x v="17"/>
    <s v="VRK"/>
    <d v="2026-05-07T00:00:00"/>
    <x v="196"/>
    <x v="302"/>
    <n v="272.25"/>
    <n v="272.25"/>
    <n v="272.25"/>
    <n v="0"/>
    <n v="0"/>
    <n v="0"/>
    <x v="196"/>
    <s v="Concept"/>
  </r>
  <r>
    <s v="RD1106"/>
    <s v="Van Noort Gassler &amp; Co Rotterdam B.V."/>
    <s v="1506"/>
    <x v="18"/>
    <s v="VRK"/>
    <d v="2018-05-01T00:00:00"/>
    <x v="210"/>
    <x v="303"/>
    <n v="605.01"/>
    <n v="605.01"/>
    <n v="0"/>
    <n v="0"/>
    <n v="0"/>
    <n v="605.01"/>
    <x v="210"/>
    <s v="Definitief"/>
  </r>
  <r>
    <s v="RD1106"/>
    <s v="Van Noort Gassler &amp; Co Rotterdam B.V."/>
    <s v="1506"/>
    <x v="18"/>
    <s v="VRK"/>
    <d v="2018-05-01T00:00:00"/>
    <x v="210"/>
    <x v="304"/>
    <n v="605.01"/>
    <n v="605.01"/>
    <n v="0"/>
    <n v="0"/>
    <n v="0"/>
    <n v="605.01"/>
    <x v="210"/>
    <s v="Definitief"/>
  </r>
  <r>
    <s v="RD1106"/>
    <s v="Van Noort Gassler &amp; Co Rotterdam B.V."/>
    <s v="1506"/>
    <x v="18"/>
    <s v="VRK"/>
    <d v="2018-12-11T00:00:00"/>
    <x v="211"/>
    <x v="305"/>
    <n v="264.69"/>
    <n v="264.69"/>
    <n v="0"/>
    <n v="0"/>
    <n v="0"/>
    <n v="264.69"/>
    <x v="211"/>
    <s v="Definitief"/>
  </r>
  <r>
    <s v="RD1106"/>
    <s v="Van Noort Gassler &amp; Co Rotterdam B.V."/>
    <s v="1535"/>
    <x v="19"/>
    <s v="VRK"/>
    <d v="2026-04-06T00:00:00"/>
    <x v="98"/>
    <x v="306"/>
    <n v="574.75"/>
    <n v="574.75"/>
    <n v="574.75"/>
    <n v="0"/>
    <n v="0"/>
    <n v="0"/>
    <x v="98"/>
    <s v="Concept"/>
  </r>
  <r>
    <s v="RD1106"/>
    <s v="Van Noort Gassler &amp; Co Rotterdam B.V."/>
    <s v="1553"/>
    <x v="20"/>
    <s v="VRK"/>
    <d v="2025-02-24T00:00:00"/>
    <x v="212"/>
    <x v="307"/>
    <n v="3646.64"/>
    <n v="3646.64"/>
    <n v="0"/>
    <n v="0"/>
    <n v="0"/>
    <n v="3646.64"/>
    <x v="212"/>
    <s v="Concept"/>
  </r>
  <r>
    <s v="RD1106"/>
    <s v="Van Noort Gassler &amp; Co Rotterdam B.V."/>
    <s v="1576"/>
    <x v="21"/>
    <s v="VRK"/>
    <d v="2019-11-05T00:00:00"/>
    <x v="4"/>
    <x v="308"/>
    <n v="72.599999999999994"/>
    <n v="17.8"/>
    <n v="0"/>
    <n v="0"/>
    <n v="0"/>
    <n v="17.8"/>
    <x v="4"/>
    <s v="Definitief"/>
  </r>
  <r>
    <s v="RD1106"/>
    <s v="Van Noort Gassler &amp; Co Rotterdam B.V."/>
    <s v="1576"/>
    <x v="21"/>
    <s v="VRK"/>
    <d v="2019-12-03T00:00:00"/>
    <x v="213"/>
    <x v="309"/>
    <n v="72.599999999999994"/>
    <n v="72.599999999999994"/>
    <n v="0"/>
    <n v="0"/>
    <n v="0"/>
    <n v="72.599999999999994"/>
    <x v="213"/>
    <s v="Definitief"/>
  </r>
  <r>
    <s v="RD1106"/>
    <s v="Van Noort Gassler &amp; Co Rotterdam B.V."/>
    <s v="1576"/>
    <x v="21"/>
    <s v="VRK"/>
    <d v="2020-02-04T00:00:00"/>
    <x v="8"/>
    <x v="310"/>
    <n v="72.599999999999994"/>
    <n v="72.599999999999994"/>
    <n v="0"/>
    <n v="0"/>
    <n v="0"/>
    <n v="72.599999999999994"/>
    <x v="8"/>
    <s v="Definitief"/>
  </r>
  <r>
    <s v="RD1106"/>
    <s v="Van Noort Gassler &amp; Co Rotterdam B.V."/>
    <s v="1576"/>
    <x v="21"/>
    <s v="VRK"/>
    <d v="2020-02-04T00:00:00"/>
    <x v="8"/>
    <x v="311"/>
    <n v="72.599999999999994"/>
    <n v="72.599999999999994"/>
    <n v="0"/>
    <n v="0"/>
    <n v="0"/>
    <n v="72.599999999999994"/>
    <x v="8"/>
    <s v="Definitief"/>
  </r>
  <r>
    <s v="RD1106"/>
    <s v="Van Noort Gassler &amp; Co Rotterdam B.V."/>
    <s v="1576"/>
    <x v="21"/>
    <s v="VRK"/>
    <d v="2020-03-03T00:00:00"/>
    <x v="9"/>
    <x v="312"/>
    <n v="72.599999999999994"/>
    <n v="72.599999999999994"/>
    <n v="0"/>
    <n v="0"/>
    <n v="0"/>
    <n v="72.599999999999994"/>
    <x v="9"/>
    <s v="Definitief"/>
  </r>
  <r>
    <s v="RD1106"/>
    <s v="Van Noort Gassler &amp; Co Rotterdam B.V."/>
    <s v="1576"/>
    <x v="21"/>
    <s v="VRK"/>
    <d v="2020-04-07T00:00:00"/>
    <x v="10"/>
    <x v="313"/>
    <n v="72.599999999999994"/>
    <n v="72.599999999999994"/>
    <n v="0"/>
    <n v="0"/>
    <n v="0"/>
    <n v="72.599999999999994"/>
    <x v="10"/>
    <s v="Definitief"/>
  </r>
  <r>
    <s v="RD1106"/>
    <s v="Van Noort Gassler &amp; Co Rotterdam B.V."/>
    <s v="1576"/>
    <x v="21"/>
    <s v="VRK"/>
    <d v="2020-05-06T00:00:00"/>
    <x v="12"/>
    <x v="314"/>
    <n v="72.599999999999994"/>
    <n v="72.599999999999994"/>
    <n v="0"/>
    <n v="0"/>
    <n v="0"/>
    <n v="72.599999999999994"/>
    <x v="12"/>
    <s v="Definitief"/>
  </r>
  <r>
    <s v="RD1106"/>
    <s v="Van Noort Gassler &amp; Co Rotterdam B.V."/>
    <s v="1576"/>
    <x v="21"/>
    <s v="VRK"/>
    <d v="2020-06-02T00:00:00"/>
    <x v="13"/>
    <x v="315"/>
    <n v="72.599999999999994"/>
    <n v="72.599999999999994"/>
    <n v="0"/>
    <n v="0"/>
    <n v="0"/>
    <n v="72.599999999999994"/>
    <x v="13"/>
    <s v="Definitief"/>
  </r>
  <r>
    <s v="RD1106"/>
    <s v="Van Noort Gassler &amp; Co Rotterdam B.V."/>
    <s v="1576"/>
    <x v="21"/>
    <s v="VRK"/>
    <d v="2020-07-01T00:00:00"/>
    <x v="14"/>
    <x v="316"/>
    <n v="72.599999999999994"/>
    <n v="72.599999999999994"/>
    <n v="0"/>
    <n v="0"/>
    <n v="0"/>
    <n v="72.599999999999994"/>
    <x v="14"/>
    <s v="Definitief"/>
  </r>
  <r>
    <s v="RD1106"/>
    <s v="Van Noort Gassler &amp; Co Rotterdam B.V."/>
    <s v="1576"/>
    <x v="21"/>
    <s v="VRK"/>
    <d v="2020-08-04T00:00:00"/>
    <x v="15"/>
    <x v="317"/>
    <n v="72.599999999999994"/>
    <n v="72.599999999999994"/>
    <n v="0"/>
    <n v="0"/>
    <n v="0"/>
    <n v="72.599999999999994"/>
    <x v="15"/>
    <s v="Definitief"/>
  </r>
  <r>
    <s v="RD1106"/>
    <s v="Van Noort Gassler &amp; Co Rotterdam B.V."/>
    <s v="1576"/>
    <x v="21"/>
    <s v="VRK"/>
    <d v="2020-09-01T00:00:00"/>
    <x v="16"/>
    <x v="318"/>
    <n v="72.599999999999994"/>
    <n v="72.599999999999994"/>
    <n v="0"/>
    <n v="0"/>
    <n v="0"/>
    <n v="72.599999999999994"/>
    <x v="16"/>
    <s v="Definitief"/>
  </r>
  <r>
    <s v="RD1106"/>
    <s v="Van Noort Gassler &amp; Co Rotterdam B.V."/>
    <s v="1576"/>
    <x v="21"/>
    <s v="VRK"/>
    <d v="2020-10-06T00:00:00"/>
    <x v="17"/>
    <x v="319"/>
    <n v="72.599999999999994"/>
    <n v="72.599999999999994"/>
    <n v="0"/>
    <n v="0"/>
    <n v="0"/>
    <n v="72.599999999999994"/>
    <x v="17"/>
    <s v="Definitief"/>
  </r>
  <r>
    <s v="RD1106"/>
    <s v="Van Noort Gassler &amp; Co Rotterdam B.V."/>
    <s v="1576"/>
    <x v="21"/>
    <s v="VRK"/>
    <d v="2020-11-03T00:00:00"/>
    <x v="18"/>
    <x v="320"/>
    <n v="72.599999999999994"/>
    <n v="72.599999999999994"/>
    <n v="0"/>
    <n v="0"/>
    <n v="0"/>
    <n v="72.599999999999994"/>
    <x v="18"/>
    <s v="Definitief"/>
  </r>
  <r>
    <s v="RD1106"/>
    <s v="Van Noort Gassler &amp; Co Rotterdam B.V."/>
    <s v="1576"/>
    <x v="21"/>
    <s v="VRK"/>
    <d v="2020-12-01T00:00:00"/>
    <x v="19"/>
    <x v="321"/>
    <n v="72.599999999999994"/>
    <n v="72.599999999999994"/>
    <n v="0"/>
    <n v="0"/>
    <n v="0"/>
    <n v="72.599999999999994"/>
    <x v="19"/>
    <s v="Definitief"/>
  </r>
  <r>
    <s v="RD1106"/>
    <s v="Van Noort Gassler &amp; Co Rotterdam B.V."/>
    <s v="1576"/>
    <x v="21"/>
    <s v="VRK"/>
    <d v="2021-01-07T00:00:00"/>
    <x v="21"/>
    <x v="322"/>
    <n v="72.599999999999994"/>
    <n v="72.599999999999994"/>
    <n v="0"/>
    <n v="0"/>
    <n v="0"/>
    <n v="72.599999999999994"/>
    <x v="21"/>
    <s v="Definitief"/>
  </r>
  <r>
    <s v="RD1106"/>
    <s v="Van Noort Gassler &amp; Co Rotterdam B.V."/>
    <s v="1576"/>
    <x v="21"/>
    <s v="VRK"/>
    <d v="2021-02-16T00:00:00"/>
    <x v="22"/>
    <x v="323"/>
    <n v="72.599999999999994"/>
    <n v="72.599999999999994"/>
    <n v="0"/>
    <n v="0"/>
    <n v="0"/>
    <n v="72.599999999999994"/>
    <x v="22"/>
    <s v="Definitief"/>
  </r>
  <r>
    <s v="RD1106"/>
    <s v="Van Noort Gassler &amp; Co Rotterdam B.V."/>
    <s v="1576"/>
    <x v="21"/>
    <s v="VRK"/>
    <d v="2021-03-01T00:00:00"/>
    <x v="214"/>
    <x v="324"/>
    <n v="384.78"/>
    <n v="384.78"/>
    <n v="0"/>
    <n v="0"/>
    <n v="0"/>
    <n v="384.78"/>
    <x v="214"/>
    <s v="Definitief"/>
  </r>
  <r>
    <s v="RD1106"/>
    <s v="Van Noort Gassler &amp; Co Rotterdam B.V."/>
    <s v="1576"/>
    <x v="21"/>
    <s v="VRK"/>
    <d v="2021-03-02T00:00:00"/>
    <x v="23"/>
    <x v="325"/>
    <n v="72.599999999999994"/>
    <n v="72.599999999999994"/>
    <n v="0"/>
    <n v="0"/>
    <n v="0"/>
    <n v="72.599999999999994"/>
    <x v="23"/>
    <s v="Definitief"/>
  </r>
  <r>
    <s v="RD1106"/>
    <s v="Van Noort Gassler &amp; Co Rotterdam B.V."/>
    <s v="1576"/>
    <x v="21"/>
    <s v="VRK"/>
    <d v="2021-03-03T00:00:00"/>
    <x v="215"/>
    <x v="326"/>
    <n v="514.25"/>
    <n v="514.25"/>
    <n v="0"/>
    <n v="0"/>
    <n v="0"/>
    <n v="514.25"/>
    <x v="215"/>
    <s v="Definitief"/>
  </r>
  <r>
    <s v="RD1106"/>
    <s v="Van Noort Gassler &amp; Co Rotterdam B.V."/>
    <s v="1603"/>
    <x v="22"/>
    <s v="VRK"/>
    <d v="2020-10-05T00:00:00"/>
    <x v="216"/>
    <x v="327"/>
    <n v="302.5"/>
    <n v="302.5"/>
    <n v="0"/>
    <n v="0"/>
    <n v="0"/>
    <n v="302.5"/>
    <x v="216"/>
    <s v="Definitief"/>
  </r>
  <r>
    <s v="RD1106"/>
    <s v="Van Noort Gassler &amp; Co Rotterdam B.V."/>
    <s v="1603"/>
    <x v="22"/>
    <s v="VRK"/>
    <d v="2020-10-06T00:00:00"/>
    <x v="217"/>
    <x v="328"/>
    <n v="60.5"/>
    <n v="60.5"/>
    <n v="0"/>
    <n v="0"/>
    <n v="0"/>
    <n v="60.5"/>
    <x v="217"/>
    <s v="Definitief"/>
  </r>
  <r>
    <s v="RD1106"/>
    <s v="Van Noort Gassler &amp; Co Rotterdam B.V."/>
    <s v="1603"/>
    <x v="22"/>
    <s v="VRK"/>
    <d v="2020-11-03T00:00:00"/>
    <x v="218"/>
    <x v="329"/>
    <n v="60.5"/>
    <n v="60.5"/>
    <n v="0"/>
    <n v="0"/>
    <n v="0"/>
    <n v="60.5"/>
    <x v="218"/>
    <s v="Definitief"/>
  </r>
  <r>
    <s v="RD1106"/>
    <s v="Van Noort Gassler &amp; Co Rotterdam B.V."/>
    <s v="1603"/>
    <x v="22"/>
    <s v="VRK"/>
    <d v="2020-11-03T00:00:00"/>
    <x v="218"/>
    <x v="330"/>
    <n v="30.25"/>
    <n v="30.25"/>
    <n v="0"/>
    <n v="0"/>
    <n v="0"/>
    <n v="30.25"/>
    <x v="218"/>
    <s v="Definitief"/>
  </r>
  <r>
    <s v="RD1106"/>
    <s v="Van Noort Gassler &amp; Co Rotterdam B.V."/>
    <s v="1603"/>
    <x v="22"/>
    <s v="VRK"/>
    <d v="2020-12-01T00:00:00"/>
    <x v="219"/>
    <x v="331"/>
    <n v="60.5"/>
    <n v="60.5"/>
    <n v="0"/>
    <n v="0"/>
    <n v="0"/>
    <n v="60.5"/>
    <x v="219"/>
    <s v="Definitief"/>
  </r>
  <r>
    <s v="RD1106"/>
    <s v="Van Noort Gassler &amp; Co Rotterdam B.V."/>
    <s v="1603"/>
    <x v="22"/>
    <s v="VRK"/>
    <d v="2021-01-07T00:00:00"/>
    <x v="220"/>
    <x v="332"/>
    <n v="60.5"/>
    <n v="60.5"/>
    <n v="0"/>
    <n v="0"/>
    <n v="0"/>
    <n v="60.5"/>
    <x v="220"/>
    <s v="Definitief"/>
  </r>
  <r>
    <s v="RD1106"/>
    <s v="Van Noort Gassler &amp; Co Rotterdam B.V."/>
    <s v="1603"/>
    <x v="22"/>
    <s v="VRK"/>
    <d v="2021-02-16T00:00:00"/>
    <x v="221"/>
    <x v="333"/>
    <n v="60.5"/>
    <n v="60.5"/>
    <n v="0"/>
    <n v="0"/>
    <n v="0"/>
    <n v="60.5"/>
    <x v="221"/>
    <s v="Definitief"/>
  </r>
  <r>
    <s v="RD1106"/>
    <s v="Van Noort Gassler &amp; Co Rotterdam B.V."/>
    <s v="1603"/>
    <x v="22"/>
    <s v="VRK"/>
    <d v="2021-03-02T00:00:00"/>
    <x v="222"/>
    <x v="334"/>
    <n v="60.5"/>
    <n v="60.5"/>
    <n v="0"/>
    <n v="0"/>
    <n v="0"/>
    <n v="60.5"/>
    <x v="222"/>
    <s v="Definitief"/>
  </r>
  <r>
    <s v="RD1106"/>
    <s v="Van Noort Gassler &amp; Co Rotterdam B.V."/>
    <s v="1603"/>
    <x v="22"/>
    <s v="VRK"/>
    <d v="2021-03-02T00:00:00"/>
    <x v="222"/>
    <x v="335"/>
    <n v="30.25"/>
    <n v="30.25"/>
    <n v="0"/>
    <n v="0"/>
    <n v="0"/>
    <n v="30.25"/>
    <x v="222"/>
    <s v="Definitief"/>
  </r>
  <r>
    <s v="RD1106"/>
    <s v="Van Noort Gassler &amp; Co Rotterdam B.V."/>
    <s v="1604"/>
    <x v="23"/>
    <s v="VRK"/>
    <d v="2023-06-05T00:00:00"/>
    <x v="223"/>
    <x v="336"/>
    <n v="350.9"/>
    <n v="350.9"/>
    <n v="0"/>
    <n v="0"/>
    <n v="0"/>
    <n v="350.9"/>
    <x v="223"/>
    <s v="Definitief"/>
  </r>
  <r>
    <s v="RD1106"/>
    <s v="Van Noort Gassler &amp; Co Rotterdam B.V."/>
    <s v="1604"/>
    <x v="23"/>
    <s v="VRK"/>
    <d v="2023-07-03T00:00:00"/>
    <x v="224"/>
    <x v="337"/>
    <n v="350.9"/>
    <n v="350.9"/>
    <n v="0"/>
    <n v="0"/>
    <n v="0"/>
    <n v="350.9"/>
    <x v="224"/>
    <s v="Definitief"/>
  </r>
  <r>
    <s v="RD1106"/>
    <s v="Van Noort Gassler &amp; Co Rotterdam B.V."/>
    <s v="1604"/>
    <x v="23"/>
    <s v="VRK"/>
    <d v="2023-07-31T00:00:00"/>
    <x v="225"/>
    <x v="338"/>
    <n v="30.25"/>
    <n v="30.25"/>
    <n v="0"/>
    <n v="0"/>
    <n v="0"/>
    <n v="30.25"/>
    <x v="225"/>
    <s v="Definitief"/>
  </r>
  <r>
    <s v="RD1106"/>
    <s v="Van Noort Gassler &amp; Co Rotterdam B.V."/>
    <s v="1604"/>
    <x v="23"/>
    <s v="VRK"/>
    <d v="2023-08-03T00:00:00"/>
    <x v="226"/>
    <x v="339"/>
    <n v="24.2"/>
    <n v="24.2"/>
    <n v="0"/>
    <n v="0"/>
    <n v="0"/>
    <n v="24.2"/>
    <x v="226"/>
    <s v="Definitief"/>
  </r>
  <r>
    <s v="RD1106"/>
    <s v="Van Noort Gassler &amp; Co Rotterdam B.V."/>
    <s v="1608"/>
    <x v="24"/>
    <s v="VRK"/>
    <d v="2019-06-05T00:00:00"/>
    <x v="227"/>
    <x v="340"/>
    <n v="117.37"/>
    <n v="117.37"/>
    <n v="0"/>
    <n v="0"/>
    <n v="0"/>
    <n v="117.37"/>
    <x v="227"/>
    <s v="Definitief"/>
  </r>
  <r>
    <s v="RD1106"/>
    <s v="Van Noort Gassler &amp; Co Rotterdam B.V."/>
    <s v="1608"/>
    <x v="24"/>
    <s v="VRK"/>
    <d v="2019-07-02T00:00:00"/>
    <x v="228"/>
    <x v="341"/>
    <n v="117.37"/>
    <n v="117.37"/>
    <n v="0"/>
    <n v="0"/>
    <n v="0"/>
    <n v="117.37"/>
    <x v="228"/>
    <s v="Definitief"/>
  </r>
  <r>
    <s v="RD1106"/>
    <s v="Van Noort Gassler &amp; Co Rotterdam B.V."/>
    <s v="1608"/>
    <x v="24"/>
    <s v="VRK"/>
    <d v="2019-08-01T00:00:00"/>
    <x v="229"/>
    <x v="342"/>
    <n v="117.37"/>
    <n v="117.37"/>
    <n v="0"/>
    <n v="0"/>
    <n v="0"/>
    <n v="117.37"/>
    <x v="229"/>
    <s v="Definitief"/>
  </r>
  <r>
    <s v="RD1106"/>
    <s v="Van Noort Gassler &amp; Co Rotterdam B.V."/>
    <s v="1608"/>
    <x v="24"/>
    <s v="VRK"/>
    <d v="2019-09-03T00:00:00"/>
    <x v="230"/>
    <x v="343"/>
    <n v="117.37"/>
    <n v="117.37"/>
    <n v="0"/>
    <n v="0"/>
    <n v="0"/>
    <n v="117.37"/>
    <x v="230"/>
    <s v="Definitief"/>
  </r>
  <r>
    <s v="RD1106"/>
    <s v="Van Noort Gassler &amp; Co Rotterdam B.V."/>
    <s v="1608"/>
    <x v="24"/>
    <s v="VRK"/>
    <d v="2019-10-02T00:00:00"/>
    <x v="231"/>
    <x v="344"/>
    <n v="117.37"/>
    <n v="117.37"/>
    <n v="0"/>
    <n v="0"/>
    <n v="0"/>
    <n v="117.37"/>
    <x v="231"/>
    <s v="Definitief"/>
  </r>
  <r>
    <s v="RD1106"/>
    <s v="Van Noort Gassler &amp; Co Rotterdam B.V."/>
    <s v="1608"/>
    <x v="24"/>
    <s v="VRK"/>
    <d v="2019-11-05T00:00:00"/>
    <x v="232"/>
    <x v="345"/>
    <n v="117.37"/>
    <n v="117.37"/>
    <n v="0"/>
    <n v="0"/>
    <n v="0"/>
    <n v="117.37"/>
    <x v="232"/>
    <s v="Definitief"/>
  </r>
  <r>
    <s v="RD1106"/>
    <s v="Van Noort Gassler &amp; Co Rotterdam B.V."/>
    <s v="1608"/>
    <x v="24"/>
    <s v="VRK"/>
    <d v="2019-12-03T00:00:00"/>
    <x v="233"/>
    <x v="346"/>
    <n v="117.37"/>
    <n v="117.37"/>
    <n v="0"/>
    <n v="0"/>
    <n v="0"/>
    <n v="117.37"/>
    <x v="233"/>
    <s v="Definitief"/>
  </r>
  <r>
    <s v="RD1106"/>
    <s v="Van Noort Gassler &amp; Co Rotterdam B.V."/>
    <s v="1608"/>
    <x v="24"/>
    <s v="VRK"/>
    <d v="2020-02-04T00:00:00"/>
    <x v="234"/>
    <x v="347"/>
    <n v="117.37"/>
    <n v="117.37"/>
    <n v="0"/>
    <n v="0"/>
    <n v="0"/>
    <n v="117.37"/>
    <x v="234"/>
    <s v="Definitief"/>
  </r>
  <r>
    <s v="RD1106"/>
    <s v="Van Noort Gassler &amp; Co Rotterdam B.V."/>
    <s v="1608"/>
    <x v="24"/>
    <s v="VRK"/>
    <d v="2020-02-04T00:00:00"/>
    <x v="234"/>
    <x v="348"/>
    <n v="117.37"/>
    <n v="117.37"/>
    <n v="0"/>
    <n v="0"/>
    <n v="0"/>
    <n v="117.37"/>
    <x v="234"/>
    <s v="Definitief"/>
  </r>
  <r>
    <s v="RD1106"/>
    <s v="Van Noort Gassler &amp; Co Rotterdam B.V."/>
    <s v="1608"/>
    <x v="24"/>
    <s v="VRK"/>
    <d v="2020-02-19T00:00:00"/>
    <x v="235"/>
    <x v="349"/>
    <n v="30.25"/>
    <n v="30.25"/>
    <n v="0"/>
    <n v="0"/>
    <n v="0"/>
    <n v="30.25"/>
    <x v="235"/>
    <s v="Definitief"/>
  </r>
  <r>
    <s v="RD1106"/>
    <s v="Van Noort Gassler &amp; Co Rotterdam B.V."/>
    <s v="1608"/>
    <x v="24"/>
    <s v="VRK"/>
    <d v="2020-03-03T00:00:00"/>
    <x v="236"/>
    <x v="350"/>
    <n v="117.37"/>
    <n v="117.37"/>
    <n v="0"/>
    <n v="0"/>
    <n v="0"/>
    <n v="117.37"/>
    <x v="236"/>
    <s v="Definitief"/>
  </r>
  <r>
    <s v="RD1106"/>
    <s v="Van Noort Gassler &amp; Co Rotterdam B.V."/>
    <s v="1608"/>
    <x v="24"/>
    <s v="VRK"/>
    <d v="2020-04-01T00:00:00"/>
    <x v="237"/>
    <x v="351"/>
    <n v="30.25"/>
    <n v="30.25"/>
    <n v="0"/>
    <n v="0"/>
    <n v="0"/>
    <n v="30.25"/>
    <x v="237"/>
    <s v="Definitief"/>
  </r>
  <r>
    <s v="RD1106"/>
    <s v="Van Noort Gassler &amp; Co Rotterdam B.V."/>
    <s v="1608"/>
    <x v="24"/>
    <s v="VRK"/>
    <d v="2020-04-07T00:00:00"/>
    <x v="238"/>
    <x v="352"/>
    <n v="117.37"/>
    <n v="117.37"/>
    <n v="0"/>
    <n v="0"/>
    <n v="0"/>
    <n v="117.37"/>
    <x v="238"/>
    <s v="Definitief"/>
  </r>
  <r>
    <s v="RD1106"/>
    <s v="Van Noort Gassler &amp; Co Rotterdam B.V."/>
    <s v="1608"/>
    <x v="24"/>
    <s v="VRK"/>
    <d v="2020-04-28T00:00:00"/>
    <x v="239"/>
    <x v="353"/>
    <n v="30.25"/>
    <n v="30.25"/>
    <n v="0"/>
    <n v="0"/>
    <n v="0"/>
    <n v="30.25"/>
    <x v="239"/>
    <s v="Definitief"/>
  </r>
  <r>
    <s v="RD1106"/>
    <s v="Van Noort Gassler &amp; Co Rotterdam B.V."/>
    <s v="1608"/>
    <x v="24"/>
    <s v="VRK"/>
    <d v="2020-05-06T00:00:00"/>
    <x v="240"/>
    <x v="354"/>
    <n v="117.37"/>
    <n v="117.37"/>
    <n v="0"/>
    <n v="0"/>
    <n v="0"/>
    <n v="117.37"/>
    <x v="240"/>
    <s v="Definitief"/>
  </r>
  <r>
    <s v="RD1106"/>
    <s v="Van Noort Gassler &amp; Co Rotterdam B.V."/>
    <s v="1608"/>
    <x v="24"/>
    <s v="VRK"/>
    <d v="2020-06-02T00:00:00"/>
    <x v="241"/>
    <x v="355"/>
    <n v="117.37"/>
    <n v="117.37"/>
    <n v="0"/>
    <n v="0"/>
    <n v="0"/>
    <n v="117.37"/>
    <x v="241"/>
    <s v="Definitief"/>
  </r>
  <r>
    <s v="RD1106"/>
    <s v="Van Noort Gassler &amp; Co Rotterdam B.V."/>
    <s v="1608"/>
    <x v="24"/>
    <s v="VRK"/>
    <d v="2020-07-01T00:00:00"/>
    <x v="242"/>
    <x v="356"/>
    <n v="117.37"/>
    <n v="117.37"/>
    <n v="0"/>
    <n v="0"/>
    <n v="0"/>
    <n v="117.37"/>
    <x v="242"/>
    <s v="Definitief"/>
  </r>
  <r>
    <s v="RD1106"/>
    <s v="Van Noort Gassler &amp; Co Rotterdam B.V."/>
    <s v="1608"/>
    <x v="24"/>
    <s v="VRK"/>
    <d v="2020-08-04T00:00:00"/>
    <x v="243"/>
    <x v="357"/>
    <n v="117.37"/>
    <n v="117.37"/>
    <n v="0"/>
    <n v="0"/>
    <n v="0"/>
    <n v="117.37"/>
    <x v="243"/>
    <s v="Definitief"/>
  </r>
  <r>
    <s v="RD1106"/>
    <s v="Van Noort Gassler &amp; Co Rotterdam B.V."/>
    <s v="1608"/>
    <x v="24"/>
    <s v="VRK"/>
    <d v="2020-09-01T00:00:00"/>
    <x v="244"/>
    <x v="358"/>
    <n v="117.37"/>
    <n v="117.37"/>
    <n v="0"/>
    <n v="0"/>
    <n v="0"/>
    <n v="117.37"/>
    <x v="244"/>
    <s v="Definitief"/>
  </r>
  <r>
    <s v="RD1106"/>
    <s v="Van Noort Gassler &amp; Co Rotterdam B.V."/>
    <s v="1608"/>
    <x v="24"/>
    <s v="VRK"/>
    <d v="2020-10-06T00:00:00"/>
    <x v="217"/>
    <x v="359"/>
    <n v="117.37"/>
    <n v="117.37"/>
    <n v="0"/>
    <n v="0"/>
    <n v="0"/>
    <n v="117.37"/>
    <x v="217"/>
    <s v="Definitief"/>
  </r>
  <r>
    <s v="RD1106"/>
    <s v="Van Noort Gassler &amp; Co Rotterdam B.V."/>
    <s v="1608"/>
    <x v="24"/>
    <s v="VRK"/>
    <d v="2020-10-06T00:00:00"/>
    <x v="217"/>
    <x v="360"/>
    <n v="30.25"/>
    <n v="30.25"/>
    <n v="0"/>
    <n v="0"/>
    <n v="0"/>
    <n v="30.25"/>
    <x v="217"/>
    <s v="Definitief"/>
  </r>
  <r>
    <s v="RD1106"/>
    <s v="Van Noort Gassler &amp; Co Rotterdam B.V."/>
    <s v="1608"/>
    <x v="24"/>
    <s v="VRK"/>
    <d v="2020-11-03T00:00:00"/>
    <x v="218"/>
    <x v="361"/>
    <n v="117.37"/>
    <n v="117.37"/>
    <n v="0"/>
    <n v="0"/>
    <n v="0"/>
    <n v="117.37"/>
    <x v="218"/>
    <s v="Definitief"/>
  </r>
  <r>
    <s v="RD1106"/>
    <s v="Van Noort Gassler &amp; Co Rotterdam B.V."/>
    <s v="1608"/>
    <x v="24"/>
    <s v="VRK"/>
    <d v="2020-12-01T00:00:00"/>
    <x v="219"/>
    <x v="362"/>
    <n v="30.25"/>
    <n v="30.25"/>
    <n v="0"/>
    <n v="0"/>
    <n v="0"/>
    <n v="30.25"/>
    <x v="219"/>
    <s v="Definitief"/>
  </r>
  <r>
    <s v="RD1106"/>
    <s v="Van Noort Gassler &amp; Co Rotterdam B.V."/>
    <s v="1610"/>
    <x v="25"/>
    <s v="VRK"/>
    <d v="2025-10-06T00:00:00"/>
    <x v="245"/>
    <x v="363"/>
    <n v="242"/>
    <n v="242"/>
    <n v="0"/>
    <n v="0"/>
    <n v="0"/>
    <n v="242"/>
    <x v="245"/>
    <s v="Concept"/>
  </r>
  <r>
    <s v="RD1106"/>
    <s v="Van Noort Gassler &amp; Co Rotterdam B.V."/>
    <s v="1610"/>
    <x v="25"/>
    <s v="VRK"/>
    <d v="2026-01-08T00:00:00"/>
    <x v="246"/>
    <x v="364"/>
    <n v="242"/>
    <n v="242"/>
    <n v="0"/>
    <n v="242"/>
    <n v="0"/>
    <n v="0"/>
    <x v="246"/>
    <s v="Concept"/>
  </r>
  <r>
    <s v="RD1106"/>
    <s v="Van Noort Gassler &amp; Co Rotterdam B.V."/>
    <s v="1611"/>
    <x v="26"/>
    <s v="VRK"/>
    <d v="2026-01-08T00:00:00"/>
    <x v="246"/>
    <x v="365"/>
    <n v="121"/>
    <n v="121"/>
    <n v="0"/>
    <n v="121"/>
    <n v="0"/>
    <n v="0"/>
    <x v="246"/>
    <s v="Concept"/>
  </r>
  <r>
    <s v="RD1106"/>
    <s v="Van Noort Gassler &amp; Co Rotterdam B.V."/>
    <s v="1612"/>
    <x v="27"/>
    <s v="VRK"/>
    <d v="2025-10-06T00:00:00"/>
    <x v="245"/>
    <x v="366"/>
    <n v="181.5"/>
    <n v="181.5"/>
    <n v="0"/>
    <n v="0"/>
    <n v="0"/>
    <n v="181.5"/>
    <x v="245"/>
    <s v="Concept"/>
  </r>
  <r>
    <s v="RD1106"/>
    <s v="Van Noort Gassler &amp; Co Rotterdam B.V."/>
    <s v="1612"/>
    <x v="27"/>
    <s v="VRK"/>
    <d v="2026-01-08T00:00:00"/>
    <x v="246"/>
    <x v="367"/>
    <n v="181.5"/>
    <n v="181.5"/>
    <n v="0"/>
    <n v="181.5"/>
    <n v="0"/>
    <n v="0"/>
    <x v="246"/>
    <s v="Concept"/>
  </r>
  <r>
    <s v="RD1106"/>
    <s v="Van Noort Gassler &amp; Co Rotterdam B.V."/>
    <s v="1613"/>
    <x v="28"/>
    <s v="VRK"/>
    <d v="2026-01-08T00:00:00"/>
    <x v="246"/>
    <x v="368"/>
    <n v="415.94"/>
    <n v="415.94"/>
    <n v="0"/>
    <n v="415.94"/>
    <n v="0"/>
    <n v="0"/>
    <x v="246"/>
    <s v="Concept"/>
  </r>
  <r>
    <s v="RD1106"/>
    <s v="Van Noort Gassler &amp; Co Rotterdam B.V."/>
    <s v="1616"/>
    <x v="29"/>
    <s v="MEMO"/>
    <d v="2023-01-01T00:00:00"/>
    <x v="247"/>
    <x v="0"/>
    <n v="180.29"/>
    <n v="23.64"/>
    <n v="0"/>
    <n v="0"/>
    <n v="0"/>
    <n v="23.64"/>
    <x v="247"/>
    <s v="Definitief"/>
  </r>
  <r>
    <s v="RD1106"/>
    <s v="Van Noort Gassler &amp; Co Rotterdam B.V."/>
    <s v="1616"/>
    <x v="29"/>
    <s v="VRK"/>
    <d v="2023-01-16T00:00:00"/>
    <x v="248"/>
    <x v="369"/>
    <n v="211.75"/>
    <n v="211.75"/>
    <n v="0"/>
    <n v="0"/>
    <n v="0"/>
    <n v="211.75"/>
    <x v="248"/>
    <s v="Definitief"/>
  </r>
  <r>
    <s v="RD1106"/>
    <s v="Van Noort Gassler &amp; Co Rotterdam B.V."/>
    <s v="1616"/>
    <x v="29"/>
    <s v="VRK"/>
    <d v="2023-02-08T00:00:00"/>
    <x v="249"/>
    <x v="370"/>
    <n v="211.75"/>
    <n v="211.75"/>
    <n v="0"/>
    <n v="0"/>
    <n v="0"/>
    <n v="211.75"/>
    <x v="249"/>
    <s v="Definitief"/>
  </r>
  <r>
    <s v="RD1106"/>
    <s v="Van Noort Gassler &amp; Co Rotterdam B.V."/>
    <s v="1616"/>
    <x v="29"/>
    <s v="VRK"/>
    <d v="2023-03-06T00:00:00"/>
    <x v="250"/>
    <x v="371"/>
    <n v="211.75"/>
    <n v="211.75"/>
    <n v="0"/>
    <n v="0"/>
    <n v="0"/>
    <n v="211.75"/>
    <x v="250"/>
    <s v="Definitief"/>
  </r>
  <r>
    <s v="RD1106"/>
    <s v="Van Noort Gassler &amp; Co Rotterdam B.V."/>
    <s v="1616"/>
    <x v="29"/>
    <s v="VRK"/>
    <d v="2023-04-04T00:00:00"/>
    <x v="251"/>
    <x v="372"/>
    <n v="211.75"/>
    <n v="211.75"/>
    <n v="0"/>
    <n v="0"/>
    <n v="0"/>
    <n v="211.75"/>
    <x v="251"/>
    <s v="Definitief"/>
  </r>
  <r>
    <s v="RD1106"/>
    <s v="Van Noort Gassler &amp; Co Rotterdam B.V."/>
    <s v="1616"/>
    <x v="29"/>
    <s v="VRK"/>
    <d v="2023-05-02T00:00:00"/>
    <x v="252"/>
    <x v="373"/>
    <n v="211.75"/>
    <n v="211.75"/>
    <n v="0"/>
    <n v="0"/>
    <n v="0"/>
    <n v="211.75"/>
    <x v="252"/>
    <s v="Definitief"/>
  </r>
  <r>
    <s v="RD1106"/>
    <s v="Van Noort Gassler &amp; Co Rotterdam B.V."/>
    <s v="1616"/>
    <x v="29"/>
    <s v="VRK"/>
    <d v="2023-06-05T00:00:00"/>
    <x v="223"/>
    <x v="374"/>
    <n v="211.75"/>
    <n v="211.75"/>
    <n v="0"/>
    <n v="0"/>
    <n v="0"/>
    <n v="211.75"/>
    <x v="223"/>
    <s v="Definitief"/>
  </r>
  <r>
    <s v="RD1106"/>
    <s v="Van Noort Gassler &amp; Co Rotterdam B.V."/>
    <s v="1616"/>
    <x v="29"/>
    <s v="VRK"/>
    <d v="2023-07-03T00:00:00"/>
    <x v="224"/>
    <x v="375"/>
    <n v="242"/>
    <n v="242"/>
    <n v="0"/>
    <n v="0"/>
    <n v="0"/>
    <n v="242"/>
    <x v="224"/>
    <s v="Definitief"/>
  </r>
  <r>
    <s v="RD1106"/>
    <s v="Van Noort Gassler &amp; Co Rotterdam B.V."/>
    <s v="1616"/>
    <x v="29"/>
    <s v="VRK"/>
    <d v="2023-08-03T00:00:00"/>
    <x v="226"/>
    <x v="376"/>
    <n v="242"/>
    <n v="242"/>
    <n v="0"/>
    <n v="0"/>
    <n v="0"/>
    <n v="242"/>
    <x v="226"/>
    <s v="Definitief"/>
  </r>
  <r>
    <s v="RD1106"/>
    <s v="Van Noort Gassler &amp; Co Rotterdam B.V."/>
    <s v="1616"/>
    <x v="29"/>
    <s v="VRK"/>
    <d v="2023-09-05T00:00:00"/>
    <x v="253"/>
    <x v="377"/>
    <n v="242"/>
    <n v="242"/>
    <n v="0"/>
    <n v="0"/>
    <n v="0"/>
    <n v="242"/>
    <x v="253"/>
    <s v="Definitief"/>
  </r>
  <r>
    <s v="RD1106"/>
    <s v="Van Noort Gassler &amp; Co Rotterdam B.V."/>
    <s v="1616"/>
    <x v="29"/>
    <s v="VRK"/>
    <d v="2023-10-03T00:00:00"/>
    <x v="254"/>
    <x v="378"/>
    <n v="242"/>
    <n v="242"/>
    <n v="0"/>
    <n v="0"/>
    <n v="0"/>
    <n v="242"/>
    <x v="254"/>
    <s v="Definitief"/>
  </r>
  <r>
    <s v="RD1106"/>
    <s v="Van Noort Gassler &amp; Co Rotterdam B.V."/>
    <s v="1616"/>
    <x v="29"/>
    <s v="VRK"/>
    <d v="2023-11-07T00:00:00"/>
    <x v="255"/>
    <x v="379"/>
    <n v="242"/>
    <n v="242"/>
    <n v="0"/>
    <n v="0"/>
    <n v="0"/>
    <n v="242"/>
    <x v="255"/>
    <s v="Definitief"/>
  </r>
  <r>
    <s v="RD1106"/>
    <s v="Van Noort Gassler &amp; Co Rotterdam B.V."/>
    <s v="1616"/>
    <x v="29"/>
    <s v="VRK"/>
    <d v="2023-12-05T00:00:00"/>
    <x v="256"/>
    <x v="380"/>
    <n v="242"/>
    <n v="242"/>
    <n v="0"/>
    <n v="0"/>
    <n v="0"/>
    <n v="242"/>
    <x v="256"/>
    <s v="Definitief"/>
  </r>
  <r>
    <s v="RD1106"/>
    <s v="Van Noort Gassler &amp; Co Rotterdam B.V."/>
    <s v="1616"/>
    <x v="29"/>
    <s v="VRK"/>
    <d v="2024-01-04T00:00:00"/>
    <x v="257"/>
    <x v="381"/>
    <n v="242"/>
    <n v="242"/>
    <n v="0"/>
    <n v="0"/>
    <n v="0"/>
    <n v="242"/>
    <x v="257"/>
    <s v="Concept"/>
  </r>
  <r>
    <s v="RD1106"/>
    <s v="Van Noort Gassler &amp; Co Rotterdam B.V."/>
    <s v="1616"/>
    <x v="29"/>
    <s v="VRK"/>
    <d v="2024-02-05T00:00:00"/>
    <x v="258"/>
    <x v="382"/>
    <n v="242"/>
    <n v="242"/>
    <n v="0"/>
    <n v="0"/>
    <n v="0"/>
    <n v="242"/>
    <x v="258"/>
    <s v="Concept"/>
  </r>
  <r>
    <s v="RD1106"/>
    <s v="Van Noort Gassler &amp; Co Rotterdam B.V."/>
    <s v="1616"/>
    <x v="29"/>
    <s v="VRK"/>
    <d v="2024-03-06T00:00:00"/>
    <x v="259"/>
    <x v="383"/>
    <n v="242"/>
    <n v="242"/>
    <n v="0"/>
    <n v="0"/>
    <n v="0"/>
    <n v="242"/>
    <x v="259"/>
    <s v="Concept"/>
  </r>
  <r>
    <s v="RD1106"/>
    <s v="Van Noort Gassler &amp; Co Rotterdam B.V."/>
    <s v="1616"/>
    <x v="29"/>
    <s v="VRK"/>
    <d v="2024-04-04T00:00:00"/>
    <x v="260"/>
    <x v="384"/>
    <n v="242"/>
    <n v="242"/>
    <n v="0"/>
    <n v="0"/>
    <n v="0"/>
    <n v="242"/>
    <x v="260"/>
    <s v="Concept"/>
  </r>
  <r>
    <s v="RD1106"/>
    <s v="Van Noort Gassler &amp; Co Rotterdam B.V."/>
    <s v="1616"/>
    <x v="29"/>
    <s v="VRK"/>
    <d v="2024-05-06T00:00:00"/>
    <x v="261"/>
    <x v="385"/>
    <n v="242"/>
    <n v="242"/>
    <n v="0"/>
    <n v="0"/>
    <n v="0"/>
    <n v="242"/>
    <x v="261"/>
    <s v="Concept"/>
  </r>
  <r>
    <s v="RD1106"/>
    <s v="Van Noort Gassler &amp; Co Rotterdam B.V."/>
    <s v="1616"/>
    <x v="29"/>
    <s v="VRK"/>
    <d v="2024-06-03T00:00:00"/>
    <x v="262"/>
    <x v="386"/>
    <n v="242"/>
    <n v="242"/>
    <n v="0"/>
    <n v="0"/>
    <n v="0"/>
    <n v="242"/>
    <x v="262"/>
    <s v="Concept"/>
  </r>
  <r>
    <s v="RD1106"/>
    <s v="Van Noort Gassler &amp; Co Rotterdam B.V."/>
    <s v="1616"/>
    <x v="29"/>
    <s v="VRK"/>
    <d v="2024-07-08T00:00:00"/>
    <x v="263"/>
    <x v="387"/>
    <n v="242"/>
    <n v="242"/>
    <n v="0"/>
    <n v="0"/>
    <n v="0"/>
    <n v="242"/>
    <x v="263"/>
    <s v="Concept"/>
  </r>
  <r>
    <s v="RD1106"/>
    <s v="Van Noort Gassler &amp; Co Rotterdam B.V."/>
    <s v="1616"/>
    <x v="29"/>
    <s v="VRK"/>
    <d v="2024-08-05T00:00:00"/>
    <x v="264"/>
    <x v="388"/>
    <n v="242"/>
    <n v="242"/>
    <n v="0"/>
    <n v="0"/>
    <n v="0"/>
    <n v="242"/>
    <x v="264"/>
    <s v="Concept"/>
  </r>
  <r>
    <s v="RD1106"/>
    <s v="Van Noort Gassler &amp; Co Rotterdam B.V."/>
    <s v="1616"/>
    <x v="29"/>
    <s v="VRK"/>
    <d v="2024-09-02T00:00:00"/>
    <x v="265"/>
    <x v="389"/>
    <n v="242"/>
    <n v="242"/>
    <n v="0"/>
    <n v="0"/>
    <n v="0"/>
    <n v="242"/>
    <x v="265"/>
    <s v="Concept"/>
  </r>
  <r>
    <s v="RD1106"/>
    <s v="Van Noort Gassler &amp; Co Rotterdam B.V."/>
    <s v="1616"/>
    <x v="29"/>
    <s v="VRK"/>
    <d v="2024-10-07T00:00:00"/>
    <x v="266"/>
    <x v="390"/>
    <n v="242"/>
    <n v="242"/>
    <n v="0"/>
    <n v="0"/>
    <n v="0"/>
    <n v="242"/>
    <x v="266"/>
    <s v="Concept"/>
  </r>
  <r>
    <s v="RD1106"/>
    <s v="Van Noort Gassler &amp; Co Rotterdam B.V."/>
    <s v="1616"/>
    <x v="29"/>
    <s v="VRK"/>
    <d v="2024-11-04T00:00:00"/>
    <x v="267"/>
    <x v="391"/>
    <n v="242"/>
    <n v="242"/>
    <n v="0"/>
    <n v="0"/>
    <n v="0"/>
    <n v="242"/>
    <x v="267"/>
    <s v="Concept"/>
  </r>
  <r>
    <s v="RD1106"/>
    <s v="Van Noort Gassler &amp; Co Rotterdam B.V."/>
    <s v="1616"/>
    <x v="29"/>
    <s v="VRK"/>
    <d v="2024-12-02T00:00:00"/>
    <x v="268"/>
    <x v="392"/>
    <n v="242"/>
    <n v="242"/>
    <n v="0"/>
    <n v="0"/>
    <n v="0"/>
    <n v="242"/>
    <x v="268"/>
    <s v="Concept"/>
  </r>
  <r>
    <s v="RD1106"/>
    <s v="Van Noort Gassler &amp; Co Rotterdam B.V."/>
    <s v="1616"/>
    <x v="29"/>
    <s v="VRK"/>
    <d v="2025-01-15T00:00:00"/>
    <x v="131"/>
    <x v="393"/>
    <n v="242"/>
    <n v="242"/>
    <n v="0"/>
    <n v="0"/>
    <n v="0"/>
    <n v="242"/>
    <x v="131"/>
    <s v="Concept"/>
  </r>
  <r>
    <s v="RD1106"/>
    <s v="Van Noort Gassler &amp; Co Rotterdam B.V."/>
    <s v="1616"/>
    <x v="29"/>
    <s v="VRK"/>
    <d v="2025-02-03T00:00:00"/>
    <x v="269"/>
    <x v="394"/>
    <n v="242"/>
    <n v="242"/>
    <n v="0"/>
    <n v="0"/>
    <n v="0"/>
    <n v="242"/>
    <x v="269"/>
    <s v="Concept"/>
  </r>
  <r>
    <s v="RD1106"/>
    <s v="Van Noort Gassler &amp; Co Rotterdam B.V."/>
    <s v="1616"/>
    <x v="29"/>
    <s v="VRK"/>
    <d v="2025-03-05T00:00:00"/>
    <x v="270"/>
    <x v="395"/>
    <n v="242"/>
    <n v="242"/>
    <n v="0"/>
    <n v="0"/>
    <n v="0"/>
    <n v="242"/>
    <x v="270"/>
    <s v="Concept"/>
  </r>
  <r>
    <s v="RD1106"/>
    <s v="Van Noort Gassler &amp; Co Rotterdam B.V."/>
    <s v="1616"/>
    <x v="29"/>
    <s v="VRK"/>
    <d v="2025-04-03T00:00:00"/>
    <x v="271"/>
    <x v="396"/>
    <n v="242"/>
    <n v="242"/>
    <n v="0"/>
    <n v="0"/>
    <n v="0"/>
    <n v="242"/>
    <x v="271"/>
    <s v="Concept"/>
  </r>
  <r>
    <s v="RD1106"/>
    <s v="Van Noort Gassler &amp; Co Rotterdam B.V."/>
    <s v="1616"/>
    <x v="29"/>
    <s v="VRK"/>
    <d v="2025-05-05T00:00:00"/>
    <x v="272"/>
    <x v="397"/>
    <n v="242"/>
    <n v="242"/>
    <n v="0"/>
    <n v="0"/>
    <n v="0"/>
    <n v="242"/>
    <x v="272"/>
    <s v="Concept"/>
  </r>
  <r>
    <s v="RD1106"/>
    <s v="Van Noort Gassler &amp; Co Rotterdam B.V."/>
    <s v="1616"/>
    <x v="29"/>
    <s v="VRK"/>
    <d v="2025-06-02T00:00:00"/>
    <x v="273"/>
    <x v="398"/>
    <n v="242"/>
    <n v="242"/>
    <n v="0"/>
    <n v="0"/>
    <n v="0"/>
    <n v="242"/>
    <x v="273"/>
    <s v="Concept"/>
  </r>
  <r>
    <s v="RD1106"/>
    <s v="Van Noort Gassler &amp; Co Rotterdam B.V."/>
    <s v="1616"/>
    <x v="29"/>
    <s v="VRK"/>
    <d v="2025-07-01T00:00:00"/>
    <x v="274"/>
    <x v="399"/>
    <n v="242"/>
    <n v="242"/>
    <n v="0"/>
    <n v="0"/>
    <n v="0"/>
    <n v="242"/>
    <x v="274"/>
    <s v="Concept"/>
  </r>
  <r>
    <s v="RD1106"/>
    <s v="Van Noort Gassler &amp; Co Rotterdam B.V."/>
    <s v="1616"/>
    <x v="29"/>
    <s v="VRK"/>
    <d v="2025-08-04T00:00:00"/>
    <x v="275"/>
    <x v="400"/>
    <n v="242"/>
    <n v="242"/>
    <n v="0"/>
    <n v="0"/>
    <n v="0"/>
    <n v="242"/>
    <x v="275"/>
    <s v="Concept"/>
  </r>
  <r>
    <s v="RD1106"/>
    <s v="Van Noort Gassler &amp; Co Rotterdam B.V."/>
    <s v="1616"/>
    <x v="29"/>
    <s v="VRK"/>
    <d v="2025-09-01T00:00:00"/>
    <x v="276"/>
    <x v="401"/>
    <n v="242"/>
    <n v="242"/>
    <n v="0"/>
    <n v="0"/>
    <n v="0"/>
    <n v="242"/>
    <x v="276"/>
    <s v="Concept"/>
  </r>
  <r>
    <s v="RD1106"/>
    <s v="Van Noort Gassler &amp; Co Rotterdam B.V."/>
    <s v="1616"/>
    <x v="29"/>
    <s v="VRK"/>
    <d v="2025-10-06T00:00:00"/>
    <x v="277"/>
    <x v="402"/>
    <n v="242"/>
    <n v="242"/>
    <n v="0"/>
    <n v="0"/>
    <n v="0"/>
    <n v="242"/>
    <x v="277"/>
    <s v="Concept"/>
  </r>
  <r>
    <s v="RD1106"/>
    <s v="Van Noort Gassler &amp; Co Rotterdam B.V."/>
    <s v="1616"/>
    <x v="29"/>
    <s v="VRK"/>
    <d v="2025-11-05T00:00:00"/>
    <x v="278"/>
    <x v="403"/>
    <n v="242"/>
    <n v="242"/>
    <n v="0"/>
    <n v="0"/>
    <n v="0"/>
    <n v="242"/>
    <x v="278"/>
    <s v="Concept"/>
  </r>
  <r>
    <s v="RD1106"/>
    <s v="Van Noort Gassler &amp; Co Rotterdam B.V."/>
    <s v="1616"/>
    <x v="29"/>
    <s v="VRK"/>
    <d v="2025-12-02T00:00:00"/>
    <x v="279"/>
    <x v="404"/>
    <n v="242"/>
    <n v="242"/>
    <n v="0"/>
    <n v="0"/>
    <n v="0"/>
    <n v="242"/>
    <x v="279"/>
    <s v="Concept"/>
  </r>
  <r>
    <s v="RD1106"/>
    <s v="Van Noort Gassler &amp; Co Rotterdam B.V."/>
    <s v="1616"/>
    <x v="29"/>
    <s v="VRK"/>
    <d v="2026-01-08T00:00:00"/>
    <x v="207"/>
    <x v="405"/>
    <n v="242"/>
    <n v="242"/>
    <n v="0"/>
    <n v="0"/>
    <n v="0"/>
    <n v="242"/>
    <x v="207"/>
    <s v="Concept"/>
  </r>
  <r>
    <s v="RD1106"/>
    <s v="Van Noort Gassler &amp; Co Rotterdam B.V."/>
    <s v="1616"/>
    <x v="29"/>
    <s v="VRK"/>
    <d v="2026-02-02T00:00:00"/>
    <x v="280"/>
    <x v="406"/>
    <n v="242"/>
    <n v="242"/>
    <n v="0"/>
    <n v="0"/>
    <n v="0"/>
    <n v="242"/>
    <x v="280"/>
    <s v="Concept"/>
  </r>
  <r>
    <s v="RD1106"/>
    <s v="Van Noort Gassler &amp; Co Rotterdam B.V."/>
    <s v="1616"/>
    <x v="29"/>
    <s v="VRK"/>
    <d v="2026-03-04T00:00:00"/>
    <x v="281"/>
    <x v="407"/>
    <n v="242"/>
    <n v="242"/>
    <n v="0"/>
    <n v="0"/>
    <n v="242"/>
    <n v="0"/>
    <x v="281"/>
    <s v="Concept"/>
  </r>
  <r>
    <s v="RD1106"/>
    <s v="Van Noort Gassler &amp; Co Rotterdam B.V."/>
    <s v="1616"/>
    <x v="29"/>
    <s v="VRK"/>
    <d v="2026-04-06T00:00:00"/>
    <x v="282"/>
    <x v="408"/>
    <n v="242"/>
    <n v="242"/>
    <n v="0"/>
    <n v="242"/>
    <n v="0"/>
    <n v="0"/>
    <x v="282"/>
    <s v="Concept"/>
  </r>
  <r>
    <s v="RD1106"/>
    <s v="Van Noort Gassler &amp; Co Rotterdam B.V."/>
    <s v="1616"/>
    <x v="29"/>
    <s v="VRK"/>
    <d v="2026-05-06T00:00:00"/>
    <x v="283"/>
    <x v="409"/>
    <n v="242"/>
    <n v="242"/>
    <n v="242"/>
    <n v="0"/>
    <n v="0"/>
    <n v="0"/>
    <x v="283"/>
    <s v="Concept"/>
  </r>
  <r>
    <s v="RD1106"/>
    <s v="Van Noort Gassler &amp; Co Rotterdam B.V."/>
    <s v="1617"/>
    <x v="30"/>
    <s v="VRK"/>
    <d v="2018-11-01T00:00:00"/>
    <x v="284"/>
    <x v="410"/>
    <n v="180.29"/>
    <n v="180.29"/>
    <n v="0"/>
    <n v="0"/>
    <n v="0"/>
    <n v="180.29"/>
    <x v="284"/>
    <s v="Definitief"/>
  </r>
  <r>
    <s v="RD1106"/>
    <s v="Van Noort Gassler &amp; Co Rotterdam B.V."/>
    <s v="1617"/>
    <x v="30"/>
    <s v="VRK"/>
    <d v="2018-12-05T00:00:00"/>
    <x v="285"/>
    <x v="411"/>
    <n v="180.29"/>
    <n v="180.29"/>
    <n v="0"/>
    <n v="0"/>
    <n v="0"/>
    <n v="180.29"/>
    <x v="285"/>
    <s v="Definitief"/>
  </r>
  <r>
    <s v="RD1106"/>
    <s v="Van Noort Gassler &amp; Co Rotterdam B.V."/>
    <s v="1617"/>
    <x v="30"/>
    <s v="VRK"/>
    <d v="2019-01-02T00:00:00"/>
    <x v="286"/>
    <x v="412"/>
    <n v="180.29"/>
    <n v="180.29"/>
    <n v="0"/>
    <n v="0"/>
    <n v="0"/>
    <n v="180.29"/>
    <x v="286"/>
    <s v="Definitief"/>
  </r>
  <r>
    <s v="RD1106"/>
    <s v="Van Noort Gassler &amp; Co Rotterdam B.V."/>
    <s v="1617"/>
    <x v="30"/>
    <s v="VRK"/>
    <d v="2019-02-06T00:00:00"/>
    <x v="287"/>
    <x v="413"/>
    <n v="180.29"/>
    <n v="180.29"/>
    <n v="0"/>
    <n v="0"/>
    <n v="0"/>
    <n v="180.29"/>
    <x v="287"/>
    <s v="Definitief"/>
  </r>
  <r>
    <s v="RD1106"/>
    <s v="Van Noort Gassler &amp; Co Rotterdam B.V."/>
    <s v="1617"/>
    <x v="30"/>
    <s v="VRK"/>
    <d v="2019-03-05T00:00:00"/>
    <x v="288"/>
    <x v="414"/>
    <n v="180.29"/>
    <n v="180.29"/>
    <n v="0"/>
    <n v="0"/>
    <n v="0"/>
    <n v="180.29"/>
    <x v="288"/>
    <s v="Definitief"/>
  </r>
  <r>
    <s v="RD1106"/>
    <s v="Van Noort Gassler &amp; Co Rotterdam B.V."/>
    <s v="1617"/>
    <x v="30"/>
    <s v="VRK"/>
    <d v="2019-04-08T00:00:00"/>
    <x v="289"/>
    <x v="415"/>
    <n v="180.29"/>
    <n v="180.29"/>
    <n v="0"/>
    <n v="0"/>
    <n v="0"/>
    <n v="180.29"/>
    <x v="289"/>
    <s v="Definitief"/>
  </r>
  <r>
    <s v="RD1106"/>
    <s v="Van Noort Gassler &amp; Co Rotterdam B.V."/>
    <s v="1617"/>
    <x v="30"/>
    <s v="VRK"/>
    <d v="2019-05-01T00:00:00"/>
    <x v="290"/>
    <x v="416"/>
    <n v="180.29"/>
    <n v="180.29"/>
    <n v="0"/>
    <n v="0"/>
    <n v="0"/>
    <n v="180.29"/>
    <x v="290"/>
    <s v="Definitief"/>
  </r>
  <r>
    <s v="RD1106"/>
    <s v="Van Noort Gassler &amp; Co Rotterdam B.V."/>
    <s v="1617"/>
    <x v="30"/>
    <s v="VRK"/>
    <d v="2019-06-05T00:00:00"/>
    <x v="291"/>
    <x v="417"/>
    <n v="180.29"/>
    <n v="180.29"/>
    <n v="0"/>
    <n v="0"/>
    <n v="0"/>
    <n v="180.29"/>
    <x v="291"/>
    <s v="Definitief"/>
  </r>
  <r>
    <s v="RD1106"/>
    <s v="Van Noort Gassler &amp; Co Rotterdam B.V."/>
    <s v="1617"/>
    <x v="30"/>
    <s v="VRK"/>
    <d v="2019-07-02T00:00:00"/>
    <x v="229"/>
    <x v="418"/>
    <n v="180.29"/>
    <n v="180.29"/>
    <n v="0"/>
    <n v="0"/>
    <n v="0"/>
    <n v="180.29"/>
    <x v="229"/>
    <s v="Definitief"/>
  </r>
  <r>
    <s v="RD1106"/>
    <s v="Van Noort Gassler &amp; Co Rotterdam B.V."/>
    <s v="1617"/>
    <x v="30"/>
    <s v="VRK"/>
    <d v="2019-08-01T00:00:00"/>
    <x v="292"/>
    <x v="419"/>
    <n v="180.29"/>
    <n v="180.29"/>
    <n v="0"/>
    <n v="0"/>
    <n v="0"/>
    <n v="180.29"/>
    <x v="292"/>
    <s v="Definitief"/>
  </r>
  <r>
    <s v="RD1106"/>
    <s v="Van Noort Gassler &amp; Co Rotterdam B.V."/>
    <s v="1617"/>
    <x v="30"/>
    <s v="VRK"/>
    <d v="2019-09-03T00:00:00"/>
    <x v="293"/>
    <x v="420"/>
    <n v="180.29"/>
    <n v="180.29"/>
    <n v="0"/>
    <n v="0"/>
    <n v="0"/>
    <n v="180.29"/>
    <x v="293"/>
    <s v="Definitief"/>
  </r>
  <r>
    <s v="RD1106"/>
    <s v="Van Noort Gassler &amp; Co Rotterdam B.V."/>
    <s v="1617"/>
    <x v="30"/>
    <s v="VRK"/>
    <d v="2019-10-02T00:00:00"/>
    <x v="294"/>
    <x v="421"/>
    <n v="180.29"/>
    <n v="180.29"/>
    <n v="0"/>
    <n v="0"/>
    <n v="0"/>
    <n v="180.29"/>
    <x v="294"/>
    <s v="Definitief"/>
  </r>
  <r>
    <s v="RD1106"/>
    <s v="Van Noort Gassler &amp; Co Rotterdam B.V."/>
    <s v="1617"/>
    <x v="30"/>
    <s v="VRK"/>
    <d v="2019-11-05T00:00:00"/>
    <x v="4"/>
    <x v="422"/>
    <n v="180.29"/>
    <n v="180.29"/>
    <n v="0"/>
    <n v="0"/>
    <n v="0"/>
    <n v="180.29"/>
    <x v="4"/>
    <s v="Definitief"/>
  </r>
  <r>
    <s v="RD1106"/>
    <s v="Van Noort Gassler &amp; Co Rotterdam B.V."/>
    <s v="1617"/>
    <x v="30"/>
    <s v="VRK"/>
    <d v="2019-12-03T00:00:00"/>
    <x v="213"/>
    <x v="423"/>
    <n v="180.29"/>
    <n v="180.29"/>
    <n v="0"/>
    <n v="0"/>
    <n v="0"/>
    <n v="180.29"/>
    <x v="213"/>
    <s v="Definitief"/>
  </r>
  <r>
    <s v="RD1106"/>
    <s v="Van Noort Gassler &amp; Co Rotterdam B.V."/>
    <s v="1617"/>
    <x v="30"/>
    <s v="VRK"/>
    <d v="2020-02-04T00:00:00"/>
    <x v="8"/>
    <x v="424"/>
    <n v="180.29"/>
    <n v="180.29"/>
    <n v="0"/>
    <n v="0"/>
    <n v="0"/>
    <n v="180.29"/>
    <x v="8"/>
    <s v="Definitief"/>
  </r>
  <r>
    <s v="RD1106"/>
    <s v="Van Noort Gassler &amp; Co Rotterdam B.V."/>
    <s v="1617"/>
    <x v="30"/>
    <s v="VRK"/>
    <d v="2020-02-04T00:00:00"/>
    <x v="8"/>
    <x v="425"/>
    <n v="180.29"/>
    <n v="180.29"/>
    <n v="0"/>
    <n v="0"/>
    <n v="0"/>
    <n v="180.29"/>
    <x v="8"/>
    <s v="Definitief"/>
  </r>
  <r>
    <s v="RD1106"/>
    <s v="Van Noort Gassler &amp; Co Rotterdam B.V."/>
    <s v="1617"/>
    <x v="30"/>
    <s v="VRK"/>
    <d v="2020-03-03T00:00:00"/>
    <x v="295"/>
    <x v="426"/>
    <n v="180.29"/>
    <n v="180.29"/>
    <n v="0"/>
    <n v="0"/>
    <n v="0"/>
    <n v="180.29"/>
    <x v="295"/>
    <s v="Definitief"/>
  </r>
  <r>
    <s v="RD1106"/>
    <s v="Van Noort Gassler &amp; Co Rotterdam B.V."/>
    <s v="1618"/>
    <x v="31"/>
    <s v="VRK"/>
    <d v="2025-03-10T00:00:00"/>
    <x v="296"/>
    <x v="427"/>
    <n v="72.599999999999994"/>
    <n v="72.599999999999994"/>
    <n v="0"/>
    <n v="0"/>
    <n v="0"/>
    <n v="72.599999999999994"/>
    <x v="296"/>
    <s v="Concept"/>
  </r>
  <r>
    <s v="RD1106"/>
    <s v="Van Noort Gassler &amp; Co Rotterdam B.V."/>
    <s v="1618"/>
    <x v="31"/>
    <s v="VRK"/>
    <d v="2025-04-03T00:00:00"/>
    <x v="271"/>
    <x v="428"/>
    <n v="242"/>
    <n v="242"/>
    <n v="0"/>
    <n v="0"/>
    <n v="0"/>
    <n v="242"/>
    <x v="271"/>
    <s v="Concept"/>
  </r>
  <r>
    <s v="RD1106"/>
    <s v="Van Noort Gassler &amp; Co Rotterdam B.V."/>
    <s v="1618"/>
    <x v="31"/>
    <s v="VRK"/>
    <d v="2025-05-05T00:00:00"/>
    <x v="272"/>
    <x v="429"/>
    <n v="121"/>
    <n v="121"/>
    <n v="0"/>
    <n v="0"/>
    <n v="0"/>
    <n v="121"/>
    <x v="272"/>
    <s v="Concept"/>
  </r>
  <r>
    <s v="RD1106"/>
    <s v="Van Noort Gassler &amp; Co Rotterdam B.V."/>
    <s v="1618"/>
    <x v="31"/>
    <s v="VRK"/>
    <d v="2025-06-02T00:00:00"/>
    <x v="273"/>
    <x v="430"/>
    <n v="121"/>
    <n v="121"/>
    <n v="0"/>
    <n v="0"/>
    <n v="0"/>
    <n v="121"/>
    <x v="273"/>
    <s v="Concept"/>
  </r>
  <r>
    <s v="RD1106"/>
    <s v="Van Noort Gassler &amp; Co Rotterdam B.V."/>
    <s v="1618"/>
    <x v="31"/>
    <s v="VRK"/>
    <d v="2025-07-01T00:00:00"/>
    <x v="274"/>
    <x v="431"/>
    <n v="121"/>
    <n v="121"/>
    <n v="0"/>
    <n v="0"/>
    <n v="0"/>
    <n v="121"/>
    <x v="274"/>
    <s v="Concept"/>
  </r>
  <r>
    <s v="RD1106"/>
    <s v="Van Noort Gassler &amp; Co Rotterdam B.V."/>
    <s v="1618"/>
    <x v="31"/>
    <s v="VRK"/>
    <d v="2025-08-04T00:00:00"/>
    <x v="275"/>
    <x v="432"/>
    <n v="121"/>
    <n v="121"/>
    <n v="0"/>
    <n v="0"/>
    <n v="0"/>
    <n v="121"/>
    <x v="275"/>
    <s v="Concept"/>
  </r>
  <r>
    <s v="RD1106"/>
    <s v="Van Noort Gassler &amp; Co Rotterdam B.V."/>
    <s v="1618"/>
    <x v="31"/>
    <s v="VRK"/>
    <d v="2025-09-01T00:00:00"/>
    <x v="276"/>
    <x v="433"/>
    <n v="121"/>
    <n v="121"/>
    <n v="0"/>
    <n v="0"/>
    <n v="0"/>
    <n v="121"/>
    <x v="276"/>
    <s v="Concept"/>
  </r>
  <r>
    <s v="RD1106"/>
    <s v="Van Noort Gassler &amp; Co Rotterdam B.V."/>
    <s v="1618"/>
    <x v="31"/>
    <s v="VRK"/>
    <d v="2025-10-06T00:00:00"/>
    <x v="277"/>
    <x v="434"/>
    <n v="121"/>
    <n v="121"/>
    <n v="0"/>
    <n v="0"/>
    <n v="0"/>
    <n v="121"/>
    <x v="277"/>
    <s v="Concept"/>
  </r>
  <r>
    <s v="RD1106"/>
    <s v="Van Noort Gassler &amp; Co Rotterdam B.V."/>
    <s v="1618"/>
    <x v="31"/>
    <s v="VRK"/>
    <d v="2025-11-05T00:00:00"/>
    <x v="278"/>
    <x v="435"/>
    <n v="121"/>
    <n v="121"/>
    <n v="0"/>
    <n v="0"/>
    <n v="0"/>
    <n v="121"/>
    <x v="278"/>
    <s v="Concept"/>
  </r>
  <r>
    <s v="RD1106"/>
    <s v="Van Noort Gassler &amp; Co Rotterdam B.V."/>
    <s v="1618"/>
    <x v="31"/>
    <s v="VRK"/>
    <d v="2025-12-02T00:00:00"/>
    <x v="279"/>
    <x v="436"/>
    <n v="121"/>
    <n v="121"/>
    <n v="0"/>
    <n v="0"/>
    <n v="0"/>
    <n v="121"/>
    <x v="279"/>
    <s v="Concept"/>
  </r>
  <r>
    <s v="RD1106"/>
    <s v="Van Noort Gassler &amp; Co Rotterdam B.V."/>
    <s v="1618"/>
    <x v="31"/>
    <s v="VRK"/>
    <d v="2026-01-08T00:00:00"/>
    <x v="207"/>
    <x v="437"/>
    <n v="121"/>
    <n v="121"/>
    <n v="0"/>
    <n v="0"/>
    <n v="0"/>
    <n v="121"/>
    <x v="207"/>
    <s v="Concept"/>
  </r>
  <r>
    <s v="RD1106"/>
    <s v="Van Noort Gassler &amp; Co Rotterdam B.V."/>
    <s v="1618"/>
    <x v="31"/>
    <s v="VRK"/>
    <d v="2026-02-02T00:00:00"/>
    <x v="280"/>
    <x v="438"/>
    <n v="121"/>
    <n v="121"/>
    <n v="0"/>
    <n v="0"/>
    <n v="0"/>
    <n v="121"/>
    <x v="280"/>
    <s v="Concept"/>
  </r>
  <r>
    <s v="RD1106"/>
    <s v="Van Noort Gassler &amp; Co Rotterdam B.V."/>
    <s v="1618"/>
    <x v="31"/>
    <s v="VRK"/>
    <d v="2026-03-04T00:00:00"/>
    <x v="281"/>
    <x v="439"/>
    <n v="121"/>
    <n v="121"/>
    <n v="0"/>
    <n v="0"/>
    <n v="121"/>
    <n v="0"/>
    <x v="281"/>
    <s v="Concept"/>
  </r>
  <r>
    <s v="RD1106"/>
    <s v="Van Noort Gassler &amp; Co Rotterdam B.V."/>
    <s v="1618"/>
    <x v="31"/>
    <s v="VRK"/>
    <d v="2026-04-10T00:00:00"/>
    <x v="297"/>
    <x v="440"/>
    <n v="121"/>
    <n v="121"/>
    <n v="0"/>
    <n v="121"/>
    <n v="0"/>
    <n v="0"/>
    <x v="297"/>
    <s v="Concept"/>
  </r>
  <r>
    <s v="RD1106"/>
    <s v="Van Noort Gassler &amp; Co Rotterdam B.V."/>
    <s v="1618"/>
    <x v="31"/>
    <s v="VRK"/>
    <d v="2026-05-06T00:00:00"/>
    <x v="283"/>
    <x v="441"/>
    <n v="121"/>
    <n v="121"/>
    <n v="121"/>
    <n v="0"/>
    <n v="0"/>
    <n v="0"/>
    <x v="283"/>
    <s v="Concept"/>
  </r>
  <r>
    <s v="RD1106"/>
    <s v="Van Noort Gassler &amp; Co Rotterdam B.V."/>
    <s v="1627"/>
    <x v="32"/>
    <s v="VRK"/>
    <d v="2023-08-15T00:00:00"/>
    <x v="298"/>
    <x v="442"/>
    <n v="1728.79"/>
    <n v="187.76"/>
    <n v="0"/>
    <n v="0"/>
    <n v="0"/>
    <n v="187.76"/>
    <x v="298"/>
    <s v="Definitief"/>
  </r>
  <r>
    <s v="RD1106"/>
    <s v="Van Noort Gassler &amp; Co Rotterdam B.V."/>
    <s v="1627"/>
    <x v="32"/>
    <s v="VRK"/>
    <d v="2023-08-15T00:00:00"/>
    <x v="298"/>
    <x v="443"/>
    <n v="2330.7600000000002"/>
    <n v="2330.7600000000002"/>
    <n v="0"/>
    <n v="0"/>
    <n v="0"/>
    <n v="2330.7600000000002"/>
    <x v="298"/>
    <s v="Definitief"/>
  </r>
  <r>
    <s v="RD1106"/>
    <s v="Van Noort Gassler &amp; Co Rotterdam B.V."/>
    <s v="1629"/>
    <x v="33"/>
    <s v="VRK"/>
    <d v="2018-12-06T00:00:00"/>
    <x v="299"/>
    <x v="444"/>
    <n v="2128.11"/>
    <n v="2128.11"/>
    <n v="0"/>
    <n v="0"/>
    <n v="0"/>
    <n v="2128.11"/>
    <x v="299"/>
    <s v="Definitief"/>
  </r>
  <r>
    <s v="RD1106"/>
    <s v="Van Noort Gassler &amp; Co Rotterdam B.V."/>
    <s v="1633"/>
    <x v="34"/>
    <s v="VRK"/>
    <d v="2020-04-28T00:00:00"/>
    <x v="239"/>
    <x v="445"/>
    <n v="30.25"/>
    <n v="30.25"/>
    <n v="0"/>
    <n v="0"/>
    <n v="0"/>
    <n v="30.25"/>
    <x v="239"/>
    <s v="Definitief"/>
  </r>
  <r>
    <s v="RD1106"/>
    <s v="Van Noort Gassler &amp; Co Rotterdam B.V."/>
    <s v="1633"/>
    <x v="34"/>
    <s v="VRK"/>
    <d v="2020-04-30T00:00:00"/>
    <x v="300"/>
    <x v="446"/>
    <n v="1404.81"/>
    <n v="240.79"/>
    <n v="0"/>
    <n v="0"/>
    <n v="0"/>
    <n v="240.79"/>
    <x v="300"/>
    <s v="Definitief"/>
  </r>
  <r>
    <s v="RD1106"/>
    <s v="Van Noort Gassler &amp; Co Rotterdam B.V."/>
    <s v="1633"/>
    <x v="34"/>
    <s v="VRK"/>
    <d v="2020-05-01T00:00:00"/>
    <x v="301"/>
    <x v="447"/>
    <n v="468.27"/>
    <n v="468.27"/>
    <n v="0"/>
    <n v="0"/>
    <n v="0"/>
    <n v="468.27"/>
    <x v="301"/>
    <s v="Definitief"/>
  </r>
  <r>
    <s v="RD1106"/>
    <s v="Van Noort Gassler &amp; Co Rotterdam B.V."/>
    <s v="1633"/>
    <x v="34"/>
    <s v="VRK"/>
    <d v="2020-11-03T00:00:00"/>
    <x v="218"/>
    <x v="448"/>
    <n v="30.25"/>
    <n v="30.25"/>
    <n v="0"/>
    <n v="0"/>
    <n v="0"/>
    <n v="30.25"/>
    <x v="218"/>
    <s v="Definitief"/>
  </r>
  <r>
    <s v="RD1106"/>
    <s v="Van Noort Gassler &amp; Co Rotterdam B.V."/>
    <s v="1633"/>
    <x v="34"/>
    <s v="VRK"/>
    <d v="2020-12-01T00:00:00"/>
    <x v="219"/>
    <x v="449"/>
    <n v="30.25"/>
    <n v="30.25"/>
    <n v="0"/>
    <n v="0"/>
    <n v="0"/>
    <n v="30.25"/>
    <x v="219"/>
    <s v="Definitief"/>
  </r>
  <r>
    <s v="RD1106"/>
    <s v="Van Noort Gassler &amp; Co Rotterdam B.V."/>
    <s v="1633"/>
    <x v="34"/>
    <s v="VRK"/>
    <d v="2021-03-02T00:00:00"/>
    <x v="222"/>
    <x v="450"/>
    <n v="30.25"/>
    <n v="30.25"/>
    <n v="0"/>
    <n v="0"/>
    <n v="0"/>
    <n v="30.25"/>
    <x v="222"/>
    <s v="Definitief"/>
  </r>
  <r>
    <s v="RD1106"/>
    <s v="Van Noort Gassler &amp; Co Rotterdam B.V."/>
    <s v="1636"/>
    <x v="35"/>
    <s v="VRK"/>
    <d v="2019-01-02T00:00:00"/>
    <x v="286"/>
    <x v="451"/>
    <n v="95.59"/>
    <n v="95.59"/>
    <n v="0"/>
    <n v="0"/>
    <n v="0"/>
    <n v="95.59"/>
    <x v="286"/>
    <s v="Definitief"/>
  </r>
  <r>
    <s v="RD1106"/>
    <s v="Van Noort Gassler &amp; Co Rotterdam B.V."/>
    <s v="1636"/>
    <x v="35"/>
    <s v="VRK"/>
    <d v="2019-02-06T00:00:00"/>
    <x v="287"/>
    <x v="452"/>
    <n v="95.59"/>
    <n v="95.59"/>
    <n v="0"/>
    <n v="0"/>
    <n v="0"/>
    <n v="95.59"/>
    <x v="287"/>
    <s v="Definitief"/>
  </r>
  <r>
    <s v="RD1106"/>
    <s v="Van Noort Gassler &amp; Co Rotterdam B.V."/>
    <s v="1636"/>
    <x v="35"/>
    <s v="VRK"/>
    <d v="2019-03-05T00:00:00"/>
    <x v="288"/>
    <x v="453"/>
    <n v="95.59"/>
    <n v="95.59"/>
    <n v="0"/>
    <n v="0"/>
    <n v="0"/>
    <n v="95.59"/>
    <x v="288"/>
    <s v="Definitief"/>
  </r>
  <r>
    <s v="RD1106"/>
    <s v="Van Noort Gassler &amp; Co Rotterdam B.V."/>
    <s v="1636"/>
    <x v="35"/>
    <s v="VRK"/>
    <d v="2019-04-08T00:00:00"/>
    <x v="289"/>
    <x v="454"/>
    <n v="95.59"/>
    <n v="95.59"/>
    <n v="0"/>
    <n v="0"/>
    <n v="0"/>
    <n v="95.59"/>
    <x v="289"/>
    <s v="Definitief"/>
  </r>
  <r>
    <s v="RD1106"/>
    <s v="Van Noort Gassler &amp; Co Rotterdam B.V."/>
    <s v="1636"/>
    <x v="35"/>
    <s v="VRK"/>
    <d v="2019-05-01T00:00:00"/>
    <x v="290"/>
    <x v="455"/>
    <n v="95.59"/>
    <n v="95.59"/>
    <n v="0"/>
    <n v="0"/>
    <n v="0"/>
    <n v="95.59"/>
    <x v="290"/>
    <s v="Definitief"/>
  </r>
  <r>
    <s v="RD1106"/>
    <s v="Van Noort Gassler &amp; Co Rotterdam B.V."/>
    <s v="1636"/>
    <x v="35"/>
    <s v="VRK"/>
    <d v="2019-06-05T00:00:00"/>
    <x v="291"/>
    <x v="456"/>
    <n v="95.59"/>
    <n v="95.59"/>
    <n v="0"/>
    <n v="0"/>
    <n v="0"/>
    <n v="95.59"/>
    <x v="291"/>
    <s v="Definitief"/>
  </r>
  <r>
    <s v="RD1106"/>
    <s v="Van Noort Gassler &amp; Co Rotterdam B.V."/>
    <s v="1636"/>
    <x v="35"/>
    <s v="VRK"/>
    <d v="2019-07-02T00:00:00"/>
    <x v="229"/>
    <x v="457"/>
    <n v="95.59"/>
    <n v="95.59"/>
    <n v="0"/>
    <n v="0"/>
    <n v="0"/>
    <n v="95.59"/>
    <x v="229"/>
    <s v="Definitief"/>
  </r>
  <r>
    <s v="RD1106"/>
    <s v="Van Noort Gassler &amp; Co Rotterdam B.V."/>
    <s v="1636"/>
    <x v="35"/>
    <s v="VRK"/>
    <d v="2019-08-01T00:00:00"/>
    <x v="292"/>
    <x v="458"/>
    <n v="95.59"/>
    <n v="95.59"/>
    <n v="0"/>
    <n v="0"/>
    <n v="0"/>
    <n v="95.59"/>
    <x v="292"/>
    <s v="Definitief"/>
  </r>
  <r>
    <s v="RD1106"/>
    <s v="Van Noort Gassler &amp; Co Rotterdam B.V."/>
    <s v="1636"/>
    <x v="35"/>
    <s v="VRK"/>
    <d v="2019-09-03T00:00:00"/>
    <x v="293"/>
    <x v="459"/>
    <n v="95.59"/>
    <n v="95.59"/>
    <n v="0"/>
    <n v="0"/>
    <n v="0"/>
    <n v="95.59"/>
    <x v="293"/>
    <s v="Definitief"/>
  </r>
  <r>
    <s v="RD1106"/>
    <s v="Van Noort Gassler &amp; Co Rotterdam B.V."/>
    <s v="1636"/>
    <x v="35"/>
    <s v="VRK"/>
    <d v="2019-10-02T00:00:00"/>
    <x v="294"/>
    <x v="460"/>
    <n v="95.59"/>
    <n v="95.59"/>
    <n v="0"/>
    <n v="0"/>
    <n v="0"/>
    <n v="95.59"/>
    <x v="294"/>
    <s v="Definitief"/>
  </r>
  <r>
    <s v="RD1106"/>
    <s v="Van Noort Gassler &amp; Co Rotterdam B.V."/>
    <s v="1636"/>
    <x v="35"/>
    <s v="VRK"/>
    <d v="2019-11-05T00:00:00"/>
    <x v="4"/>
    <x v="461"/>
    <n v="95.59"/>
    <n v="95.59"/>
    <n v="0"/>
    <n v="0"/>
    <n v="0"/>
    <n v="95.59"/>
    <x v="4"/>
    <s v="Definitief"/>
  </r>
  <r>
    <s v="RD1106"/>
    <s v="Van Noort Gassler &amp; Co Rotterdam B.V."/>
    <s v="1636"/>
    <x v="35"/>
    <s v="VRK"/>
    <d v="2019-12-03T00:00:00"/>
    <x v="213"/>
    <x v="462"/>
    <n v="95.59"/>
    <n v="95.59"/>
    <n v="0"/>
    <n v="0"/>
    <n v="0"/>
    <n v="95.59"/>
    <x v="213"/>
    <s v="Definitief"/>
  </r>
  <r>
    <s v="RD1106"/>
    <s v="Van Noort Gassler &amp; Co Rotterdam B.V."/>
    <s v="1636"/>
    <x v="35"/>
    <s v="VRK"/>
    <d v="2020-02-04T00:00:00"/>
    <x v="8"/>
    <x v="463"/>
    <n v="95.59"/>
    <n v="95.59"/>
    <n v="0"/>
    <n v="0"/>
    <n v="0"/>
    <n v="95.59"/>
    <x v="8"/>
    <s v="Definitief"/>
  </r>
  <r>
    <s v="RD1106"/>
    <s v="Van Noort Gassler &amp; Co Rotterdam B.V."/>
    <s v="1636"/>
    <x v="35"/>
    <s v="VRK"/>
    <d v="2020-02-04T00:00:00"/>
    <x v="8"/>
    <x v="464"/>
    <n v="95.59"/>
    <n v="95.59"/>
    <n v="0"/>
    <n v="0"/>
    <n v="0"/>
    <n v="95.59"/>
    <x v="8"/>
    <s v="Definitief"/>
  </r>
  <r>
    <s v="RD1106"/>
    <s v="Van Noort Gassler &amp; Co Rotterdam B.V."/>
    <s v="1636"/>
    <x v="35"/>
    <s v="VRK"/>
    <d v="2020-03-03T00:00:00"/>
    <x v="9"/>
    <x v="465"/>
    <n v="95.59"/>
    <n v="95.59"/>
    <n v="0"/>
    <n v="0"/>
    <n v="0"/>
    <n v="95.59"/>
    <x v="9"/>
    <s v="Definitief"/>
  </r>
  <r>
    <s v="RD1106"/>
    <s v="Van Noort Gassler &amp; Co Rotterdam B.V."/>
    <s v="1636"/>
    <x v="35"/>
    <s v="VRK"/>
    <d v="2020-04-07T00:00:00"/>
    <x v="10"/>
    <x v="466"/>
    <n v="95.59"/>
    <n v="95.59"/>
    <n v="0"/>
    <n v="0"/>
    <n v="0"/>
    <n v="95.59"/>
    <x v="10"/>
    <s v="Definitief"/>
  </r>
  <r>
    <s v="RD1106"/>
    <s v="Van Noort Gassler &amp; Co Rotterdam B.V."/>
    <s v="1636"/>
    <x v="35"/>
    <s v="VRK"/>
    <d v="2020-05-06T00:00:00"/>
    <x v="12"/>
    <x v="467"/>
    <n v="95.59"/>
    <n v="95.59"/>
    <n v="0"/>
    <n v="0"/>
    <n v="0"/>
    <n v="95.59"/>
    <x v="12"/>
    <s v="Definitief"/>
  </r>
  <r>
    <s v="RD1106"/>
    <s v="Van Noort Gassler &amp; Co Rotterdam B.V."/>
    <s v="1636"/>
    <x v="35"/>
    <s v="VRK"/>
    <d v="2020-06-02T00:00:00"/>
    <x v="13"/>
    <x v="468"/>
    <n v="95.59"/>
    <n v="95.59"/>
    <n v="0"/>
    <n v="0"/>
    <n v="0"/>
    <n v="95.59"/>
    <x v="13"/>
    <s v="Definitief"/>
  </r>
  <r>
    <s v="RD1106"/>
    <s v="Van Noort Gassler &amp; Co Rotterdam B.V."/>
    <s v="1636"/>
    <x v="35"/>
    <s v="VRK"/>
    <d v="2020-07-01T00:00:00"/>
    <x v="14"/>
    <x v="469"/>
    <n v="95.59"/>
    <n v="95.59"/>
    <n v="0"/>
    <n v="0"/>
    <n v="0"/>
    <n v="95.59"/>
    <x v="14"/>
    <s v="Definitief"/>
  </r>
  <r>
    <s v="RD1106"/>
    <s v="Van Noort Gassler &amp; Co Rotterdam B.V."/>
    <s v="1636"/>
    <x v="35"/>
    <s v="VRK"/>
    <d v="2020-08-04T00:00:00"/>
    <x v="15"/>
    <x v="470"/>
    <n v="95.59"/>
    <n v="95.59"/>
    <n v="0"/>
    <n v="0"/>
    <n v="0"/>
    <n v="95.59"/>
    <x v="15"/>
    <s v="Definitief"/>
  </r>
  <r>
    <s v="RD1106"/>
    <s v="Van Noort Gassler &amp; Co Rotterdam B.V."/>
    <s v="1636"/>
    <x v="35"/>
    <s v="VRK"/>
    <d v="2020-09-01T00:00:00"/>
    <x v="16"/>
    <x v="471"/>
    <n v="95.59"/>
    <n v="95.59"/>
    <n v="0"/>
    <n v="0"/>
    <n v="0"/>
    <n v="95.59"/>
    <x v="16"/>
    <s v="Definitief"/>
  </r>
  <r>
    <s v="RD1106"/>
    <s v="Van Noort Gassler &amp; Co Rotterdam B.V."/>
    <s v="1636"/>
    <x v="35"/>
    <s v="VRK"/>
    <d v="2020-10-06T00:00:00"/>
    <x v="17"/>
    <x v="472"/>
    <n v="95.59"/>
    <n v="95.59"/>
    <n v="0"/>
    <n v="0"/>
    <n v="0"/>
    <n v="95.59"/>
    <x v="17"/>
    <s v="Definitief"/>
  </r>
  <r>
    <s v="RD1106"/>
    <s v="Van Noort Gassler &amp; Co Rotterdam B.V."/>
    <s v="1636"/>
    <x v="35"/>
    <s v="VRK"/>
    <d v="2020-11-03T00:00:00"/>
    <x v="18"/>
    <x v="473"/>
    <n v="95.59"/>
    <n v="95.59"/>
    <n v="0"/>
    <n v="0"/>
    <n v="0"/>
    <n v="95.59"/>
    <x v="18"/>
    <s v="Definitief"/>
  </r>
  <r>
    <s v="RD1106"/>
    <s v="Van Noort Gassler &amp; Co Rotterdam B.V."/>
    <s v="1636"/>
    <x v="35"/>
    <s v="VRK"/>
    <d v="2020-12-01T00:00:00"/>
    <x v="19"/>
    <x v="474"/>
    <n v="95.59"/>
    <n v="95.59"/>
    <n v="0"/>
    <n v="0"/>
    <n v="0"/>
    <n v="95.59"/>
    <x v="19"/>
    <s v="Definitief"/>
  </r>
  <r>
    <s v="RD1106"/>
    <s v="Van Noort Gassler &amp; Co Rotterdam B.V."/>
    <s v="1636"/>
    <x v="35"/>
    <s v="VRK"/>
    <d v="2021-01-07T00:00:00"/>
    <x v="21"/>
    <x v="475"/>
    <n v="95.59"/>
    <n v="95.59"/>
    <n v="0"/>
    <n v="0"/>
    <n v="0"/>
    <n v="95.59"/>
    <x v="21"/>
    <s v="Definitief"/>
  </r>
  <r>
    <s v="RD1106"/>
    <s v="Van Noort Gassler &amp; Co Rotterdam B.V."/>
    <s v="1636"/>
    <x v="35"/>
    <s v="VRK"/>
    <d v="2022-06-23T00:00:00"/>
    <x v="302"/>
    <x v="476"/>
    <n v="3932.5"/>
    <n v="3932.5"/>
    <n v="0"/>
    <n v="0"/>
    <n v="0"/>
    <n v="3932.5"/>
    <x v="302"/>
    <s v="Definitief"/>
  </r>
  <r>
    <s v="RD1106"/>
    <s v="Van Noort Gassler &amp; Co Rotterdam B.V."/>
    <s v="1637"/>
    <x v="36"/>
    <s v="VRK"/>
    <d v="2019-01-02T00:00:00"/>
    <x v="286"/>
    <x v="477"/>
    <n v="338.8"/>
    <n v="338.8"/>
    <n v="0"/>
    <n v="0"/>
    <n v="0"/>
    <n v="338.8"/>
    <x v="286"/>
    <s v="Definitief"/>
  </r>
  <r>
    <s v="RD1106"/>
    <s v="Van Noort Gassler &amp; Co Rotterdam B.V."/>
    <s v="1637"/>
    <x v="36"/>
    <s v="VRK"/>
    <d v="2019-02-06T00:00:00"/>
    <x v="287"/>
    <x v="478"/>
    <n v="338.8"/>
    <n v="338.8"/>
    <n v="0"/>
    <n v="0"/>
    <n v="0"/>
    <n v="338.8"/>
    <x v="287"/>
    <s v="Definitief"/>
  </r>
  <r>
    <s v="RD1106"/>
    <s v="Van Noort Gassler &amp; Co Rotterdam B.V."/>
    <s v="1637"/>
    <x v="36"/>
    <s v="VRK"/>
    <d v="2019-03-05T00:00:00"/>
    <x v="288"/>
    <x v="479"/>
    <n v="338.8"/>
    <n v="338.8"/>
    <n v="0"/>
    <n v="0"/>
    <n v="0"/>
    <n v="338.8"/>
    <x v="288"/>
    <s v="Definitief"/>
  </r>
  <r>
    <s v="RD1106"/>
    <s v="Van Noort Gassler &amp; Co Rotterdam B.V."/>
    <s v="1637"/>
    <x v="36"/>
    <s v="VRK"/>
    <d v="2019-04-08T00:00:00"/>
    <x v="289"/>
    <x v="480"/>
    <n v="338.8"/>
    <n v="338.8"/>
    <n v="0"/>
    <n v="0"/>
    <n v="0"/>
    <n v="338.8"/>
    <x v="289"/>
    <s v="Definitief"/>
  </r>
  <r>
    <s v="RD1106"/>
    <s v="Van Noort Gassler &amp; Co Rotterdam B.V."/>
    <s v="1637"/>
    <x v="36"/>
    <s v="VRK"/>
    <d v="2019-05-01T00:00:00"/>
    <x v="290"/>
    <x v="481"/>
    <n v="338.8"/>
    <n v="338.8"/>
    <n v="0"/>
    <n v="0"/>
    <n v="0"/>
    <n v="338.8"/>
    <x v="290"/>
    <s v="Definitief"/>
  </r>
  <r>
    <s v="RD1106"/>
    <s v="Van Noort Gassler &amp; Co Rotterdam B.V."/>
    <s v="1637"/>
    <x v="36"/>
    <s v="VRK"/>
    <d v="2019-06-05T00:00:00"/>
    <x v="291"/>
    <x v="482"/>
    <n v="338.8"/>
    <n v="338.8"/>
    <n v="0"/>
    <n v="0"/>
    <n v="0"/>
    <n v="338.8"/>
    <x v="291"/>
    <s v="Definitief"/>
  </r>
  <r>
    <s v="RD1106"/>
    <s v="Van Noort Gassler &amp; Co Rotterdam B.V."/>
    <s v="1637"/>
    <x v="36"/>
    <s v="VRK"/>
    <d v="2019-07-02T00:00:00"/>
    <x v="229"/>
    <x v="483"/>
    <n v="338.8"/>
    <n v="338.8"/>
    <n v="0"/>
    <n v="0"/>
    <n v="0"/>
    <n v="338.8"/>
    <x v="229"/>
    <s v="Definitief"/>
  </r>
  <r>
    <s v="RD1106"/>
    <s v="Van Noort Gassler &amp; Co Rotterdam B.V."/>
    <s v="1637"/>
    <x v="36"/>
    <s v="VRK"/>
    <d v="2019-08-01T00:00:00"/>
    <x v="292"/>
    <x v="484"/>
    <n v="338.8"/>
    <n v="338.8"/>
    <n v="0"/>
    <n v="0"/>
    <n v="0"/>
    <n v="338.8"/>
    <x v="292"/>
    <s v="Definitief"/>
  </r>
  <r>
    <s v="RD1106"/>
    <s v="Van Noort Gassler &amp; Co Rotterdam B.V."/>
    <s v="1637"/>
    <x v="36"/>
    <s v="VRK"/>
    <d v="2019-09-03T00:00:00"/>
    <x v="293"/>
    <x v="485"/>
    <n v="338.8"/>
    <n v="338.8"/>
    <n v="0"/>
    <n v="0"/>
    <n v="0"/>
    <n v="338.8"/>
    <x v="293"/>
    <s v="Definitief"/>
  </r>
  <r>
    <s v="RD1106"/>
    <s v="Van Noort Gassler &amp; Co Rotterdam B.V."/>
    <s v="1637"/>
    <x v="36"/>
    <s v="VRK"/>
    <d v="2019-10-02T00:00:00"/>
    <x v="294"/>
    <x v="486"/>
    <n v="338.8"/>
    <n v="338.8"/>
    <n v="0"/>
    <n v="0"/>
    <n v="0"/>
    <n v="338.8"/>
    <x v="294"/>
    <s v="Definitief"/>
  </r>
  <r>
    <s v="RD1106"/>
    <s v="Van Noort Gassler &amp; Co Rotterdam B.V."/>
    <s v="1637"/>
    <x v="36"/>
    <s v="VRK"/>
    <d v="2019-11-05T00:00:00"/>
    <x v="4"/>
    <x v="487"/>
    <n v="338.8"/>
    <n v="338.8"/>
    <n v="0"/>
    <n v="0"/>
    <n v="0"/>
    <n v="338.8"/>
    <x v="4"/>
    <s v="Definitief"/>
  </r>
  <r>
    <s v="RD1106"/>
    <s v="Van Noort Gassler &amp; Co Rotterdam B.V."/>
    <s v="1637"/>
    <x v="36"/>
    <s v="VRK"/>
    <d v="2019-12-03T00:00:00"/>
    <x v="213"/>
    <x v="488"/>
    <n v="338.8"/>
    <n v="338.8"/>
    <n v="0"/>
    <n v="0"/>
    <n v="0"/>
    <n v="338.8"/>
    <x v="213"/>
    <s v="Definitief"/>
  </r>
  <r>
    <s v="RD1106"/>
    <s v="Van Noort Gassler &amp; Co Rotterdam B.V."/>
    <s v="1637"/>
    <x v="36"/>
    <s v="VRK"/>
    <d v="2020-02-04T00:00:00"/>
    <x v="8"/>
    <x v="489"/>
    <n v="338.8"/>
    <n v="338.8"/>
    <n v="0"/>
    <n v="0"/>
    <n v="0"/>
    <n v="338.8"/>
    <x v="8"/>
    <s v="Definitief"/>
  </r>
  <r>
    <s v="RD1106"/>
    <s v="Van Noort Gassler &amp; Co Rotterdam B.V."/>
    <s v="1637"/>
    <x v="36"/>
    <s v="VRK"/>
    <d v="2020-02-04T00:00:00"/>
    <x v="8"/>
    <x v="490"/>
    <n v="338.8"/>
    <n v="338.8"/>
    <n v="0"/>
    <n v="0"/>
    <n v="0"/>
    <n v="338.8"/>
    <x v="8"/>
    <s v="Definitief"/>
  </r>
  <r>
    <s v="RD1106"/>
    <s v="Van Noort Gassler &amp; Co Rotterdam B.V."/>
    <s v="1637"/>
    <x v="36"/>
    <s v="VRK"/>
    <d v="2020-03-03T00:00:00"/>
    <x v="9"/>
    <x v="491"/>
    <n v="338.8"/>
    <n v="338.8"/>
    <n v="0"/>
    <n v="0"/>
    <n v="0"/>
    <n v="338.8"/>
    <x v="9"/>
    <s v="Definitief"/>
  </r>
  <r>
    <s v="RD1106"/>
    <s v="Van Noort Gassler &amp; Co Rotterdam B.V."/>
    <s v="1637"/>
    <x v="36"/>
    <s v="VRK"/>
    <d v="2020-04-07T00:00:00"/>
    <x v="10"/>
    <x v="492"/>
    <n v="338.8"/>
    <n v="338.8"/>
    <n v="0"/>
    <n v="0"/>
    <n v="0"/>
    <n v="338.8"/>
    <x v="10"/>
    <s v="Definitief"/>
  </r>
  <r>
    <s v="RD1106"/>
    <s v="Van Noort Gassler &amp; Co Rotterdam B.V."/>
    <s v="1637"/>
    <x v="36"/>
    <s v="VRK"/>
    <d v="2020-05-06T00:00:00"/>
    <x v="12"/>
    <x v="493"/>
    <n v="338.8"/>
    <n v="338.8"/>
    <n v="0"/>
    <n v="0"/>
    <n v="0"/>
    <n v="338.8"/>
    <x v="12"/>
    <s v="Definitief"/>
  </r>
  <r>
    <s v="RD1106"/>
    <s v="Van Noort Gassler &amp; Co Rotterdam B.V."/>
    <s v="1637"/>
    <x v="36"/>
    <s v="VRK"/>
    <d v="2020-06-02T00:00:00"/>
    <x v="13"/>
    <x v="494"/>
    <n v="338.8"/>
    <n v="338.8"/>
    <n v="0"/>
    <n v="0"/>
    <n v="0"/>
    <n v="338.8"/>
    <x v="13"/>
    <s v="Definitief"/>
  </r>
  <r>
    <s v="RD1106"/>
    <s v="Van Noort Gassler &amp; Co Rotterdam B.V."/>
    <s v="1637"/>
    <x v="36"/>
    <s v="VRK"/>
    <d v="2020-07-01T00:00:00"/>
    <x v="14"/>
    <x v="495"/>
    <n v="338.8"/>
    <n v="338.8"/>
    <n v="0"/>
    <n v="0"/>
    <n v="0"/>
    <n v="338.8"/>
    <x v="14"/>
    <s v="Definitief"/>
  </r>
  <r>
    <s v="RD1106"/>
    <s v="Van Noort Gassler &amp; Co Rotterdam B.V."/>
    <s v="1637"/>
    <x v="36"/>
    <s v="VRK"/>
    <d v="2020-08-04T00:00:00"/>
    <x v="15"/>
    <x v="496"/>
    <n v="338.8"/>
    <n v="338.8"/>
    <n v="0"/>
    <n v="0"/>
    <n v="0"/>
    <n v="338.8"/>
    <x v="15"/>
    <s v="Definitief"/>
  </r>
  <r>
    <s v="RD1106"/>
    <s v="Van Noort Gassler &amp; Co Rotterdam B.V."/>
    <s v="1637"/>
    <x v="36"/>
    <s v="VRK"/>
    <d v="2020-09-01T00:00:00"/>
    <x v="16"/>
    <x v="497"/>
    <n v="338.8"/>
    <n v="338.8"/>
    <n v="0"/>
    <n v="0"/>
    <n v="0"/>
    <n v="338.8"/>
    <x v="16"/>
    <s v="Definitief"/>
  </r>
  <r>
    <s v="RD1106"/>
    <s v="Van Noort Gassler &amp; Co Rotterdam B.V."/>
    <s v="1637"/>
    <x v="36"/>
    <s v="VRK"/>
    <d v="2020-10-06T00:00:00"/>
    <x v="17"/>
    <x v="498"/>
    <n v="338.8"/>
    <n v="338.8"/>
    <n v="0"/>
    <n v="0"/>
    <n v="0"/>
    <n v="338.8"/>
    <x v="17"/>
    <s v="Definitief"/>
  </r>
  <r>
    <s v="RD1106"/>
    <s v="Van Noort Gassler &amp; Co Rotterdam B.V."/>
    <s v="1637"/>
    <x v="36"/>
    <s v="VRK"/>
    <d v="2020-11-03T00:00:00"/>
    <x v="18"/>
    <x v="499"/>
    <n v="338.8"/>
    <n v="338.8"/>
    <n v="0"/>
    <n v="0"/>
    <n v="0"/>
    <n v="338.8"/>
    <x v="18"/>
    <s v="Definitief"/>
  </r>
  <r>
    <s v="RD1106"/>
    <s v="Van Noort Gassler &amp; Co Rotterdam B.V."/>
    <s v="1637"/>
    <x v="36"/>
    <s v="VRK"/>
    <d v="2020-12-01T00:00:00"/>
    <x v="19"/>
    <x v="500"/>
    <n v="338.8"/>
    <n v="338.8"/>
    <n v="0"/>
    <n v="0"/>
    <n v="0"/>
    <n v="338.8"/>
    <x v="19"/>
    <s v="Definitief"/>
  </r>
  <r>
    <s v="RD1106"/>
    <s v="Van Noort Gassler &amp; Co Rotterdam B.V."/>
    <s v="1637"/>
    <x v="36"/>
    <s v="VRK"/>
    <d v="2021-01-07T00:00:00"/>
    <x v="21"/>
    <x v="501"/>
    <n v="338.8"/>
    <n v="338.8"/>
    <n v="0"/>
    <n v="0"/>
    <n v="0"/>
    <n v="338.8"/>
    <x v="21"/>
    <s v="Definitief"/>
  </r>
  <r>
    <s v="RD1106"/>
    <s v="Van Noort Gassler &amp; Co Rotterdam B.V."/>
    <s v="1637"/>
    <x v="36"/>
    <s v="VRK"/>
    <d v="2022-06-23T00:00:00"/>
    <x v="302"/>
    <x v="502"/>
    <n v="3025"/>
    <n v="3025"/>
    <n v="0"/>
    <n v="0"/>
    <n v="0"/>
    <n v="3025"/>
    <x v="302"/>
    <s v="Definitief"/>
  </r>
  <r>
    <s v="RD1106"/>
    <s v="Van Noort Gassler &amp; Co Rotterdam B.V."/>
    <s v="1638"/>
    <x v="37"/>
    <s v="VRK"/>
    <d v="2019-02-06T00:00:00"/>
    <x v="287"/>
    <x v="503"/>
    <n v="338.8"/>
    <n v="338.8"/>
    <n v="0"/>
    <n v="0"/>
    <n v="0"/>
    <n v="338.8"/>
    <x v="287"/>
    <s v="Definitief"/>
  </r>
  <r>
    <s v="RD1106"/>
    <s v="Van Noort Gassler &amp; Co Rotterdam B.V."/>
    <s v="1650"/>
    <x v="38"/>
    <s v="VRK"/>
    <d v="2017-12-29T00:00:00"/>
    <x v="303"/>
    <x v="504"/>
    <n v="5860.95"/>
    <n v="1734.75"/>
    <n v="0"/>
    <n v="0"/>
    <n v="0"/>
    <n v="1734.75"/>
    <x v="303"/>
    <s v="Definitief"/>
  </r>
  <r>
    <s v="RD1106"/>
    <s v="Van Noort Gassler &amp; Co Rotterdam B.V."/>
    <s v="1650"/>
    <x v="38"/>
    <s v="VRK"/>
    <d v="2017-12-29T00:00:00"/>
    <x v="303"/>
    <x v="505"/>
    <n v="3424.3"/>
    <n v="3274.3"/>
    <n v="0"/>
    <n v="0"/>
    <n v="0"/>
    <n v="3274.3"/>
    <x v="303"/>
    <s v="Definitief"/>
  </r>
  <r>
    <s v="RD1106"/>
    <s v="Van Noort Gassler &amp; Co Rotterdam B.V."/>
    <s v="1650"/>
    <x v="38"/>
    <s v="VRK"/>
    <d v="2018-07-30T00:00:00"/>
    <x v="304"/>
    <x v="506"/>
    <n v="30306.43"/>
    <n v="30306.43"/>
    <n v="0"/>
    <n v="0"/>
    <n v="0"/>
    <n v="30306.43"/>
    <x v="304"/>
    <s v="Definitief"/>
  </r>
  <r>
    <s v="RD1106"/>
    <s v="Van Noort Gassler &amp; Co Rotterdam B.V."/>
    <s v="1650"/>
    <x v="38"/>
    <s v="VRK"/>
    <d v="2019-06-11T00:00:00"/>
    <x v="305"/>
    <x v="507"/>
    <n v="4652.78"/>
    <n v="4652.78"/>
    <n v="0"/>
    <n v="0"/>
    <n v="0"/>
    <n v="4652.78"/>
    <x v="305"/>
    <s v="Definitief"/>
  </r>
  <r>
    <s v="RD1106"/>
    <s v="Van Noort Gassler &amp; Co Rotterdam B.V."/>
    <s v="1650"/>
    <x v="38"/>
    <s v="VRK"/>
    <d v="2020-11-27T00:00:00"/>
    <x v="306"/>
    <x v="508"/>
    <n v="302.5"/>
    <n v="302.5"/>
    <n v="0"/>
    <n v="0"/>
    <n v="0"/>
    <n v="302.5"/>
    <x v="306"/>
    <s v="Definitief"/>
  </r>
  <r>
    <s v="RD1106"/>
    <s v="Van Noort Gassler &amp; Co Rotterdam B.V."/>
    <s v="1651"/>
    <x v="39"/>
    <s v="VRK"/>
    <d v="2020-01-16T00:00:00"/>
    <x v="307"/>
    <x v="509"/>
    <n v="5915.51"/>
    <n v="5915.51"/>
    <n v="0"/>
    <n v="0"/>
    <n v="0"/>
    <n v="5915.51"/>
    <x v="307"/>
    <s v="Definitief"/>
  </r>
  <r>
    <s v="RD1106"/>
    <s v="Van Noort Gassler &amp; Co Rotterdam B.V."/>
    <s v="1652"/>
    <x v="40"/>
    <s v="VRK"/>
    <d v="2020-02-04T00:00:00"/>
    <x v="234"/>
    <x v="510"/>
    <n v="117.37"/>
    <n v="102.11"/>
    <n v="0"/>
    <n v="0"/>
    <n v="0"/>
    <n v="102.11"/>
    <x v="234"/>
    <s v="Definitief"/>
  </r>
  <r>
    <s v="RD1106"/>
    <s v="Van Noort Gassler &amp; Co Rotterdam B.V."/>
    <s v="1652"/>
    <x v="40"/>
    <s v="VRK"/>
    <d v="2020-02-19T00:00:00"/>
    <x v="235"/>
    <x v="511"/>
    <n v="30.25"/>
    <n v="30.25"/>
    <n v="0"/>
    <n v="0"/>
    <n v="0"/>
    <n v="30.25"/>
    <x v="235"/>
    <s v="Definitief"/>
  </r>
  <r>
    <s v="RD1106"/>
    <s v="Van Noort Gassler &amp; Co Rotterdam B.V."/>
    <s v="1652"/>
    <x v="40"/>
    <s v="VRK"/>
    <d v="2020-03-03T00:00:00"/>
    <x v="236"/>
    <x v="512"/>
    <n v="117.37"/>
    <n v="117.37"/>
    <n v="0"/>
    <n v="0"/>
    <n v="0"/>
    <n v="117.37"/>
    <x v="236"/>
    <s v="Definitief"/>
  </r>
  <r>
    <s v="RD1106"/>
    <s v="Van Noort Gassler &amp; Co Rotterdam B.V."/>
    <s v="1652"/>
    <x v="40"/>
    <s v="VRK"/>
    <d v="2020-03-09T00:00:00"/>
    <x v="308"/>
    <x v="513"/>
    <n v="30.25"/>
    <n v="30.25"/>
    <n v="0"/>
    <n v="0"/>
    <n v="0"/>
    <n v="30.25"/>
    <x v="308"/>
    <s v="Definitief"/>
  </r>
  <r>
    <s v="RD1106"/>
    <s v="Van Noort Gassler &amp; Co Rotterdam B.V."/>
    <s v="1652"/>
    <x v="40"/>
    <s v="VRK"/>
    <d v="2020-04-07T00:00:00"/>
    <x v="238"/>
    <x v="514"/>
    <n v="117.37"/>
    <n v="117.37"/>
    <n v="0"/>
    <n v="0"/>
    <n v="0"/>
    <n v="117.37"/>
    <x v="238"/>
    <s v="Definitief"/>
  </r>
  <r>
    <s v="RD1106"/>
    <s v="Van Noort Gassler &amp; Co Rotterdam B.V."/>
    <s v="1652"/>
    <x v="40"/>
    <s v="VRK"/>
    <d v="2020-04-28T00:00:00"/>
    <x v="239"/>
    <x v="515"/>
    <n v="30.25"/>
    <n v="30.25"/>
    <n v="0"/>
    <n v="0"/>
    <n v="0"/>
    <n v="30.25"/>
    <x v="239"/>
    <s v="Definitief"/>
  </r>
  <r>
    <s v="RD1106"/>
    <s v="Van Noort Gassler &amp; Co Rotterdam B.V."/>
    <s v="1652"/>
    <x v="40"/>
    <s v="VRK"/>
    <d v="2020-05-06T00:00:00"/>
    <x v="240"/>
    <x v="516"/>
    <n v="117.37"/>
    <n v="117.37"/>
    <n v="0"/>
    <n v="0"/>
    <n v="0"/>
    <n v="117.37"/>
    <x v="240"/>
    <s v="Definitief"/>
  </r>
  <r>
    <s v="RD1106"/>
    <s v="Van Noort Gassler &amp; Co Rotterdam B.V."/>
    <s v="1652"/>
    <x v="40"/>
    <s v="VRK"/>
    <d v="2020-06-02T00:00:00"/>
    <x v="241"/>
    <x v="517"/>
    <n v="117.37"/>
    <n v="117.37"/>
    <n v="0"/>
    <n v="0"/>
    <n v="0"/>
    <n v="117.37"/>
    <x v="241"/>
    <s v="Definitief"/>
  </r>
  <r>
    <s v="RD1106"/>
    <s v="Van Noort Gassler &amp; Co Rotterdam B.V."/>
    <s v="1652"/>
    <x v="40"/>
    <s v="VRK"/>
    <d v="2020-07-01T00:00:00"/>
    <x v="242"/>
    <x v="518"/>
    <n v="117.37"/>
    <n v="117.37"/>
    <n v="0"/>
    <n v="0"/>
    <n v="0"/>
    <n v="117.37"/>
    <x v="242"/>
    <s v="Definitief"/>
  </r>
  <r>
    <s v="RD1106"/>
    <s v="Van Noort Gassler &amp; Co Rotterdam B.V."/>
    <s v="1652"/>
    <x v="40"/>
    <s v="VRK"/>
    <d v="2020-08-04T00:00:00"/>
    <x v="243"/>
    <x v="519"/>
    <n v="117.37"/>
    <n v="117.37"/>
    <n v="0"/>
    <n v="0"/>
    <n v="0"/>
    <n v="117.37"/>
    <x v="243"/>
    <s v="Definitief"/>
  </r>
  <r>
    <s v="RD1106"/>
    <s v="Van Noort Gassler &amp; Co Rotterdam B.V."/>
    <s v="1652"/>
    <x v="40"/>
    <s v="VRK"/>
    <d v="2020-09-01T00:00:00"/>
    <x v="244"/>
    <x v="520"/>
    <n v="117.37"/>
    <n v="117.37"/>
    <n v="0"/>
    <n v="0"/>
    <n v="0"/>
    <n v="117.37"/>
    <x v="244"/>
    <s v="Definitief"/>
  </r>
  <r>
    <s v="RD1106"/>
    <s v="Van Noort Gassler &amp; Co Rotterdam B.V."/>
    <s v="1652"/>
    <x v="40"/>
    <s v="VRK"/>
    <d v="2020-10-06T00:00:00"/>
    <x v="217"/>
    <x v="521"/>
    <n v="117.37"/>
    <n v="117.37"/>
    <n v="0"/>
    <n v="0"/>
    <n v="0"/>
    <n v="117.37"/>
    <x v="217"/>
    <s v="Definitief"/>
  </r>
  <r>
    <s v="RD1106"/>
    <s v="Van Noort Gassler &amp; Co Rotterdam B.V."/>
    <s v="1652"/>
    <x v="40"/>
    <s v="VRK"/>
    <d v="2020-11-03T00:00:00"/>
    <x v="218"/>
    <x v="522"/>
    <n v="117.37"/>
    <n v="117.37"/>
    <n v="0"/>
    <n v="0"/>
    <n v="0"/>
    <n v="117.37"/>
    <x v="218"/>
    <s v="Definitief"/>
  </r>
  <r>
    <s v="RD1106"/>
    <s v="Van Noort Gassler &amp; Co Rotterdam B.V."/>
    <s v="1652"/>
    <x v="40"/>
    <s v="VRK"/>
    <d v="2020-11-03T00:00:00"/>
    <x v="218"/>
    <x v="523"/>
    <n v="30.25"/>
    <n v="30.25"/>
    <n v="0"/>
    <n v="0"/>
    <n v="0"/>
    <n v="30.25"/>
    <x v="218"/>
    <s v="Definitief"/>
  </r>
  <r>
    <s v="RD1106"/>
    <s v="Van Noort Gassler &amp; Co Rotterdam B.V."/>
    <s v="1652"/>
    <x v="40"/>
    <s v="VRK"/>
    <d v="2020-12-01T00:00:00"/>
    <x v="219"/>
    <x v="524"/>
    <n v="117.37"/>
    <n v="117.37"/>
    <n v="0"/>
    <n v="0"/>
    <n v="0"/>
    <n v="117.37"/>
    <x v="219"/>
    <s v="Definitief"/>
  </r>
  <r>
    <s v="RD1106"/>
    <s v="Van Noort Gassler &amp; Co Rotterdam B.V."/>
    <s v="1652"/>
    <x v="40"/>
    <s v="VRK"/>
    <d v="2020-12-01T00:00:00"/>
    <x v="219"/>
    <x v="525"/>
    <n v="30.25"/>
    <n v="30.25"/>
    <n v="0"/>
    <n v="0"/>
    <n v="0"/>
    <n v="30.25"/>
    <x v="219"/>
    <s v="Definitief"/>
  </r>
  <r>
    <s v="RD1106"/>
    <s v="Van Noort Gassler &amp; Co Rotterdam B.V."/>
    <s v="1652"/>
    <x v="40"/>
    <s v="VRK"/>
    <d v="2021-01-07T00:00:00"/>
    <x v="220"/>
    <x v="526"/>
    <n v="117.37"/>
    <n v="117.37"/>
    <n v="0"/>
    <n v="0"/>
    <n v="0"/>
    <n v="117.37"/>
    <x v="220"/>
    <s v="Definitief"/>
  </r>
  <r>
    <s v="RD1106"/>
    <s v="Van Noort Gassler &amp; Co Rotterdam B.V."/>
    <s v="1654"/>
    <x v="41"/>
    <s v="VRK"/>
    <d v="2019-08-01T00:00:00"/>
    <x v="229"/>
    <x v="527"/>
    <n v="117.37"/>
    <n v="117.37"/>
    <n v="0"/>
    <n v="0"/>
    <n v="0"/>
    <n v="117.37"/>
    <x v="229"/>
    <s v="Definitief"/>
  </r>
  <r>
    <s v="RD1106"/>
    <s v="Van Noort Gassler &amp; Co Rotterdam B.V."/>
    <s v="1654"/>
    <x v="41"/>
    <s v="VRK"/>
    <d v="2019-09-03T00:00:00"/>
    <x v="293"/>
    <x v="528"/>
    <n v="117.37"/>
    <n v="117.37"/>
    <n v="0"/>
    <n v="0"/>
    <n v="0"/>
    <n v="117.37"/>
    <x v="293"/>
    <s v="Definitief"/>
  </r>
  <r>
    <s v="RD1106"/>
    <s v="Van Noort Gassler &amp; Co Rotterdam B.V."/>
    <s v="1654"/>
    <x v="41"/>
    <s v="VRK"/>
    <d v="2019-10-02T00:00:00"/>
    <x v="294"/>
    <x v="529"/>
    <n v="117.37"/>
    <n v="117.37"/>
    <n v="0"/>
    <n v="0"/>
    <n v="0"/>
    <n v="117.37"/>
    <x v="294"/>
    <s v="Definitief"/>
  </r>
  <r>
    <s v="RD1106"/>
    <s v="Van Noort Gassler &amp; Co Rotterdam B.V."/>
    <s v="1654"/>
    <x v="41"/>
    <s v="VRK"/>
    <d v="2019-11-05T00:00:00"/>
    <x v="4"/>
    <x v="530"/>
    <n v="117.37"/>
    <n v="117.37"/>
    <n v="0"/>
    <n v="0"/>
    <n v="0"/>
    <n v="117.37"/>
    <x v="4"/>
    <s v="Definitief"/>
  </r>
  <r>
    <s v="RD1106"/>
    <s v="Van Noort Gassler &amp; Co Rotterdam B.V."/>
    <s v="1654"/>
    <x v="41"/>
    <s v="VRK"/>
    <d v="2019-12-03T00:00:00"/>
    <x v="213"/>
    <x v="531"/>
    <n v="117.37"/>
    <n v="117.37"/>
    <n v="0"/>
    <n v="0"/>
    <n v="0"/>
    <n v="117.37"/>
    <x v="213"/>
    <s v="Definitief"/>
  </r>
  <r>
    <s v="RD1106"/>
    <s v="Van Noort Gassler &amp; Co Rotterdam B.V."/>
    <s v="1654"/>
    <x v="41"/>
    <s v="VRK"/>
    <d v="2020-02-04T00:00:00"/>
    <x v="8"/>
    <x v="532"/>
    <n v="117.37"/>
    <n v="117.37"/>
    <n v="0"/>
    <n v="0"/>
    <n v="0"/>
    <n v="117.37"/>
    <x v="8"/>
    <s v="Definitief"/>
  </r>
  <r>
    <s v="RD1106"/>
    <s v="Van Noort Gassler &amp; Co Rotterdam B.V."/>
    <s v="1654"/>
    <x v="41"/>
    <s v="VRK"/>
    <d v="2020-02-04T00:00:00"/>
    <x v="8"/>
    <x v="533"/>
    <n v="117.37"/>
    <n v="117.37"/>
    <n v="0"/>
    <n v="0"/>
    <n v="0"/>
    <n v="117.37"/>
    <x v="8"/>
    <s v="Definitief"/>
  </r>
  <r>
    <s v="RD1106"/>
    <s v="Van Noort Gassler &amp; Co Rotterdam B.V."/>
    <s v="1654"/>
    <x v="41"/>
    <s v="VRK"/>
    <d v="2020-03-03T00:00:00"/>
    <x v="9"/>
    <x v="534"/>
    <n v="117.37"/>
    <n v="117.37"/>
    <n v="0"/>
    <n v="0"/>
    <n v="0"/>
    <n v="117.37"/>
    <x v="9"/>
    <s v="Definitief"/>
  </r>
  <r>
    <s v="RD1106"/>
    <s v="Van Noort Gassler &amp; Co Rotterdam B.V."/>
    <s v="1654"/>
    <x v="41"/>
    <s v="VRK"/>
    <d v="2020-04-07T00:00:00"/>
    <x v="10"/>
    <x v="535"/>
    <n v="117.37"/>
    <n v="117.37"/>
    <n v="0"/>
    <n v="0"/>
    <n v="0"/>
    <n v="117.37"/>
    <x v="10"/>
    <s v="Definitief"/>
  </r>
  <r>
    <s v="RD1106"/>
    <s v="Van Noort Gassler &amp; Co Rotterdam B.V."/>
    <s v="1654"/>
    <x v="41"/>
    <s v="VRK"/>
    <d v="2020-05-06T00:00:00"/>
    <x v="12"/>
    <x v="536"/>
    <n v="117.37"/>
    <n v="117.37"/>
    <n v="0"/>
    <n v="0"/>
    <n v="0"/>
    <n v="117.37"/>
    <x v="12"/>
    <s v="Definitief"/>
  </r>
  <r>
    <s v="RD1106"/>
    <s v="Van Noort Gassler &amp; Co Rotterdam B.V."/>
    <s v="1654"/>
    <x v="41"/>
    <s v="VRK"/>
    <d v="2020-06-02T00:00:00"/>
    <x v="13"/>
    <x v="537"/>
    <n v="117.37"/>
    <n v="117.37"/>
    <n v="0"/>
    <n v="0"/>
    <n v="0"/>
    <n v="117.37"/>
    <x v="13"/>
    <s v="Definitief"/>
  </r>
  <r>
    <s v="RD1106"/>
    <s v="Van Noort Gassler &amp; Co Rotterdam B.V."/>
    <s v="1654"/>
    <x v="41"/>
    <s v="VRK"/>
    <d v="2020-07-01T00:00:00"/>
    <x v="14"/>
    <x v="538"/>
    <n v="117.37"/>
    <n v="117.37"/>
    <n v="0"/>
    <n v="0"/>
    <n v="0"/>
    <n v="117.37"/>
    <x v="14"/>
    <s v="Definitief"/>
  </r>
  <r>
    <s v="RD1106"/>
    <s v="Van Noort Gassler &amp; Co Rotterdam B.V."/>
    <s v="1654"/>
    <x v="41"/>
    <s v="VRK"/>
    <d v="2020-08-04T00:00:00"/>
    <x v="15"/>
    <x v="539"/>
    <n v="117.37"/>
    <n v="117.37"/>
    <n v="0"/>
    <n v="0"/>
    <n v="0"/>
    <n v="117.37"/>
    <x v="15"/>
    <s v="Definitief"/>
  </r>
  <r>
    <s v="RD1106"/>
    <s v="Van Noort Gassler &amp; Co Rotterdam B.V."/>
    <s v="1654"/>
    <x v="41"/>
    <s v="VRK"/>
    <d v="2020-09-01T00:00:00"/>
    <x v="16"/>
    <x v="540"/>
    <n v="117.37"/>
    <n v="117.37"/>
    <n v="0"/>
    <n v="0"/>
    <n v="0"/>
    <n v="117.37"/>
    <x v="16"/>
    <s v="Definitief"/>
  </r>
  <r>
    <s v="RD1106"/>
    <s v="Van Noort Gassler &amp; Co Rotterdam B.V."/>
    <s v="1654"/>
    <x v="41"/>
    <s v="VRK"/>
    <d v="2020-10-06T00:00:00"/>
    <x v="17"/>
    <x v="541"/>
    <n v="117.37"/>
    <n v="117.37"/>
    <n v="0"/>
    <n v="0"/>
    <n v="0"/>
    <n v="117.37"/>
    <x v="17"/>
    <s v="Definitief"/>
  </r>
  <r>
    <s v="RD1106"/>
    <s v="Van Noort Gassler &amp; Co Rotterdam B.V."/>
    <s v="1654"/>
    <x v="41"/>
    <s v="VRK"/>
    <d v="2020-11-03T00:00:00"/>
    <x v="18"/>
    <x v="542"/>
    <n v="117.37"/>
    <n v="117.37"/>
    <n v="0"/>
    <n v="0"/>
    <n v="0"/>
    <n v="117.37"/>
    <x v="18"/>
    <s v="Definitief"/>
  </r>
  <r>
    <s v="RD1106"/>
    <s v="Van Noort Gassler &amp; Co Rotterdam B.V."/>
    <s v="1654"/>
    <x v="41"/>
    <s v="VRK"/>
    <d v="2020-12-01T00:00:00"/>
    <x v="19"/>
    <x v="543"/>
    <n v="117.37"/>
    <n v="117.37"/>
    <n v="0"/>
    <n v="0"/>
    <n v="0"/>
    <n v="117.37"/>
    <x v="19"/>
    <s v="Definitief"/>
  </r>
  <r>
    <s v="RD1106"/>
    <s v="Van Noort Gassler &amp; Co Rotterdam B.V."/>
    <s v="1654"/>
    <x v="41"/>
    <s v="VRK"/>
    <d v="2021-01-07T00:00:00"/>
    <x v="21"/>
    <x v="544"/>
    <n v="117.37"/>
    <n v="117.37"/>
    <n v="0"/>
    <n v="0"/>
    <n v="0"/>
    <n v="117.37"/>
    <x v="21"/>
    <s v="Definitief"/>
  </r>
  <r>
    <s v="RD1106"/>
    <s v="Van Noort Gassler &amp; Co Rotterdam B.V."/>
    <s v="1654"/>
    <x v="41"/>
    <s v="VRK"/>
    <d v="2021-02-16T00:00:00"/>
    <x v="22"/>
    <x v="545"/>
    <n v="117.37"/>
    <n v="117.37"/>
    <n v="0"/>
    <n v="0"/>
    <n v="0"/>
    <n v="117.37"/>
    <x v="22"/>
    <s v="Definitief"/>
  </r>
  <r>
    <s v="RD1106"/>
    <s v="Van Noort Gassler &amp; Co Rotterdam B.V."/>
    <s v="1654"/>
    <x v="41"/>
    <s v="VRK"/>
    <d v="2021-03-02T00:00:00"/>
    <x v="23"/>
    <x v="546"/>
    <n v="117.37"/>
    <n v="117.37"/>
    <n v="0"/>
    <n v="0"/>
    <n v="0"/>
    <n v="117.37"/>
    <x v="23"/>
    <s v="Definitief"/>
  </r>
  <r>
    <s v="RD1106"/>
    <s v="Van Noort Gassler &amp; Co Rotterdam B.V."/>
    <s v="1654"/>
    <x v="41"/>
    <s v="VRK"/>
    <d v="2021-03-30T00:00:00"/>
    <x v="309"/>
    <x v="547"/>
    <n v="117.37"/>
    <n v="117.37"/>
    <n v="0"/>
    <n v="0"/>
    <n v="0"/>
    <n v="117.37"/>
    <x v="309"/>
    <s v="Definitief"/>
  </r>
  <r>
    <s v="RD1106"/>
    <s v="Van Noort Gassler &amp; Co Rotterdam B.V."/>
    <s v="1654"/>
    <x v="41"/>
    <s v="VRK"/>
    <d v="2021-05-04T00:00:00"/>
    <x v="25"/>
    <x v="548"/>
    <n v="117.37"/>
    <n v="117.37"/>
    <n v="0"/>
    <n v="0"/>
    <n v="0"/>
    <n v="117.37"/>
    <x v="25"/>
    <s v="Definitief"/>
  </r>
  <r>
    <s v="RD1106"/>
    <s v="Van Noort Gassler &amp; Co Rotterdam B.V."/>
    <s v="1654"/>
    <x v="41"/>
    <s v="VRK"/>
    <d v="2021-06-01T00:00:00"/>
    <x v="26"/>
    <x v="549"/>
    <n v="117.37"/>
    <n v="117.37"/>
    <n v="0"/>
    <n v="0"/>
    <n v="0"/>
    <n v="117.37"/>
    <x v="26"/>
    <s v="Definitief"/>
  </r>
  <r>
    <s v="RD1106"/>
    <s v="Van Noort Gassler &amp; Co Rotterdam B.V."/>
    <s v="1654"/>
    <x v="41"/>
    <s v="VRK"/>
    <d v="2021-07-01T00:00:00"/>
    <x v="27"/>
    <x v="550"/>
    <n v="117.37"/>
    <n v="117.37"/>
    <n v="0"/>
    <n v="0"/>
    <n v="0"/>
    <n v="117.37"/>
    <x v="27"/>
    <s v="Definitief"/>
  </r>
  <r>
    <s v="RD1106"/>
    <s v="Van Noort Gassler &amp; Co Rotterdam B.V."/>
    <s v="1654"/>
    <x v="41"/>
    <s v="VRK"/>
    <d v="2021-08-04T00:00:00"/>
    <x v="28"/>
    <x v="551"/>
    <n v="117.37"/>
    <n v="117.37"/>
    <n v="0"/>
    <n v="0"/>
    <n v="0"/>
    <n v="117.37"/>
    <x v="28"/>
    <s v="Definitief"/>
  </r>
  <r>
    <s v="RD1106"/>
    <s v="Van Noort Gassler &amp; Co Rotterdam B.V."/>
    <s v="1654"/>
    <x v="41"/>
    <s v="VRK"/>
    <d v="2021-09-09T00:00:00"/>
    <x v="29"/>
    <x v="552"/>
    <n v="117.37"/>
    <n v="117.37"/>
    <n v="0"/>
    <n v="0"/>
    <n v="0"/>
    <n v="117.37"/>
    <x v="29"/>
    <s v="Definitief"/>
  </r>
  <r>
    <s v="RD1106"/>
    <s v="Van Noort Gassler &amp; Co Rotterdam B.V."/>
    <s v="1654"/>
    <x v="41"/>
    <s v="VRK"/>
    <d v="2021-10-01T00:00:00"/>
    <x v="30"/>
    <x v="553"/>
    <n v="117.37"/>
    <n v="117.37"/>
    <n v="0"/>
    <n v="0"/>
    <n v="0"/>
    <n v="117.37"/>
    <x v="30"/>
    <s v="Definitief"/>
  </r>
  <r>
    <s v="RD1106"/>
    <s v="Van Noort Gassler &amp; Co Rotterdam B.V."/>
    <s v="1654"/>
    <x v="41"/>
    <s v="VRK"/>
    <d v="2021-11-03T00:00:00"/>
    <x v="32"/>
    <x v="554"/>
    <n v="117.37"/>
    <n v="117.37"/>
    <n v="0"/>
    <n v="0"/>
    <n v="0"/>
    <n v="117.37"/>
    <x v="32"/>
    <s v="Definitief"/>
  </r>
  <r>
    <s v="RD1106"/>
    <s v="Van Noort Gassler &amp; Co Rotterdam B.V."/>
    <s v="1654"/>
    <x v="41"/>
    <s v="VRK"/>
    <d v="2021-12-02T00:00:00"/>
    <x v="33"/>
    <x v="555"/>
    <n v="117.37"/>
    <n v="117.37"/>
    <n v="0"/>
    <n v="0"/>
    <n v="0"/>
    <n v="117.37"/>
    <x v="33"/>
    <s v="Definitief"/>
  </r>
  <r>
    <s v="RD1106"/>
    <s v="Van Noort Gassler &amp; Co Rotterdam B.V."/>
    <s v="1654"/>
    <x v="41"/>
    <s v="VRK"/>
    <d v="2022-01-12T00:00:00"/>
    <x v="34"/>
    <x v="556"/>
    <n v="117.37"/>
    <n v="117.37"/>
    <n v="0"/>
    <n v="0"/>
    <n v="0"/>
    <n v="117.37"/>
    <x v="34"/>
    <s v="Definitief"/>
  </r>
  <r>
    <s v="RD1106"/>
    <s v="Van Noort Gassler &amp; Co Rotterdam B.V."/>
    <s v="1655"/>
    <x v="42"/>
    <s v="VRK"/>
    <d v="2017-02-02T00:00:00"/>
    <x v="310"/>
    <x v="557"/>
    <n v="810.7"/>
    <n v="810.7"/>
    <n v="0"/>
    <n v="0"/>
    <n v="0"/>
    <n v="810.7"/>
    <x v="310"/>
    <s v="Definitief"/>
  </r>
  <r>
    <s v="RD1106"/>
    <s v="Van Noort Gassler &amp; Co Rotterdam B.V."/>
    <s v="1655"/>
    <x v="42"/>
    <s v="VRK"/>
    <d v="2017-03-02T00:00:00"/>
    <x v="311"/>
    <x v="558"/>
    <n v="405.35"/>
    <n v="405.35"/>
    <n v="0"/>
    <n v="0"/>
    <n v="0"/>
    <n v="405.35"/>
    <x v="311"/>
    <s v="Definitief"/>
  </r>
  <r>
    <s v="RD1106"/>
    <s v="Van Noort Gassler &amp; Co Rotterdam B.V."/>
    <s v="1655"/>
    <x v="42"/>
    <s v="VRK"/>
    <d v="2017-04-03T00:00:00"/>
    <x v="312"/>
    <x v="559"/>
    <n v="405.35"/>
    <n v="405.35"/>
    <n v="0"/>
    <n v="0"/>
    <n v="0"/>
    <n v="405.35"/>
    <x v="312"/>
    <s v="Definitief"/>
  </r>
  <r>
    <s v="RD1106"/>
    <s v="Van Noort Gassler &amp; Co Rotterdam B.V."/>
    <s v="1655"/>
    <x v="42"/>
    <s v="VRK"/>
    <d v="2017-05-02T00:00:00"/>
    <x v="313"/>
    <x v="560"/>
    <n v="405.35"/>
    <n v="405.35"/>
    <n v="0"/>
    <n v="0"/>
    <n v="0"/>
    <n v="405.35"/>
    <x v="313"/>
    <s v="Definitief"/>
  </r>
  <r>
    <s v="RD1106"/>
    <s v="Van Noort Gassler &amp; Co Rotterdam B.V."/>
    <s v="1655"/>
    <x v="42"/>
    <s v="VRK"/>
    <d v="2017-06-01T00:00:00"/>
    <x v="314"/>
    <x v="561"/>
    <n v="405.35"/>
    <n v="405.35"/>
    <n v="0"/>
    <n v="0"/>
    <n v="0"/>
    <n v="405.35"/>
    <x v="314"/>
    <s v="Definitief"/>
  </r>
  <r>
    <s v="RD1106"/>
    <s v="Van Noort Gassler &amp; Co Rotterdam B.V."/>
    <s v="1655"/>
    <x v="42"/>
    <s v="VRK"/>
    <d v="2017-07-03T00:00:00"/>
    <x v="315"/>
    <x v="562"/>
    <n v="405.35"/>
    <n v="405.35"/>
    <n v="0"/>
    <n v="0"/>
    <n v="0"/>
    <n v="405.35"/>
    <x v="315"/>
    <s v="Definitief"/>
  </r>
  <r>
    <s v="RD1106"/>
    <s v="Van Noort Gassler &amp; Co Rotterdam B.V."/>
    <s v="1655"/>
    <x v="42"/>
    <s v="VRK"/>
    <d v="2017-08-01T00:00:00"/>
    <x v="316"/>
    <x v="563"/>
    <n v="405.35"/>
    <n v="405.35"/>
    <n v="0"/>
    <n v="0"/>
    <n v="0"/>
    <n v="405.35"/>
    <x v="316"/>
    <s v="Definitief"/>
  </r>
  <r>
    <s v="RD1106"/>
    <s v="Van Noort Gassler &amp; Co Rotterdam B.V."/>
    <s v="1655"/>
    <x v="42"/>
    <s v="VRK"/>
    <d v="2017-09-01T00:00:00"/>
    <x v="317"/>
    <x v="564"/>
    <n v="405.35"/>
    <n v="405.35"/>
    <n v="0"/>
    <n v="0"/>
    <n v="0"/>
    <n v="405.35"/>
    <x v="317"/>
    <s v="Definitief"/>
  </r>
  <r>
    <s v="RD1106"/>
    <s v="Van Noort Gassler &amp; Co Rotterdam B.V."/>
    <s v="1655"/>
    <x v="42"/>
    <s v="VRK"/>
    <d v="2017-10-05T00:00:00"/>
    <x v="318"/>
    <x v="565"/>
    <n v="405.35"/>
    <n v="405.35"/>
    <n v="0"/>
    <n v="0"/>
    <n v="0"/>
    <n v="405.35"/>
    <x v="318"/>
    <s v="Definitief"/>
  </r>
  <r>
    <s v="RD1106"/>
    <s v="Van Noort Gassler &amp; Co Rotterdam B.V."/>
    <s v="1655"/>
    <x v="42"/>
    <s v="VRK"/>
    <d v="2017-11-01T00:00:00"/>
    <x v="319"/>
    <x v="566"/>
    <n v="405.35"/>
    <n v="405.35"/>
    <n v="0"/>
    <n v="0"/>
    <n v="0"/>
    <n v="405.35"/>
    <x v="319"/>
    <s v="Definitief"/>
  </r>
  <r>
    <s v="RD1106"/>
    <s v="Van Noort Gassler &amp; Co Rotterdam B.V."/>
    <s v="1655"/>
    <x v="42"/>
    <s v="VRK"/>
    <d v="2017-12-07T00:00:00"/>
    <x v="320"/>
    <x v="567"/>
    <n v="405.35"/>
    <n v="405.35"/>
    <n v="0"/>
    <n v="0"/>
    <n v="0"/>
    <n v="405.35"/>
    <x v="320"/>
    <s v="Definitief"/>
  </r>
  <r>
    <s v="RD1106"/>
    <s v="Van Noort Gassler &amp; Co Rotterdam B.V."/>
    <s v="1655"/>
    <x v="42"/>
    <s v="VRK"/>
    <d v="2017-12-29T00:00:00"/>
    <x v="303"/>
    <x v="568"/>
    <n v="1197.9000000000001"/>
    <n v="1197.9000000000001"/>
    <n v="0"/>
    <n v="0"/>
    <n v="0"/>
    <n v="1197.9000000000001"/>
    <x v="303"/>
    <s v="Definitief"/>
  </r>
  <r>
    <s v="RD1106"/>
    <s v="Van Noort Gassler &amp; Co Rotterdam B.V."/>
    <s v="1655"/>
    <x v="42"/>
    <s v="VRK"/>
    <d v="2017-12-29T00:00:00"/>
    <x v="303"/>
    <x v="569"/>
    <n v="217.8"/>
    <n v="217.8"/>
    <n v="0"/>
    <n v="0"/>
    <n v="0"/>
    <n v="217.8"/>
    <x v="303"/>
    <s v="Definitief"/>
  </r>
  <r>
    <s v="RD1106"/>
    <s v="Van Noort Gassler &amp; Co Rotterdam B.V."/>
    <s v="1655"/>
    <x v="42"/>
    <s v="VRK"/>
    <d v="2018-07-30T00:00:00"/>
    <x v="304"/>
    <x v="570"/>
    <n v="1488.38"/>
    <n v="1488.38"/>
    <n v="0"/>
    <n v="0"/>
    <n v="0"/>
    <n v="1488.38"/>
    <x v="304"/>
    <s v="Definitief"/>
  </r>
  <r>
    <s v="RD1106"/>
    <s v="Van Noort Gassler &amp; Co Rotterdam B.V."/>
    <s v="1655"/>
    <x v="42"/>
    <s v="VRK"/>
    <d v="2019-06-11T00:00:00"/>
    <x v="305"/>
    <x v="571"/>
    <n v="3682.37"/>
    <n v="3682.37"/>
    <n v="0"/>
    <n v="0"/>
    <n v="0"/>
    <n v="3682.37"/>
    <x v="305"/>
    <s v="Definitief"/>
  </r>
  <r>
    <s v="RD1106"/>
    <s v="Van Noort Gassler &amp; Co Rotterdam B.V."/>
    <s v="1655"/>
    <x v="42"/>
    <s v="VRK"/>
    <d v="2020-11-27T00:00:00"/>
    <x v="306"/>
    <x v="572"/>
    <n v="302.5"/>
    <n v="302.5"/>
    <n v="0"/>
    <n v="0"/>
    <n v="0"/>
    <n v="302.5"/>
    <x v="306"/>
    <s v="Definitief"/>
  </r>
  <r>
    <s v="RD1106"/>
    <s v="Van Noort Gassler &amp; Co Rotterdam B.V."/>
    <s v="1657"/>
    <x v="43"/>
    <s v="VRK"/>
    <d v="2025-03-10T00:00:00"/>
    <x v="141"/>
    <x v="573"/>
    <n v="1149.5"/>
    <n v="1149.5"/>
    <n v="0"/>
    <n v="0"/>
    <n v="0"/>
    <n v="1149.5"/>
    <x v="141"/>
    <s v="Concept"/>
  </r>
  <r>
    <s v="RD1106"/>
    <s v="Van Noort Gassler &amp; Co Rotterdam B.V."/>
    <s v="1657"/>
    <x v="43"/>
    <s v="VRK"/>
    <d v="2026-03-23T00:00:00"/>
    <x v="198"/>
    <x v="574"/>
    <n v="1253.44"/>
    <n v="1253.44"/>
    <n v="0"/>
    <n v="1253.44"/>
    <n v="0"/>
    <n v="0"/>
    <x v="198"/>
    <s v="Concept"/>
  </r>
  <r>
    <s v="RD1106"/>
    <s v="Van Noort Gassler &amp; Co Rotterdam B.V."/>
    <s v="1658"/>
    <x v="44"/>
    <s v="VRK"/>
    <d v="2019-12-31T00:00:00"/>
    <x v="7"/>
    <x v="575"/>
    <n v="644.04"/>
    <n v="644.04"/>
    <n v="0"/>
    <n v="0"/>
    <n v="0"/>
    <n v="644.04"/>
    <x v="7"/>
    <s v="Definitief"/>
  </r>
  <r>
    <s v="RD1106"/>
    <s v="Van Noort Gassler &amp; Co Rotterdam B.V."/>
    <s v="1658"/>
    <x v="44"/>
    <s v="VRK"/>
    <d v="2020-02-04T00:00:00"/>
    <x v="234"/>
    <x v="576"/>
    <n v="240.79"/>
    <n v="240.79"/>
    <n v="0"/>
    <n v="0"/>
    <n v="0"/>
    <n v="240.79"/>
    <x v="234"/>
    <s v="Definitief"/>
  </r>
  <r>
    <s v="RD1106"/>
    <s v="Van Noort Gassler &amp; Co Rotterdam B.V."/>
    <s v="1658"/>
    <x v="44"/>
    <s v="VRK"/>
    <d v="2020-02-04T00:00:00"/>
    <x v="234"/>
    <x v="577"/>
    <n v="240.79"/>
    <n v="240.79"/>
    <n v="0"/>
    <n v="0"/>
    <n v="0"/>
    <n v="240.79"/>
    <x v="234"/>
    <s v="Definitief"/>
  </r>
  <r>
    <s v="RD1106"/>
    <s v="Van Noort Gassler &amp; Co Rotterdam B.V."/>
    <s v="1658"/>
    <x v="44"/>
    <s v="VRK"/>
    <d v="2020-03-09T00:00:00"/>
    <x v="308"/>
    <x v="578"/>
    <n v="30.25"/>
    <n v="30.25"/>
    <n v="0"/>
    <n v="0"/>
    <n v="0"/>
    <n v="30.25"/>
    <x v="308"/>
    <s v="Definitief"/>
  </r>
  <r>
    <s v="RD1106"/>
    <s v="Van Noort Gassler &amp; Co Rotterdam B.V."/>
    <s v="1658"/>
    <x v="44"/>
    <s v="VRK"/>
    <d v="2020-04-01T00:00:00"/>
    <x v="237"/>
    <x v="579"/>
    <n v="30.25"/>
    <n v="30.25"/>
    <n v="0"/>
    <n v="0"/>
    <n v="0"/>
    <n v="30.25"/>
    <x v="237"/>
    <s v="Definitief"/>
  </r>
  <r>
    <s v="RD1106"/>
    <s v="Van Noort Gassler &amp; Co Rotterdam B.V."/>
    <s v="1658"/>
    <x v="44"/>
    <s v="VRK"/>
    <d v="2020-04-28T00:00:00"/>
    <x v="239"/>
    <x v="580"/>
    <n v="30.25"/>
    <n v="30.25"/>
    <n v="0"/>
    <n v="0"/>
    <n v="0"/>
    <n v="30.25"/>
    <x v="239"/>
    <s v="Definitief"/>
  </r>
  <r>
    <s v="RD1106"/>
    <s v="Van Noort Gassler &amp; Co Rotterdam B.V."/>
    <s v="1658"/>
    <x v="44"/>
    <s v="VRK"/>
    <d v="2020-12-01T00:00:00"/>
    <x v="219"/>
    <x v="581"/>
    <n v="30.25"/>
    <n v="30.25"/>
    <n v="0"/>
    <n v="0"/>
    <n v="0"/>
    <n v="30.25"/>
    <x v="219"/>
    <s v="Definitief"/>
  </r>
  <r>
    <s v="RD1106"/>
    <s v="Van Noort Gassler &amp; Co Rotterdam B.V."/>
    <s v="1658"/>
    <x v="44"/>
    <s v="VRK"/>
    <d v="2021-03-02T00:00:00"/>
    <x v="222"/>
    <x v="582"/>
    <n v="30.25"/>
    <n v="30.25"/>
    <n v="0"/>
    <n v="0"/>
    <n v="0"/>
    <n v="30.25"/>
    <x v="222"/>
    <s v="Definitief"/>
  </r>
  <r>
    <s v="RD1106"/>
    <s v="Van Noort Gassler &amp; Co Rotterdam B.V."/>
    <s v="1676"/>
    <x v="45"/>
    <s v="VRK"/>
    <d v="2017-11-03T00:00:00"/>
    <x v="321"/>
    <x v="583"/>
    <n v="1210"/>
    <n v="1210"/>
    <n v="0"/>
    <n v="0"/>
    <n v="0"/>
    <n v="1210"/>
    <x v="321"/>
    <s v="Definitief"/>
  </r>
  <r>
    <s v="RD1106"/>
    <s v="Van Noort Gassler &amp; Co Rotterdam B.V."/>
    <s v="1678"/>
    <x v="46"/>
    <s v="VRK"/>
    <d v="2023-05-02T00:00:00"/>
    <x v="252"/>
    <x v="584"/>
    <n v="211.75"/>
    <n v="211.75"/>
    <n v="0"/>
    <n v="0"/>
    <n v="0"/>
    <n v="211.75"/>
    <x v="252"/>
    <s v="Definitief"/>
  </r>
  <r>
    <s v="RD1106"/>
    <s v="Van Noort Gassler &amp; Co Rotterdam B.V."/>
    <s v="1678"/>
    <x v="46"/>
    <s v="VRK"/>
    <d v="2024-01-04T00:00:00"/>
    <x v="257"/>
    <x v="585"/>
    <n v="338.8"/>
    <n v="338.8"/>
    <n v="0"/>
    <n v="0"/>
    <n v="0"/>
    <n v="338.8"/>
    <x v="257"/>
    <s v="Concept"/>
  </r>
  <r>
    <s v="RD1106"/>
    <s v="Van Noort Gassler &amp; Co Rotterdam B.V."/>
    <s v="1678"/>
    <x v="46"/>
    <s v="VRK"/>
    <d v="2024-02-05T00:00:00"/>
    <x v="258"/>
    <x v="586"/>
    <n v="338.8"/>
    <n v="338.8"/>
    <n v="0"/>
    <n v="0"/>
    <n v="0"/>
    <n v="338.8"/>
    <x v="258"/>
    <s v="Concept"/>
  </r>
  <r>
    <s v="RD1106"/>
    <s v="Van Noort Gassler &amp; Co Rotterdam B.V."/>
    <s v="1678"/>
    <x v="46"/>
    <s v="VRK"/>
    <d v="2024-03-06T00:00:00"/>
    <x v="259"/>
    <x v="587"/>
    <n v="338.8"/>
    <n v="338.8"/>
    <n v="0"/>
    <n v="0"/>
    <n v="0"/>
    <n v="338.8"/>
    <x v="259"/>
    <s v="Concept"/>
  </r>
  <r>
    <s v="RD1106"/>
    <s v="Van Noort Gassler &amp; Co Rotterdam B.V."/>
    <s v="1678"/>
    <x v="46"/>
    <s v="VRK"/>
    <d v="2024-04-04T00:00:00"/>
    <x v="260"/>
    <x v="588"/>
    <n v="338.8"/>
    <n v="338.8"/>
    <n v="0"/>
    <n v="0"/>
    <n v="0"/>
    <n v="338.8"/>
    <x v="260"/>
    <s v="Concept"/>
  </r>
  <r>
    <s v="RD1106"/>
    <s v="Van Noort Gassler &amp; Co Rotterdam B.V."/>
    <s v="1678"/>
    <x v="46"/>
    <s v="VRK"/>
    <d v="2024-04-30T00:00:00"/>
    <x v="322"/>
    <x v="589"/>
    <n v="2008.6"/>
    <n v="2008.6"/>
    <n v="0"/>
    <n v="0"/>
    <n v="0"/>
    <n v="2008.6"/>
    <x v="322"/>
    <s v="Concept"/>
  </r>
  <r>
    <s v="RD1106"/>
    <s v="Van Noort Gassler &amp; Co Rotterdam B.V."/>
    <s v="1684"/>
    <x v="47"/>
    <s v="VRK"/>
    <d v="2020-04-01T00:00:00"/>
    <x v="237"/>
    <x v="590"/>
    <n v="30.25"/>
    <n v="30.25"/>
    <n v="0"/>
    <n v="0"/>
    <n v="0"/>
    <n v="30.25"/>
    <x v="237"/>
    <s v="Definitief"/>
  </r>
  <r>
    <s v="RD1106"/>
    <s v="Van Noort Gassler &amp; Co Rotterdam B.V."/>
    <s v="1684"/>
    <x v="47"/>
    <s v="VRK"/>
    <d v="2020-04-28T00:00:00"/>
    <x v="239"/>
    <x v="591"/>
    <n v="30.25"/>
    <n v="30.25"/>
    <n v="0"/>
    <n v="0"/>
    <n v="0"/>
    <n v="30.25"/>
    <x v="239"/>
    <s v="Definitief"/>
  </r>
  <r>
    <s v="RD1106"/>
    <s v="Van Noort Gassler &amp; Co Rotterdam B.V."/>
    <s v="1684"/>
    <x v="47"/>
    <s v="VRK"/>
    <d v="2020-10-06T00:00:00"/>
    <x v="217"/>
    <x v="592"/>
    <n v="30.25"/>
    <n v="30.25"/>
    <n v="0"/>
    <n v="0"/>
    <n v="0"/>
    <n v="30.25"/>
    <x v="217"/>
    <s v="Definitief"/>
  </r>
  <r>
    <s v="RD1106"/>
    <s v="Van Noort Gassler &amp; Co Rotterdam B.V."/>
    <s v="1684"/>
    <x v="47"/>
    <s v="VRK"/>
    <d v="2020-11-03T00:00:00"/>
    <x v="218"/>
    <x v="593"/>
    <n v="30.25"/>
    <n v="30.25"/>
    <n v="0"/>
    <n v="0"/>
    <n v="0"/>
    <n v="30.25"/>
    <x v="218"/>
    <s v="Definitief"/>
  </r>
  <r>
    <s v="RD1106"/>
    <s v="Van Noort Gassler &amp; Co Rotterdam B.V."/>
    <s v="1684"/>
    <x v="47"/>
    <s v="VRK"/>
    <d v="2020-12-01T00:00:00"/>
    <x v="219"/>
    <x v="594"/>
    <n v="30.25"/>
    <n v="30.25"/>
    <n v="0"/>
    <n v="0"/>
    <n v="0"/>
    <n v="30.25"/>
    <x v="219"/>
    <s v="Definitief"/>
  </r>
  <r>
    <s v="RD1106"/>
    <s v="Van Noort Gassler &amp; Co Rotterdam B.V."/>
    <s v="1684"/>
    <x v="47"/>
    <s v="VRK"/>
    <d v="2021-03-02T00:00:00"/>
    <x v="222"/>
    <x v="595"/>
    <n v="30.25"/>
    <n v="30.25"/>
    <n v="0"/>
    <n v="0"/>
    <n v="0"/>
    <n v="30.25"/>
    <x v="222"/>
    <s v="Definitief"/>
  </r>
  <r>
    <s v="RD1106"/>
    <s v="Van Noort Gassler &amp; Co Rotterdam B.V."/>
    <s v="1685"/>
    <x v="48"/>
    <s v="VRK"/>
    <d v="2021-02-22T00:00:00"/>
    <x v="323"/>
    <x v="596"/>
    <n v="848.52"/>
    <n v="848.52"/>
    <n v="0"/>
    <n v="0"/>
    <n v="0"/>
    <n v="848.52"/>
    <x v="323"/>
    <s v="Definitief"/>
  </r>
  <r>
    <s v="RD1106"/>
    <s v="Van Noort Gassler &amp; Co Rotterdam B.V."/>
    <s v="1685"/>
    <x v="48"/>
    <s v="VRK"/>
    <d v="2026-03-23T00:00:00"/>
    <x v="198"/>
    <x v="597"/>
    <n v="500"/>
    <n v="500"/>
    <n v="0"/>
    <n v="500"/>
    <n v="0"/>
    <n v="0"/>
    <x v="198"/>
    <s v="Concept"/>
  </r>
  <r>
    <s v="RD1106"/>
    <s v="Van Noort Gassler &amp; Co Rotterdam B.V."/>
    <s v="1685"/>
    <x v="48"/>
    <s v="VRK"/>
    <d v="2026-03-30T00:00:00"/>
    <x v="97"/>
    <x v="598"/>
    <n v="-500"/>
    <n v="-500"/>
    <n v="-500"/>
    <n v="0"/>
    <n v="0"/>
    <n v="0"/>
    <x v="97"/>
    <s v="Concept"/>
  </r>
  <r>
    <s v="RD1106"/>
    <s v="Van Noort Gassler &amp; Co Rotterdam B.V."/>
    <s v="1686"/>
    <x v="49"/>
    <s v="VRK"/>
    <d v="2022-01-12T00:00:00"/>
    <x v="34"/>
    <x v="599"/>
    <n v="2242.38"/>
    <n v="27"/>
    <n v="0"/>
    <n v="0"/>
    <n v="0"/>
    <n v="27"/>
    <x v="34"/>
    <s v="Definitief"/>
  </r>
  <r>
    <s v="RD1106"/>
    <s v="Van Noort Gassler &amp; Co Rotterdam B.V."/>
    <s v="1686"/>
    <x v="49"/>
    <s v="VRK"/>
    <d v="2026-03-31T00:00:00"/>
    <x v="324"/>
    <x v="600"/>
    <n v="500"/>
    <n v="500"/>
    <n v="500"/>
    <n v="0"/>
    <n v="0"/>
    <n v="0"/>
    <x v="324"/>
    <s v="Concept"/>
  </r>
  <r>
    <s v="RD1106"/>
    <s v="Van Noort Gassler &amp; Co Rotterdam B.V."/>
    <s v="1686"/>
    <x v="49"/>
    <s v="VRK"/>
    <d v="2026-04-06T00:00:00"/>
    <x v="98"/>
    <x v="601"/>
    <n v="3278.55"/>
    <n v="3278.55"/>
    <n v="3278.55"/>
    <n v="0"/>
    <n v="0"/>
    <n v="0"/>
    <x v="98"/>
    <s v="Concept"/>
  </r>
  <r>
    <s v="RD1106"/>
    <s v="Van Noort Gassler &amp; Co Rotterdam B.V."/>
    <s v="1686"/>
    <x v="49"/>
    <s v="VRK"/>
    <d v="2026-04-07T00:00:00"/>
    <x v="325"/>
    <x v="602"/>
    <n v="-3278.55"/>
    <n v="-3278.55"/>
    <n v="-3278.55"/>
    <n v="0"/>
    <n v="0"/>
    <n v="0"/>
    <x v="325"/>
    <s v="Concept"/>
  </r>
  <r>
    <s v="RD1106"/>
    <s v="Van Noort Gassler &amp; Co Rotterdam B.V."/>
    <s v="1697"/>
    <x v="50"/>
    <s v="VRK"/>
    <d v="2025-02-03T00:00:00"/>
    <x v="269"/>
    <x v="603"/>
    <n v="363"/>
    <n v="363"/>
    <n v="0"/>
    <n v="0"/>
    <n v="0"/>
    <n v="363"/>
    <x v="269"/>
    <s v="Concept"/>
  </r>
  <r>
    <s v="RD1106"/>
    <s v="Van Noort Gassler &amp; Co Rotterdam B.V."/>
    <s v="1720"/>
    <x v="51"/>
    <s v="MEMO"/>
    <d v="2024-12-31T00:00:00"/>
    <x v="132"/>
    <x v="0"/>
    <n v="-3710.5"/>
    <n v="-3710.5"/>
    <n v="0"/>
    <n v="0"/>
    <n v="0"/>
    <n v="-3710.5"/>
    <x v="132"/>
    <s v="Concept"/>
  </r>
  <r>
    <s v="RD1106"/>
    <s v="Van Noort Gassler &amp; Co Rotterdam B.V."/>
    <s v="1720"/>
    <x v="51"/>
    <s v="MEMO"/>
    <d v="2025-12-31T00:00:00"/>
    <x v="326"/>
    <x v="0"/>
    <n v="-539.5"/>
    <n v="-539.5"/>
    <n v="0"/>
    <n v="0"/>
    <n v="0"/>
    <n v="-539.5"/>
    <x v="326"/>
    <s v="Concept"/>
  </r>
  <r>
    <s v="RD1106"/>
    <s v="Van Noort Gassler &amp; Co Rotterdam B.V."/>
    <s v="1726"/>
    <x v="52"/>
    <s v="VRK"/>
    <d v="2020-10-06T00:00:00"/>
    <x v="17"/>
    <x v="604"/>
    <n v="240.79"/>
    <n v="130.07"/>
    <n v="0"/>
    <n v="0"/>
    <n v="0"/>
    <n v="130.07"/>
    <x v="17"/>
    <s v="Definitief"/>
  </r>
  <r>
    <s v="RD1106"/>
    <s v="Van Noort Gassler &amp; Co Rotterdam B.V."/>
    <s v="1726"/>
    <x v="52"/>
    <s v="VRK"/>
    <d v="2020-11-03T00:00:00"/>
    <x v="18"/>
    <x v="605"/>
    <n v="240.79"/>
    <n v="240.79"/>
    <n v="0"/>
    <n v="0"/>
    <n v="0"/>
    <n v="240.79"/>
    <x v="18"/>
    <s v="Definitief"/>
  </r>
  <r>
    <s v="RD1106"/>
    <s v="Van Noort Gassler &amp; Co Rotterdam B.V."/>
    <s v="1726"/>
    <x v="52"/>
    <s v="VRK"/>
    <d v="2020-12-01T00:00:00"/>
    <x v="19"/>
    <x v="606"/>
    <n v="240.79"/>
    <n v="240.79"/>
    <n v="0"/>
    <n v="0"/>
    <n v="0"/>
    <n v="240.79"/>
    <x v="19"/>
    <s v="Definitief"/>
  </r>
  <r>
    <s v="RD1106"/>
    <s v="Van Noort Gassler &amp; Co Rotterdam B.V."/>
    <s v="1726"/>
    <x v="52"/>
    <s v="VRK"/>
    <d v="2021-01-07T00:00:00"/>
    <x v="21"/>
    <x v="607"/>
    <n v="240.79"/>
    <n v="240.79"/>
    <n v="0"/>
    <n v="0"/>
    <n v="0"/>
    <n v="240.79"/>
    <x v="21"/>
    <s v="Definitief"/>
  </r>
  <r>
    <s v="RD1106"/>
    <s v="Van Noort Gassler &amp; Co Rotterdam B.V."/>
    <s v="1726"/>
    <x v="52"/>
    <s v="VRK"/>
    <d v="2021-02-16T00:00:00"/>
    <x v="22"/>
    <x v="608"/>
    <n v="240.79"/>
    <n v="240.79"/>
    <n v="0"/>
    <n v="0"/>
    <n v="0"/>
    <n v="240.79"/>
    <x v="22"/>
    <s v="Definitief"/>
  </r>
  <r>
    <s v="RD1106"/>
    <s v="Van Noort Gassler &amp; Co Rotterdam B.V."/>
    <s v="1726"/>
    <x v="52"/>
    <s v="VRK"/>
    <d v="2021-03-02T00:00:00"/>
    <x v="23"/>
    <x v="609"/>
    <n v="240.79"/>
    <n v="240.79"/>
    <n v="0"/>
    <n v="0"/>
    <n v="0"/>
    <n v="240.79"/>
    <x v="23"/>
    <s v="Definitief"/>
  </r>
  <r>
    <s v="RD1106"/>
    <s v="Van Noort Gassler &amp; Co Rotterdam B.V."/>
    <s v="1726"/>
    <x v="52"/>
    <s v="VRK"/>
    <d v="2021-03-30T00:00:00"/>
    <x v="309"/>
    <x v="610"/>
    <n v="240.79"/>
    <n v="240.79"/>
    <n v="0"/>
    <n v="0"/>
    <n v="0"/>
    <n v="240.79"/>
    <x v="309"/>
    <s v="Definitief"/>
  </r>
  <r>
    <s v="RD1106"/>
    <s v="Van Noort Gassler &amp; Co Rotterdam B.V."/>
    <s v="1726"/>
    <x v="52"/>
    <s v="VRK"/>
    <d v="2021-06-03T00:00:00"/>
    <x v="327"/>
    <x v="611"/>
    <n v="24.2"/>
    <n v="24.2"/>
    <n v="0"/>
    <n v="0"/>
    <n v="0"/>
    <n v="24.2"/>
    <x v="327"/>
    <s v="Definitief"/>
  </r>
  <r>
    <s v="RD1106"/>
    <s v="Van Noort Gassler &amp; Co Rotterdam B.V."/>
    <s v="1762"/>
    <x v="53"/>
    <s v="VRK"/>
    <d v="2017-08-01T00:00:00"/>
    <x v="316"/>
    <x v="612"/>
    <n v="3708.68"/>
    <n v="2571.33"/>
    <n v="0"/>
    <n v="0"/>
    <n v="0"/>
    <n v="2571.33"/>
    <x v="316"/>
    <s v="Definitief"/>
  </r>
  <r>
    <s v="RD1106"/>
    <s v="Van Noort Gassler &amp; Co Rotterdam B.V."/>
    <s v="1783"/>
    <x v="54"/>
    <s v="VRK"/>
    <d v="2019-08-02T00:00:00"/>
    <x v="328"/>
    <x v="613"/>
    <n v="4640.37"/>
    <n v="4640.37"/>
    <n v="0"/>
    <n v="0"/>
    <n v="0"/>
    <n v="4640.37"/>
    <x v="328"/>
    <s v="Definitief"/>
  </r>
  <r>
    <s v="RD1106"/>
    <s v="Van Noort Gassler &amp; Co Rotterdam B.V."/>
    <s v="1859"/>
    <x v="55"/>
    <s v="VRK"/>
    <d v="2023-05-02T00:00:00"/>
    <x v="252"/>
    <x v="614"/>
    <n v="180.29"/>
    <n v="180.29"/>
    <n v="0"/>
    <n v="0"/>
    <n v="0"/>
    <n v="180.29"/>
    <x v="252"/>
    <s v="Definitief"/>
  </r>
  <r>
    <s v="RD1106"/>
    <s v="Van Noort Gassler &amp; Co Rotterdam B.V."/>
    <s v="1859"/>
    <x v="55"/>
    <s v="VRK"/>
    <d v="2023-06-05T00:00:00"/>
    <x v="223"/>
    <x v="615"/>
    <n v="180.29"/>
    <n v="180.29"/>
    <n v="0"/>
    <n v="0"/>
    <n v="0"/>
    <n v="180.29"/>
    <x v="223"/>
    <s v="Definitief"/>
  </r>
  <r>
    <s v="RD1106"/>
    <s v="Van Noort Gassler &amp; Co Rotterdam B.V."/>
    <s v="1859"/>
    <x v="55"/>
    <s v="VRK"/>
    <d v="2023-07-03T00:00:00"/>
    <x v="224"/>
    <x v="616"/>
    <n v="180.29"/>
    <n v="180.29"/>
    <n v="0"/>
    <n v="0"/>
    <n v="0"/>
    <n v="180.29"/>
    <x v="224"/>
    <s v="Definitief"/>
  </r>
  <r>
    <s v="RD1106"/>
    <s v="Van Noort Gassler &amp; Co Rotterdam B.V."/>
    <s v="1859"/>
    <x v="55"/>
    <s v="VRK"/>
    <d v="2023-08-03T00:00:00"/>
    <x v="226"/>
    <x v="617"/>
    <n v="180.29"/>
    <n v="180.29"/>
    <n v="0"/>
    <n v="0"/>
    <n v="0"/>
    <n v="180.29"/>
    <x v="226"/>
    <s v="Definitief"/>
  </r>
  <r>
    <s v="RD1106"/>
    <s v="Van Noort Gassler &amp; Co Rotterdam B.V."/>
    <s v="1859"/>
    <x v="55"/>
    <s v="VRK"/>
    <d v="2023-09-05T00:00:00"/>
    <x v="253"/>
    <x v="618"/>
    <n v="180.29"/>
    <n v="180.29"/>
    <n v="0"/>
    <n v="0"/>
    <n v="0"/>
    <n v="180.29"/>
    <x v="253"/>
    <s v="Definitief"/>
  </r>
  <r>
    <s v="RD1106"/>
    <s v="Van Noort Gassler &amp; Co Rotterdam B.V."/>
    <s v="1859"/>
    <x v="55"/>
    <s v="VRK"/>
    <d v="2023-10-03T00:00:00"/>
    <x v="254"/>
    <x v="619"/>
    <n v="180.29"/>
    <n v="180.29"/>
    <n v="0"/>
    <n v="0"/>
    <n v="0"/>
    <n v="180.29"/>
    <x v="254"/>
    <s v="Definitief"/>
  </r>
  <r>
    <s v="RD1106"/>
    <s v="Van Noort Gassler &amp; Co Rotterdam B.V."/>
    <s v="1859"/>
    <x v="55"/>
    <s v="VRK"/>
    <d v="2024-01-04T00:00:00"/>
    <x v="257"/>
    <x v="620"/>
    <n v="180.29"/>
    <n v="180.29"/>
    <n v="0"/>
    <n v="0"/>
    <n v="0"/>
    <n v="180.29"/>
    <x v="257"/>
    <s v="Concept"/>
  </r>
  <r>
    <s v="RD1106"/>
    <s v="Van Noort Gassler &amp; Co Rotterdam B.V."/>
    <s v="1859"/>
    <x v="55"/>
    <s v="VRK"/>
    <d v="2024-04-04T00:00:00"/>
    <x v="260"/>
    <x v="621"/>
    <n v="180.29"/>
    <n v="180.29"/>
    <n v="0"/>
    <n v="0"/>
    <n v="0"/>
    <n v="180.29"/>
    <x v="260"/>
    <s v="Concept"/>
  </r>
  <r>
    <s v="RD1106"/>
    <s v="Van Noort Gassler &amp; Co Rotterdam B.V."/>
    <s v="1859"/>
    <x v="55"/>
    <s v="VRK"/>
    <d v="2024-05-06T00:00:00"/>
    <x v="261"/>
    <x v="622"/>
    <n v="180.29"/>
    <n v="180.29"/>
    <n v="0"/>
    <n v="0"/>
    <n v="0"/>
    <n v="180.29"/>
    <x v="261"/>
    <s v="Concept"/>
  </r>
  <r>
    <s v="RD1106"/>
    <s v="Van Noort Gassler &amp; Co Rotterdam B.V."/>
    <s v="1859"/>
    <x v="55"/>
    <s v="VRK"/>
    <d v="2024-06-03T00:00:00"/>
    <x v="262"/>
    <x v="623"/>
    <n v="180.29"/>
    <n v="180.29"/>
    <n v="0"/>
    <n v="0"/>
    <n v="0"/>
    <n v="180.29"/>
    <x v="262"/>
    <s v="Concept"/>
  </r>
  <r>
    <s v="RD1106"/>
    <s v="Van Noort Gassler &amp; Co Rotterdam B.V."/>
    <s v="1859"/>
    <x v="55"/>
    <s v="VRK"/>
    <d v="2024-10-07T00:00:00"/>
    <x v="266"/>
    <x v="624"/>
    <n v="180.29"/>
    <n v="180.29"/>
    <n v="0"/>
    <n v="0"/>
    <n v="0"/>
    <n v="180.29"/>
    <x v="266"/>
    <s v="Concept"/>
  </r>
  <r>
    <s v="RD1106"/>
    <s v="Van Noort Gassler &amp; Co Rotterdam B.V."/>
    <s v="1859"/>
    <x v="55"/>
    <s v="VRK"/>
    <d v="2024-11-04T00:00:00"/>
    <x v="267"/>
    <x v="625"/>
    <n v="180.29"/>
    <n v="180.29"/>
    <n v="0"/>
    <n v="0"/>
    <n v="0"/>
    <n v="180.29"/>
    <x v="267"/>
    <s v="Concept"/>
  </r>
  <r>
    <s v="RD1106"/>
    <s v="Van Noort Gassler &amp; Co Rotterdam B.V."/>
    <s v="1859"/>
    <x v="55"/>
    <s v="VRK"/>
    <d v="2024-12-02T00:00:00"/>
    <x v="268"/>
    <x v="626"/>
    <n v="180.29"/>
    <n v="180.29"/>
    <n v="0"/>
    <n v="0"/>
    <n v="0"/>
    <n v="180.29"/>
    <x v="268"/>
    <s v="Concept"/>
  </r>
  <r>
    <s v="RD1106"/>
    <s v="Van Noort Gassler &amp; Co Rotterdam B.V."/>
    <s v="1859"/>
    <x v="55"/>
    <s v="VRK"/>
    <d v="2026-03-27T00:00:00"/>
    <x v="329"/>
    <x v="627"/>
    <n v="907.5"/>
    <n v="907.5"/>
    <n v="0"/>
    <n v="907.5"/>
    <n v="0"/>
    <n v="0"/>
    <x v="329"/>
    <s v="Concept"/>
  </r>
  <r>
    <s v="RD1106"/>
    <s v="Van Noort Gassler &amp; Co Rotterdam B.V."/>
    <s v="1860"/>
    <x v="56"/>
    <s v="VRK"/>
    <d v="2024-11-04T00:00:00"/>
    <x v="267"/>
    <x v="628"/>
    <n v="363"/>
    <n v="363"/>
    <n v="0"/>
    <n v="0"/>
    <n v="0"/>
    <n v="363"/>
    <x v="267"/>
    <s v="Concept"/>
  </r>
  <r>
    <s v="RD1106"/>
    <s v="Van Noort Gassler &amp; Co Rotterdam B.V."/>
    <s v="1860"/>
    <x v="56"/>
    <s v="VRK"/>
    <d v="2024-12-02T00:00:00"/>
    <x v="268"/>
    <x v="629"/>
    <n v="363"/>
    <n v="363"/>
    <n v="0"/>
    <n v="0"/>
    <n v="0"/>
    <n v="363"/>
    <x v="268"/>
    <s v="Concept"/>
  </r>
  <r>
    <s v="RD1106"/>
    <s v="Van Noort Gassler &amp; Co Rotterdam B.V."/>
    <s v="1860"/>
    <x v="56"/>
    <s v="VRK"/>
    <d v="2025-01-16T00:00:00"/>
    <x v="132"/>
    <x v="630"/>
    <n v="30.25"/>
    <n v="30.25"/>
    <n v="0"/>
    <n v="0"/>
    <n v="0"/>
    <n v="30.25"/>
    <x v="132"/>
    <s v="Concept"/>
  </r>
  <r>
    <s v="RD1106"/>
    <s v="Van Noort Gassler &amp; Co Rotterdam B.V."/>
    <s v="1860"/>
    <x v="56"/>
    <s v="VRK"/>
    <d v="2025-03-10T00:00:00"/>
    <x v="296"/>
    <x v="631"/>
    <n v="605"/>
    <n v="605"/>
    <n v="0"/>
    <n v="0"/>
    <n v="0"/>
    <n v="605"/>
    <x v="296"/>
    <s v="Concept"/>
  </r>
  <r>
    <s v="RD1106"/>
    <s v="Van Noort Gassler &amp; Co Rotterdam B.V."/>
    <s v="1860"/>
    <x v="56"/>
    <s v="VRK"/>
    <d v="2026-03-23T00:00:00"/>
    <x v="330"/>
    <x v="632"/>
    <n v="605"/>
    <n v="605"/>
    <n v="0"/>
    <n v="605"/>
    <n v="0"/>
    <n v="0"/>
    <x v="330"/>
    <s v="Concept"/>
  </r>
  <r>
    <s v="RD1106"/>
    <s v="Van Noort Gassler &amp; Co Rotterdam B.V."/>
    <s v="1860"/>
    <x v="56"/>
    <s v="VRK"/>
    <d v="2026-03-27T00:00:00"/>
    <x v="329"/>
    <x v="633"/>
    <n v="605"/>
    <n v="605"/>
    <n v="0"/>
    <n v="605"/>
    <n v="0"/>
    <n v="0"/>
    <x v="329"/>
    <s v="Concept"/>
  </r>
  <r>
    <s v="RD1106"/>
    <s v="Van Noort Gassler &amp; Co Rotterdam B.V."/>
    <s v="1860"/>
    <x v="56"/>
    <s v="VRK"/>
    <d v="2026-03-27T00:00:00"/>
    <x v="329"/>
    <x v="634"/>
    <n v="585.34"/>
    <n v="585.34"/>
    <n v="0"/>
    <n v="585.34"/>
    <n v="0"/>
    <n v="0"/>
    <x v="329"/>
    <s v="Concept"/>
  </r>
  <r>
    <s v="RD1106"/>
    <s v="Van Noort Gassler &amp; Co Rotterdam B.V."/>
    <s v="1862"/>
    <x v="57"/>
    <s v="VRK"/>
    <d v="2025-03-10T00:00:00"/>
    <x v="141"/>
    <x v="635"/>
    <n v="4887.3100000000004"/>
    <n v="4887.3100000000004"/>
    <n v="0"/>
    <n v="0"/>
    <n v="0"/>
    <n v="4887.3100000000004"/>
    <x v="141"/>
    <s v="Concept"/>
  </r>
  <r>
    <s v="RD1106"/>
    <s v="Van Noort Gassler &amp; Co Rotterdam B.V."/>
    <s v="1862"/>
    <x v="57"/>
    <s v="VRK"/>
    <d v="2026-03-23T00:00:00"/>
    <x v="198"/>
    <x v="636"/>
    <n v="3637.87"/>
    <n v="3637.87"/>
    <n v="0"/>
    <n v="3637.87"/>
    <n v="0"/>
    <n v="0"/>
    <x v="198"/>
    <s v="Concept"/>
  </r>
  <r>
    <s v="RD1106"/>
    <s v="Van Noort Gassler &amp; Co Rotterdam B.V."/>
    <s v="1862"/>
    <x v="57"/>
    <s v="VRK"/>
    <d v="2026-03-23T00:00:00"/>
    <x v="198"/>
    <x v="637"/>
    <n v="21.05"/>
    <n v="21.05"/>
    <n v="0"/>
    <n v="21.05"/>
    <n v="0"/>
    <n v="0"/>
    <x v="198"/>
    <s v="Concept"/>
  </r>
  <r>
    <s v="RD1106"/>
    <s v="Van Noort Gassler &amp; Co Rotterdam B.V."/>
    <s v="1862"/>
    <x v="57"/>
    <s v="VRK"/>
    <d v="2026-04-06T00:00:00"/>
    <x v="98"/>
    <x v="638"/>
    <n v="363"/>
    <n v="363"/>
    <n v="363"/>
    <n v="0"/>
    <n v="0"/>
    <n v="0"/>
    <x v="98"/>
    <s v="Concept"/>
  </r>
  <r>
    <s v="RD1106"/>
    <s v="Van Noort Gassler &amp; Co Rotterdam B.V."/>
    <s v="1862"/>
    <x v="57"/>
    <s v="VRK"/>
    <d v="2026-04-06T00:00:00"/>
    <x v="98"/>
    <x v="639"/>
    <n v="2117.5"/>
    <n v="2117.5"/>
    <n v="2117.5"/>
    <n v="0"/>
    <n v="0"/>
    <n v="0"/>
    <x v="98"/>
    <s v="Concept"/>
  </r>
  <r>
    <s v="RD1106"/>
    <s v="Van Noort Gassler &amp; Co Rotterdam B.V."/>
    <s v="1862"/>
    <x v="57"/>
    <s v="VRK"/>
    <d v="2026-04-06T00:00:00"/>
    <x v="98"/>
    <x v="640"/>
    <n v="121"/>
    <n v="121"/>
    <n v="121"/>
    <n v="0"/>
    <n v="0"/>
    <n v="0"/>
    <x v="98"/>
    <s v="Concept"/>
  </r>
  <r>
    <s v="RD1106"/>
    <s v="Van Noort Gassler &amp; Co Rotterdam B.V."/>
    <s v="1862"/>
    <x v="57"/>
    <s v="VRK"/>
    <d v="2026-04-06T00:00:00"/>
    <x v="98"/>
    <x v="641"/>
    <n v="39.33"/>
    <n v="39.33"/>
    <n v="39.33"/>
    <n v="0"/>
    <n v="0"/>
    <n v="0"/>
    <x v="98"/>
    <s v="Concept"/>
  </r>
  <r>
    <s v="RD1106"/>
    <s v="Van Noort Gassler &amp; Co Rotterdam B.V."/>
    <s v="1865"/>
    <x v="58"/>
    <s v="VRK"/>
    <d v="2020-02-04T00:00:00"/>
    <x v="234"/>
    <x v="642"/>
    <n v="240.79"/>
    <n v="185.27"/>
    <n v="0"/>
    <n v="0"/>
    <n v="0"/>
    <n v="185.27"/>
    <x v="234"/>
    <s v="Definitief"/>
  </r>
  <r>
    <s v="RD1106"/>
    <s v="Van Noort Gassler &amp; Co Rotterdam B.V."/>
    <s v="1865"/>
    <x v="58"/>
    <s v="VRK"/>
    <d v="2020-02-19T00:00:00"/>
    <x v="235"/>
    <x v="643"/>
    <n v="30.25"/>
    <n v="30.25"/>
    <n v="0"/>
    <n v="0"/>
    <n v="0"/>
    <n v="30.25"/>
    <x v="235"/>
    <s v="Definitief"/>
  </r>
  <r>
    <s v="RD1106"/>
    <s v="Van Noort Gassler &amp; Co Rotterdam B.V."/>
    <s v="1865"/>
    <x v="58"/>
    <s v="VRK"/>
    <d v="2020-03-03T00:00:00"/>
    <x v="236"/>
    <x v="644"/>
    <n v="240.79"/>
    <n v="240.79"/>
    <n v="0"/>
    <n v="0"/>
    <n v="0"/>
    <n v="240.79"/>
    <x v="236"/>
    <s v="Definitief"/>
  </r>
  <r>
    <s v="RD1106"/>
    <s v="Van Noort Gassler &amp; Co Rotterdam B.V."/>
    <s v="1865"/>
    <x v="58"/>
    <s v="VRK"/>
    <d v="2020-03-09T00:00:00"/>
    <x v="308"/>
    <x v="645"/>
    <n v="30.25"/>
    <n v="30.25"/>
    <n v="0"/>
    <n v="0"/>
    <n v="0"/>
    <n v="30.25"/>
    <x v="308"/>
    <s v="Definitief"/>
  </r>
  <r>
    <s v="RD1106"/>
    <s v="Van Noort Gassler &amp; Co Rotterdam B.V."/>
    <s v="1865"/>
    <x v="58"/>
    <s v="VRK"/>
    <d v="2020-04-07T00:00:00"/>
    <x v="238"/>
    <x v="646"/>
    <n v="240.79"/>
    <n v="240.79"/>
    <n v="0"/>
    <n v="0"/>
    <n v="0"/>
    <n v="240.79"/>
    <x v="238"/>
    <s v="Definitief"/>
  </r>
  <r>
    <s v="RD1106"/>
    <s v="Van Noort Gassler &amp; Co Rotterdam B.V."/>
    <s v="1865"/>
    <x v="58"/>
    <s v="VRK"/>
    <d v="2020-12-01T00:00:00"/>
    <x v="219"/>
    <x v="647"/>
    <n v="30.25"/>
    <n v="30.25"/>
    <n v="0"/>
    <n v="0"/>
    <n v="0"/>
    <n v="30.25"/>
    <x v="219"/>
    <s v="Definitief"/>
  </r>
  <r>
    <s v="RD1106"/>
    <s v="Van Noort Gassler &amp; Co Rotterdam B.V."/>
    <s v="1866"/>
    <x v="59"/>
    <s v="VRK"/>
    <d v="2019-11-05T00:00:00"/>
    <x v="232"/>
    <x v="648"/>
    <n v="240.79"/>
    <n v="179.49"/>
    <n v="0"/>
    <n v="0"/>
    <n v="0"/>
    <n v="179.49"/>
    <x v="232"/>
    <s v="Definitief"/>
  </r>
  <r>
    <s v="RD1106"/>
    <s v="Van Noort Gassler &amp; Co Rotterdam B.V."/>
    <s v="1866"/>
    <x v="59"/>
    <s v="VRK"/>
    <d v="2019-12-03T00:00:00"/>
    <x v="233"/>
    <x v="649"/>
    <n v="240.79"/>
    <n v="240.79"/>
    <n v="0"/>
    <n v="0"/>
    <n v="0"/>
    <n v="240.79"/>
    <x v="233"/>
    <s v="Definitief"/>
  </r>
  <r>
    <s v="RD1106"/>
    <s v="Van Noort Gassler &amp; Co Rotterdam B.V."/>
    <s v="1866"/>
    <x v="59"/>
    <s v="VRK"/>
    <d v="2019-12-31T00:00:00"/>
    <x v="7"/>
    <x v="650"/>
    <n v="1089.02"/>
    <n v="1089.02"/>
    <n v="0"/>
    <n v="0"/>
    <n v="0"/>
    <n v="1089.02"/>
    <x v="7"/>
    <s v="Definitief"/>
  </r>
  <r>
    <s v="RD1106"/>
    <s v="Van Noort Gassler &amp; Co Rotterdam B.V."/>
    <s v="1866"/>
    <x v="59"/>
    <s v="VRK"/>
    <d v="2020-02-04T00:00:00"/>
    <x v="8"/>
    <x v="651"/>
    <n v="240.79"/>
    <n v="240.79"/>
    <n v="0"/>
    <n v="0"/>
    <n v="0"/>
    <n v="240.79"/>
    <x v="8"/>
    <s v="Definitief"/>
  </r>
  <r>
    <s v="RD1106"/>
    <s v="Van Noort Gassler &amp; Co Rotterdam B.V."/>
    <s v="1866"/>
    <x v="59"/>
    <s v="VRK"/>
    <d v="2020-02-04T00:00:00"/>
    <x v="8"/>
    <x v="652"/>
    <n v="240.79"/>
    <n v="240.79"/>
    <n v="0"/>
    <n v="0"/>
    <n v="0"/>
    <n v="240.79"/>
    <x v="8"/>
    <s v="Definitief"/>
  </r>
  <r>
    <s v="RD1106"/>
    <s v="Van Noort Gassler &amp; Co Rotterdam B.V."/>
    <s v="1866"/>
    <x v="59"/>
    <s v="VRK"/>
    <d v="2020-03-03T00:00:00"/>
    <x v="9"/>
    <x v="653"/>
    <n v="240.79"/>
    <n v="240.79"/>
    <n v="0"/>
    <n v="0"/>
    <n v="0"/>
    <n v="240.79"/>
    <x v="9"/>
    <s v="Definitief"/>
  </r>
  <r>
    <s v="RD1106"/>
    <s v="Van Noort Gassler &amp; Co Rotterdam B.V."/>
    <s v="1866"/>
    <x v="59"/>
    <s v="VRK"/>
    <d v="2020-04-07T00:00:00"/>
    <x v="10"/>
    <x v="654"/>
    <n v="240.79"/>
    <n v="240.79"/>
    <n v="0"/>
    <n v="0"/>
    <n v="0"/>
    <n v="240.79"/>
    <x v="10"/>
    <s v="Definitief"/>
  </r>
  <r>
    <s v="RD1106"/>
    <s v="Van Noort Gassler &amp; Co Rotterdam B.V."/>
    <s v="1866"/>
    <x v="59"/>
    <s v="VRK"/>
    <d v="2020-04-22T00:00:00"/>
    <x v="331"/>
    <x v="655"/>
    <n v="2265.12"/>
    <n v="2265.12"/>
    <n v="0"/>
    <n v="0"/>
    <n v="0"/>
    <n v="2265.12"/>
    <x v="331"/>
    <s v="Definitief"/>
  </r>
  <r>
    <s v="RD1106"/>
    <s v="Van Noort Gassler &amp; Co Rotterdam B.V."/>
    <s v="1868"/>
    <x v="60"/>
    <s v="VRK"/>
    <d v="2025-02-03T00:00:00"/>
    <x v="269"/>
    <x v="656"/>
    <n v="347.88"/>
    <n v="347.88"/>
    <n v="0"/>
    <n v="0"/>
    <n v="0"/>
    <n v="347.88"/>
    <x v="269"/>
    <s v="Concept"/>
  </r>
  <r>
    <s v="RD1106"/>
    <s v="Van Noort Gassler &amp; Co Rotterdam B.V."/>
    <s v="1868"/>
    <x v="60"/>
    <s v="VRK"/>
    <d v="2025-02-27T00:00:00"/>
    <x v="202"/>
    <x v="657"/>
    <n v="4142.2299999999996"/>
    <n v="4142.2299999999996"/>
    <n v="0"/>
    <n v="0"/>
    <n v="0"/>
    <n v="4142.2299999999996"/>
    <x v="202"/>
    <s v="Concept"/>
  </r>
  <r>
    <s v="RD1106"/>
    <s v="Van Noort Gassler &amp; Co Rotterdam B.V."/>
    <s v="1868"/>
    <x v="60"/>
    <s v="VRK"/>
    <d v="2025-02-27T00:00:00"/>
    <x v="202"/>
    <x v="658"/>
    <n v="1391.5"/>
    <n v="1391.5"/>
    <n v="0"/>
    <n v="0"/>
    <n v="0"/>
    <n v="1391.5"/>
    <x v="202"/>
    <s v="Concept"/>
  </r>
  <r>
    <s v="RD1106"/>
    <s v="Van Noort Gassler &amp; Co Rotterdam B.V."/>
    <s v="1868"/>
    <x v="60"/>
    <s v="VRK"/>
    <d v="2025-02-27T00:00:00"/>
    <x v="202"/>
    <x v="659"/>
    <n v="1391.5"/>
    <n v="391.5"/>
    <n v="0"/>
    <n v="0"/>
    <n v="0"/>
    <n v="391.5"/>
    <x v="202"/>
    <s v="Concept"/>
  </r>
  <r>
    <s v="RD1106"/>
    <s v="Van Noort Gassler &amp; Co Rotterdam B.V."/>
    <s v="1868"/>
    <x v="60"/>
    <s v="VRK"/>
    <d v="2025-03-05T00:00:00"/>
    <x v="270"/>
    <x v="660"/>
    <n v="347.88"/>
    <n v="347.88"/>
    <n v="0"/>
    <n v="0"/>
    <n v="0"/>
    <n v="347.88"/>
    <x v="270"/>
    <s v="Concept"/>
  </r>
  <r>
    <s v="RD1106"/>
    <s v="Van Noort Gassler &amp; Co Rotterdam B.V."/>
    <s v="1868"/>
    <x v="60"/>
    <s v="VRK"/>
    <d v="2025-03-31T00:00:00"/>
    <x v="332"/>
    <x v="661"/>
    <n v="1061.17"/>
    <n v="1061.17"/>
    <n v="0"/>
    <n v="0"/>
    <n v="0"/>
    <n v="1061.17"/>
    <x v="332"/>
    <s v="Concept"/>
  </r>
  <r>
    <s v="RD1106"/>
    <s v="Van Noort Gassler &amp; Co Rotterdam B.V."/>
    <s v="1868"/>
    <x v="60"/>
    <s v="VRK"/>
    <d v="2025-04-03T00:00:00"/>
    <x v="271"/>
    <x v="662"/>
    <n v="347.88"/>
    <n v="347.88"/>
    <n v="0"/>
    <n v="0"/>
    <n v="0"/>
    <n v="347.88"/>
    <x v="271"/>
    <s v="Concept"/>
  </r>
  <r>
    <s v="RD1106"/>
    <s v="Van Noort Gassler &amp; Co Rotterdam B.V."/>
    <s v="1868"/>
    <x v="60"/>
    <s v="VRK"/>
    <d v="2025-05-05T00:00:00"/>
    <x v="272"/>
    <x v="663"/>
    <n v="347.88"/>
    <n v="347.88"/>
    <n v="0"/>
    <n v="0"/>
    <n v="0"/>
    <n v="347.88"/>
    <x v="272"/>
    <s v="Concept"/>
  </r>
  <r>
    <s v="RD1106"/>
    <s v="Van Noort Gassler &amp; Co Rotterdam B.V."/>
    <s v="1868"/>
    <x v="60"/>
    <s v="VRK"/>
    <d v="2025-06-02T00:00:00"/>
    <x v="273"/>
    <x v="664"/>
    <n v="347.88"/>
    <n v="347.88"/>
    <n v="0"/>
    <n v="0"/>
    <n v="0"/>
    <n v="347.88"/>
    <x v="273"/>
    <s v="Concept"/>
  </r>
  <r>
    <s v="RD1106"/>
    <s v="Van Noort Gassler &amp; Co Rotterdam B.V."/>
    <s v="1868"/>
    <x v="60"/>
    <s v="VRK"/>
    <d v="2025-07-01T00:00:00"/>
    <x v="274"/>
    <x v="665"/>
    <n v="347.88"/>
    <n v="347.88"/>
    <n v="0"/>
    <n v="0"/>
    <n v="0"/>
    <n v="347.88"/>
    <x v="274"/>
    <s v="Concept"/>
  </r>
  <r>
    <s v="RD1106"/>
    <s v="Van Noort Gassler &amp; Co Rotterdam B.V."/>
    <s v="1868"/>
    <x v="60"/>
    <s v="VRK"/>
    <d v="2025-08-04T00:00:00"/>
    <x v="275"/>
    <x v="666"/>
    <n v="347.88"/>
    <n v="347.88"/>
    <n v="0"/>
    <n v="0"/>
    <n v="0"/>
    <n v="347.88"/>
    <x v="275"/>
    <s v="Concept"/>
  </r>
  <r>
    <s v="RD1106"/>
    <s v="Van Noort Gassler &amp; Co Rotterdam B.V."/>
    <s v="1868"/>
    <x v="60"/>
    <s v="VRK"/>
    <d v="2025-09-01T00:00:00"/>
    <x v="276"/>
    <x v="667"/>
    <n v="347.88"/>
    <n v="347.88"/>
    <n v="0"/>
    <n v="0"/>
    <n v="0"/>
    <n v="347.88"/>
    <x v="276"/>
    <s v="Concept"/>
  </r>
  <r>
    <s v="RD1106"/>
    <s v="Van Noort Gassler &amp; Co Rotterdam B.V."/>
    <s v="1868"/>
    <x v="60"/>
    <s v="VRK"/>
    <d v="2025-10-06T00:00:00"/>
    <x v="277"/>
    <x v="668"/>
    <n v="347.88"/>
    <n v="347.88"/>
    <n v="0"/>
    <n v="0"/>
    <n v="0"/>
    <n v="347.88"/>
    <x v="277"/>
    <s v="Concept"/>
  </r>
  <r>
    <s v="RD1106"/>
    <s v="Van Noort Gassler &amp; Co Rotterdam B.V."/>
    <s v="1868"/>
    <x v="60"/>
    <s v="VRK"/>
    <d v="2025-11-05T00:00:00"/>
    <x v="278"/>
    <x v="669"/>
    <n v="347.88"/>
    <n v="347.88"/>
    <n v="0"/>
    <n v="0"/>
    <n v="0"/>
    <n v="347.88"/>
    <x v="278"/>
    <s v="Concept"/>
  </r>
  <r>
    <s v="RD1106"/>
    <s v="Van Noort Gassler &amp; Co Rotterdam B.V."/>
    <s v="1868"/>
    <x v="60"/>
    <s v="VRK"/>
    <d v="2025-12-02T00:00:00"/>
    <x v="279"/>
    <x v="670"/>
    <n v="347.88"/>
    <n v="347.88"/>
    <n v="0"/>
    <n v="0"/>
    <n v="0"/>
    <n v="347.88"/>
    <x v="279"/>
    <s v="Concept"/>
  </r>
  <r>
    <s v="RD1106"/>
    <s v="Van Noort Gassler &amp; Co Rotterdam B.V."/>
    <s v="1868"/>
    <x v="60"/>
    <s v="VRK"/>
    <d v="2026-01-08T00:00:00"/>
    <x v="207"/>
    <x v="671"/>
    <n v="347.88"/>
    <n v="347.88"/>
    <n v="0"/>
    <n v="0"/>
    <n v="0"/>
    <n v="347.88"/>
    <x v="207"/>
    <s v="Concept"/>
  </r>
  <r>
    <s v="RD1106"/>
    <s v="Van Noort Gassler &amp; Co Rotterdam B.V."/>
    <s v="1868"/>
    <x v="60"/>
    <s v="VRK"/>
    <d v="2026-02-02T00:00:00"/>
    <x v="280"/>
    <x v="672"/>
    <n v="347.88"/>
    <n v="347.88"/>
    <n v="0"/>
    <n v="0"/>
    <n v="0"/>
    <n v="347.88"/>
    <x v="280"/>
    <s v="Concept"/>
  </r>
  <r>
    <s v="RD1106"/>
    <s v="Van Noort Gassler &amp; Co Rotterdam B.V."/>
    <s v="1868"/>
    <x v="60"/>
    <s v="VRK"/>
    <d v="2026-03-04T00:00:00"/>
    <x v="281"/>
    <x v="673"/>
    <n v="347.88"/>
    <n v="347.88"/>
    <n v="0"/>
    <n v="0"/>
    <n v="347.88"/>
    <n v="0"/>
    <x v="281"/>
    <s v="Concept"/>
  </r>
  <r>
    <s v="RD1106"/>
    <s v="Van Noort Gassler &amp; Co Rotterdam B.V."/>
    <s v="1868"/>
    <x v="60"/>
    <s v="VRK"/>
    <d v="2026-04-06T00:00:00"/>
    <x v="282"/>
    <x v="674"/>
    <n v="347.88"/>
    <n v="347.88"/>
    <n v="0"/>
    <n v="347.88"/>
    <n v="0"/>
    <n v="0"/>
    <x v="282"/>
    <s v="Concept"/>
  </r>
  <r>
    <s v="RD1106"/>
    <s v="Van Noort Gassler &amp; Co Rotterdam B.V."/>
    <s v="1868"/>
    <x v="60"/>
    <s v="VRK"/>
    <d v="2026-05-06T00:00:00"/>
    <x v="283"/>
    <x v="675"/>
    <n v="347.88"/>
    <n v="347.88"/>
    <n v="347.88"/>
    <n v="0"/>
    <n v="0"/>
    <n v="0"/>
    <x v="283"/>
    <s v="Concept"/>
  </r>
  <r>
    <s v="RD1106"/>
    <s v="Van Noort Gassler &amp; Co Rotterdam B.V."/>
    <s v="1874"/>
    <x v="61"/>
    <s v="VRK"/>
    <d v="2023-03-27T00:00:00"/>
    <x v="333"/>
    <x v="676"/>
    <n v="453.75"/>
    <n v="453.75"/>
    <n v="0"/>
    <n v="0"/>
    <n v="0"/>
    <n v="453.75"/>
    <x v="333"/>
    <s v="Definitief"/>
  </r>
  <r>
    <s v="RD1106"/>
    <s v="Van Noort Gassler &amp; Co Rotterdam B.V."/>
    <s v="1983"/>
    <x v="62"/>
    <s v="VRK"/>
    <d v="2026-03-13T00:00:00"/>
    <x v="187"/>
    <x v="677"/>
    <n v="453.75"/>
    <n v="453.75"/>
    <n v="0"/>
    <n v="453.75"/>
    <n v="0"/>
    <n v="0"/>
    <x v="187"/>
    <s v="Concept"/>
  </r>
  <r>
    <s v="RD1106"/>
    <s v="Van Noort Gassler &amp; Co Rotterdam B.V."/>
    <s v="1983"/>
    <x v="62"/>
    <s v="VRK"/>
    <d v="2026-03-13T00:00:00"/>
    <x v="187"/>
    <x v="678"/>
    <n v="544.5"/>
    <n v="544.5"/>
    <n v="0"/>
    <n v="544.5"/>
    <n v="0"/>
    <n v="0"/>
    <x v="187"/>
    <s v="Concept"/>
  </r>
  <r>
    <s v="RD1106"/>
    <s v="Van Noort Gassler &amp; Co Rotterdam B.V."/>
    <s v="RD4132"/>
    <x v="63"/>
    <s v="BNK"/>
    <d v="2025-06-30T00:00:00"/>
    <x v="334"/>
    <x v="0"/>
    <n v="-19360"/>
    <n v="-19360"/>
    <n v="0"/>
    <n v="0"/>
    <n v="0"/>
    <n v="-19360"/>
    <x v="334"/>
    <s v="Concept"/>
  </r>
  <r>
    <s v="RD1106"/>
    <s v="Van Noort Gassler &amp; Co Rotterdam B.V."/>
    <s v="RD4132"/>
    <x v="63"/>
    <s v="BNK"/>
    <d v="2025-06-30T00:00:00"/>
    <x v="334"/>
    <x v="0"/>
    <n v="-17545"/>
    <n v="-17545"/>
    <n v="0"/>
    <n v="0"/>
    <n v="0"/>
    <n v="-17545"/>
    <x v="334"/>
    <s v="Concept"/>
  </r>
  <r>
    <s v="RD1106"/>
    <s v="Van Noort Gassler &amp; Co Rotterdam B.V."/>
    <s v="RD4530"/>
    <x v="64"/>
    <s v="VRK"/>
    <d v="2026-02-09T00:00:00"/>
    <x v="184"/>
    <x v="679"/>
    <n v="484"/>
    <n v="484"/>
    <n v="0"/>
    <n v="0"/>
    <n v="484"/>
    <n v="0"/>
    <x v="184"/>
    <s v="Concept"/>
  </r>
  <r>
    <s v="RD1106"/>
    <s v="Van Noort Gassler &amp; Co Rotterdam B.V."/>
    <s v="RD4531"/>
    <x v="65"/>
    <s v="VRK"/>
    <d v="2026-02-09T00:00:00"/>
    <x v="184"/>
    <x v="680"/>
    <n v="484"/>
    <n v="484"/>
    <n v="0"/>
    <n v="0"/>
    <n v="484"/>
    <n v="0"/>
    <x v="184"/>
    <s v="Concept"/>
  </r>
  <r>
    <s v="RD1106"/>
    <s v="Van Noort Gassler &amp; Co Rotterdam B.V."/>
    <s v="RD4533"/>
    <x v="66"/>
    <s v="VRK"/>
    <d v="2026-04-13T00:00:00"/>
    <x v="335"/>
    <x v="681"/>
    <n v="5747.5"/>
    <n v="5747.5"/>
    <n v="5747.5"/>
    <n v="0"/>
    <n v="0"/>
    <n v="0"/>
    <x v="335"/>
    <s v="Concept"/>
  </r>
  <r>
    <s v="RD1106"/>
    <s v="Van Noort Gassler &amp; Co Rotterdam B.V."/>
    <s v="RD4742"/>
    <x v="67"/>
    <s v="VRK"/>
    <d v="2024-07-15T00:00:00"/>
    <x v="336"/>
    <x v="682"/>
    <n v="1573"/>
    <n v="1573"/>
    <n v="0"/>
    <n v="0"/>
    <n v="0"/>
    <n v="1573"/>
    <x v="336"/>
    <s v="Concept"/>
  </r>
  <r>
    <s v="RD1106"/>
    <s v="Van Noort Gassler &amp; Co Rotterdam B.V."/>
    <s v="RD4742"/>
    <x v="67"/>
    <s v="VRK"/>
    <d v="2025-12-18T00:00:00"/>
    <x v="337"/>
    <x v="683"/>
    <n v="-1573"/>
    <n v="-1573"/>
    <n v="0"/>
    <n v="0"/>
    <n v="0"/>
    <n v="-1573"/>
    <x v="337"/>
    <s v="Concept"/>
  </r>
  <r>
    <s v="RD1106"/>
    <s v="Van Noort Gassler &amp; Co Rotterdam B.V."/>
    <s v="RD4748"/>
    <x v="68"/>
    <s v="VRK"/>
    <d v="2025-12-18T00:00:00"/>
    <x v="337"/>
    <x v="684"/>
    <n v="28645.24"/>
    <n v="28645.24"/>
    <n v="0"/>
    <n v="0"/>
    <n v="0"/>
    <n v="28645.24"/>
    <x v="337"/>
    <s v="Concept"/>
  </r>
  <r>
    <s v="RD1106"/>
    <s v="Van Noort Gassler &amp; Co Rotterdam B.V."/>
    <s v="RD5077"/>
    <x v="69"/>
    <s v="VRK"/>
    <d v="2024-10-07T00:00:00"/>
    <x v="76"/>
    <x v="685"/>
    <n v="907.5"/>
    <n v="907.5"/>
    <n v="0"/>
    <n v="0"/>
    <n v="0"/>
    <n v="907.5"/>
    <x v="76"/>
    <s v="Concept"/>
  </r>
  <r>
    <s v="RD1106"/>
    <s v="Van Noort Gassler &amp; Co Rotterdam B.V."/>
    <s v="RD5077"/>
    <x v="69"/>
    <s v="VRK"/>
    <d v="2024-10-07T00:00:00"/>
    <x v="76"/>
    <x v="686"/>
    <n v="907.5"/>
    <n v="907.5"/>
    <n v="0"/>
    <n v="0"/>
    <n v="0"/>
    <n v="907.5"/>
    <x v="76"/>
    <s v="Concept"/>
  </r>
  <r>
    <s v="RD1106"/>
    <s v="Van Noort Gassler &amp; Co Rotterdam B.V."/>
    <s v="RD5077"/>
    <x v="69"/>
    <s v="VRK"/>
    <d v="2025-12-18T00:00:00"/>
    <x v="337"/>
    <x v="687"/>
    <n v="-907.5"/>
    <n v="-907.5"/>
    <n v="0"/>
    <n v="0"/>
    <n v="0"/>
    <n v="-907.5"/>
    <x v="337"/>
    <s v="Concept"/>
  </r>
  <r>
    <s v="RD1106"/>
    <s v="Van Noort Gassler &amp; Co Rotterdam B.V."/>
    <s v="RD5077"/>
    <x v="69"/>
    <s v="VRK"/>
    <d v="2025-12-18T00:00:00"/>
    <x v="337"/>
    <x v="688"/>
    <n v="-907.5"/>
    <n v="-907.5"/>
    <n v="0"/>
    <n v="0"/>
    <n v="0"/>
    <n v="-907.5"/>
    <x v="337"/>
    <s v="Concept"/>
  </r>
  <r>
    <s v="RD1106"/>
    <s v="Van Noort Gassler &amp; Co Rotterdam B.V."/>
    <s v="RD5079"/>
    <x v="70"/>
    <s v="VRK"/>
    <d v="2024-10-07T00:00:00"/>
    <x v="76"/>
    <x v="689"/>
    <n v="907.5"/>
    <n v="907.5"/>
    <n v="0"/>
    <n v="0"/>
    <n v="0"/>
    <n v="907.5"/>
    <x v="76"/>
    <s v="Concept"/>
  </r>
  <r>
    <s v="RD1106"/>
    <s v="Van Noort Gassler &amp; Co Rotterdam B.V."/>
    <s v="RD5079"/>
    <x v="70"/>
    <s v="VRK"/>
    <d v="2025-12-18T00:00:00"/>
    <x v="337"/>
    <x v="690"/>
    <n v="-907.5"/>
    <n v="-907.5"/>
    <n v="0"/>
    <n v="0"/>
    <n v="0"/>
    <n v="-907.5"/>
    <x v="337"/>
    <s v="Concept"/>
  </r>
  <r>
    <s v="RD1106"/>
    <s v="Van Noort Gassler &amp; Co Rotterdam B.V."/>
    <s v="RD5080"/>
    <x v="71"/>
    <s v="VRK"/>
    <d v="2026-01-08T00:00:00"/>
    <x v="93"/>
    <x v="691"/>
    <n v="302.5"/>
    <n v="302.5"/>
    <n v="0"/>
    <n v="0"/>
    <n v="0"/>
    <n v="302.5"/>
    <x v="93"/>
    <s v="Concept"/>
  </r>
  <r>
    <s v="RD1106"/>
    <s v="Van Noort Gassler &amp; Co Rotterdam B.V."/>
    <s v="RD5080"/>
    <x v="71"/>
    <s v="VRK"/>
    <d v="2026-02-02T00:00:00"/>
    <x v="95"/>
    <x v="692"/>
    <n v="302.5"/>
    <n v="302.5"/>
    <n v="0"/>
    <n v="0"/>
    <n v="302.5"/>
    <n v="0"/>
    <x v="95"/>
    <s v="Concept"/>
  </r>
  <r>
    <s v="RD1106"/>
    <s v="Van Noort Gassler &amp; Co Rotterdam B.V."/>
    <s v="RD5080"/>
    <x v="71"/>
    <s v="VRK"/>
    <d v="2026-03-04T00:00:00"/>
    <x v="96"/>
    <x v="693"/>
    <n v="302.5"/>
    <n v="302.5"/>
    <n v="0"/>
    <n v="302.5"/>
    <n v="0"/>
    <n v="0"/>
    <x v="96"/>
    <s v="Concept"/>
  </r>
  <r>
    <s v="RD1106"/>
    <s v="Van Noort Gassler &amp; Co Rotterdam B.V."/>
    <s v="RD5109"/>
    <x v="72"/>
    <s v="VRK"/>
    <d v="2024-03-04T00:00:00"/>
    <x v="338"/>
    <x v="694"/>
    <n v="1998.32"/>
    <n v="666.12"/>
    <n v="0"/>
    <n v="0"/>
    <n v="0"/>
    <n v="666.12"/>
    <x v="338"/>
    <s v="Concept"/>
  </r>
  <r>
    <s v="RD1106"/>
    <s v="Van Noort Gassler &amp; Co Rotterdam B.V."/>
    <s v="RD5109"/>
    <x v="72"/>
    <s v="VRK"/>
    <d v="2025-03-10T00:00:00"/>
    <x v="296"/>
    <x v="695"/>
    <n v="2964.26"/>
    <n v="2964.26"/>
    <n v="0"/>
    <n v="0"/>
    <n v="0"/>
    <n v="2964.26"/>
    <x v="296"/>
    <s v="Concept"/>
  </r>
  <r>
    <s v="RD1106"/>
    <s v="Van Noort Gassler &amp; Co Rotterdam B.V."/>
    <s v="RD5109"/>
    <x v="72"/>
    <s v="VRK"/>
    <d v="2026-03-23T00:00:00"/>
    <x v="330"/>
    <x v="696"/>
    <n v="605"/>
    <n v="605"/>
    <n v="0"/>
    <n v="605"/>
    <n v="0"/>
    <n v="0"/>
    <x v="330"/>
    <s v="Concept"/>
  </r>
  <r>
    <s v="RD1106"/>
    <s v="Van Noort Gassler &amp; Co Rotterdam B.V."/>
    <s v="RD5109"/>
    <x v="72"/>
    <s v="VRK"/>
    <d v="2026-04-06T00:00:00"/>
    <x v="282"/>
    <x v="697"/>
    <n v="272.25"/>
    <n v="272.25"/>
    <n v="0"/>
    <n v="272.25"/>
    <n v="0"/>
    <n v="0"/>
    <x v="282"/>
    <s v="Concept"/>
  </r>
  <r>
    <s v="RD1106"/>
    <s v="Van Noort Gassler &amp; Co Rotterdam B.V."/>
    <s v="RD5109"/>
    <x v="72"/>
    <s v="VRK"/>
    <d v="2026-05-06T00:00:00"/>
    <x v="283"/>
    <x v="698"/>
    <n v="272.25"/>
    <n v="272.25"/>
    <n v="272.25"/>
    <n v="0"/>
    <n v="0"/>
    <n v="0"/>
    <x v="283"/>
    <s v="Concept"/>
  </r>
  <r>
    <s v="RD1106"/>
    <s v="Van Noort Gassler &amp; Co Rotterdam B.V."/>
    <s v="RD5198"/>
    <x v="73"/>
    <s v="VRK"/>
    <d v="2025-10-27T00:00:00"/>
    <x v="168"/>
    <x v="699"/>
    <n v="3584.63"/>
    <n v="3584.63"/>
    <n v="0"/>
    <n v="0"/>
    <n v="0"/>
    <n v="3584.63"/>
    <x v="168"/>
    <s v="Concept"/>
  </r>
  <r>
    <s v="RD1106"/>
    <s v="Van Noort Gassler &amp; Co Rotterdam B.V."/>
    <s v="RD5310"/>
    <x v="74"/>
    <s v="VRK"/>
    <d v="2025-03-10T00:00:00"/>
    <x v="141"/>
    <x v="700"/>
    <n v="605"/>
    <n v="605"/>
    <n v="0"/>
    <n v="0"/>
    <n v="0"/>
    <n v="605"/>
    <x v="141"/>
    <s v="Concept"/>
  </r>
  <r>
    <s v="RD1106"/>
    <s v="Van Noort Gassler &amp; Co Rotterdam B.V."/>
    <s v="RD5310"/>
    <x v="74"/>
    <s v="VRK"/>
    <d v="2026-03-23T00:00:00"/>
    <x v="198"/>
    <x v="701"/>
    <n v="605"/>
    <n v="605"/>
    <n v="0"/>
    <n v="605"/>
    <n v="0"/>
    <n v="0"/>
    <x v="198"/>
    <s v="Concept"/>
  </r>
  <r>
    <s v="RD1106"/>
    <s v="Van Noort Gassler &amp; Co Rotterdam B.V."/>
    <s v="RD5326"/>
    <x v="75"/>
    <s v="VRK"/>
    <d v="2026-01-08T00:00:00"/>
    <x v="93"/>
    <x v="702"/>
    <n v="350.9"/>
    <n v="350.9"/>
    <n v="0"/>
    <n v="0"/>
    <n v="0"/>
    <n v="350.9"/>
    <x v="93"/>
    <s v="Concept"/>
  </r>
  <r>
    <s v="RD1106"/>
    <s v="Van Noort Gassler &amp; Co Rotterdam B.V."/>
    <s v="RD5326"/>
    <x v="75"/>
    <s v="VRK"/>
    <d v="2026-02-02T00:00:00"/>
    <x v="95"/>
    <x v="703"/>
    <n v="350.9"/>
    <n v="350.9"/>
    <n v="0"/>
    <n v="0"/>
    <n v="350.9"/>
    <n v="0"/>
    <x v="95"/>
    <s v="Concept"/>
  </r>
  <r>
    <s v="RD1106"/>
    <s v="Van Noort Gassler &amp; Co Rotterdam B.V."/>
    <s v="RD5326"/>
    <x v="75"/>
    <s v="VRK"/>
    <d v="2026-03-04T00:00:00"/>
    <x v="96"/>
    <x v="704"/>
    <n v="350.9"/>
    <n v="350.9"/>
    <n v="0"/>
    <n v="350.9"/>
    <n v="0"/>
    <n v="0"/>
    <x v="96"/>
    <s v="Concept"/>
  </r>
  <r>
    <s v="RD1106"/>
    <s v="Van Noort Gassler &amp; Co Rotterdam B.V."/>
    <s v="RD5326"/>
    <x v="75"/>
    <s v="VRK"/>
    <d v="2026-04-06T00:00:00"/>
    <x v="98"/>
    <x v="705"/>
    <n v="350.9"/>
    <n v="350.9"/>
    <n v="350.9"/>
    <n v="0"/>
    <n v="0"/>
    <n v="0"/>
    <x v="98"/>
    <s v="Concept"/>
  </r>
  <r>
    <s v="RD1106"/>
    <s v="Van Noort Gassler &amp; Co Rotterdam B.V."/>
    <s v="RD5335"/>
    <x v="76"/>
    <s v="VRK"/>
    <d v="2026-04-06T00:00:00"/>
    <x v="98"/>
    <x v="706"/>
    <n v="181.5"/>
    <n v="181.5"/>
    <n v="181.5"/>
    <n v="0"/>
    <n v="0"/>
    <n v="0"/>
    <x v="98"/>
    <s v="Concept"/>
  </r>
  <r>
    <s v="RD1106"/>
    <s v="Van Noort Gassler &amp; Co Rotterdam B.V."/>
    <s v="RD5339"/>
    <x v="77"/>
    <s v="VRK"/>
    <d v="2025-01-15T00:00:00"/>
    <x v="79"/>
    <x v="707"/>
    <n v="242"/>
    <n v="242"/>
    <n v="0"/>
    <n v="0"/>
    <n v="0"/>
    <n v="242"/>
    <x v="79"/>
    <s v="Concept"/>
  </r>
  <r>
    <s v="RD1106"/>
    <s v="Van Noort Gassler &amp; Co Rotterdam B.V."/>
    <s v="RD5421"/>
    <x v="78"/>
    <s v="BNK"/>
    <d v="2024-01-04T00:00:00"/>
    <x v="62"/>
    <x v="0"/>
    <n v="-514.25"/>
    <n v="-514.25"/>
    <n v="0"/>
    <n v="0"/>
    <n v="0"/>
    <n v="-514.25"/>
    <x v="62"/>
    <s v="Concept"/>
  </r>
  <r>
    <s v="RD1106"/>
    <s v="Van Noort Gassler &amp; Co Rotterdam B.V."/>
    <s v="RD5421"/>
    <x v="78"/>
    <s v="BNK"/>
    <d v="2024-02-14T00:00:00"/>
    <x v="339"/>
    <x v="0"/>
    <n v="-514.25"/>
    <n v="-514.25"/>
    <n v="0"/>
    <n v="0"/>
    <n v="0"/>
    <n v="-514.25"/>
    <x v="339"/>
    <s v="Concept"/>
  </r>
  <r>
    <s v="RD1106"/>
    <s v="Van Noort Gassler &amp; Co Rotterdam B.V."/>
    <s v="RD5423"/>
    <x v="79"/>
    <s v="VRK"/>
    <d v="2025-03-10T00:00:00"/>
    <x v="141"/>
    <x v="708"/>
    <n v="9011.7199999999993"/>
    <n v="9011.7199999999993"/>
    <n v="0"/>
    <n v="0"/>
    <n v="0"/>
    <n v="9011.7199999999993"/>
    <x v="141"/>
    <s v="Concept"/>
  </r>
  <r>
    <s v="RD1106"/>
    <s v="Van Noort Gassler &amp; Co Rotterdam B.V."/>
    <s v="RD5423"/>
    <x v="79"/>
    <s v="VRK"/>
    <d v="2025-06-18T00:00:00"/>
    <x v="152"/>
    <x v="709"/>
    <n v="-241.76"/>
    <n v="-241.76"/>
    <n v="0"/>
    <n v="0"/>
    <n v="0"/>
    <n v="-241.76"/>
    <x v="152"/>
    <s v="Concept"/>
  </r>
  <r>
    <s v="RD1106"/>
    <s v="Van Noort Gassler &amp; Co Rotterdam B.V."/>
    <s v="RD5423"/>
    <x v="79"/>
    <s v="VRK"/>
    <d v="2026-03-23T00:00:00"/>
    <x v="198"/>
    <x v="710"/>
    <n v="9825.56"/>
    <n v="9825.56"/>
    <n v="0"/>
    <n v="9825.56"/>
    <n v="0"/>
    <n v="0"/>
    <x v="198"/>
    <s v="Concept"/>
  </r>
  <r>
    <s v="RD1106"/>
    <s v="Van Noort Gassler &amp; Co Rotterdam B.V."/>
    <s v="RD5424"/>
    <x v="80"/>
    <s v="VRK"/>
    <d v="2023-11-07T00:00:00"/>
    <x v="60"/>
    <x v="711"/>
    <n v="217.8"/>
    <n v="217.8"/>
    <n v="0"/>
    <n v="0"/>
    <n v="0"/>
    <n v="217.8"/>
    <x v="60"/>
    <s v="Definitief"/>
  </r>
  <r>
    <s v="RD1106"/>
    <s v="Van Noort Gassler &amp; Co Rotterdam B.V."/>
    <s v="RD5424"/>
    <x v="80"/>
    <s v="VRK"/>
    <d v="2023-12-05T00:00:00"/>
    <x v="61"/>
    <x v="712"/>
    <n v="217.8"/>
    <n v="217.8"/>
    <n v="0"/>
    <n v="0"/>
    <n v="0"/>
    <n v="217.8"/>
    <x v="61"/>
    <s v="Definitief"/>
  </r>
  <r>
    <s v="RD1106"/>
    <s v="Van Noort Gassler &amp; Co Rotterdam B.V."/>
    <s v="RD5424"/>
    <x v="80"/>
    <s v="VRK"/>
    <d v="2024-01-04T00:00:00"/>
    <x v="62"/>
    <x v="713"/>
    <n v="217.8"/>
    <n v="217.8"/>
    <n v="0"/>
    <n v="0"/>
    <n v="0"/>
    <n v="217.8"/>
    <x v="62"/>
    <s v="Concept"/>
  </r>
  <r>
    <s v="RD1106"/>
    <s v="Van Noort Gassler &amp; Co Rotterdam B.V."/>
    <s v="RD5424"/>
    <x v="80"/>
    <s v="VRK"/>
    <d v="2024-02-05T00:00:00"/>
    <x v="64"/>
    <x v="714"/>
    <n v="217.8"/>
    <n v="217.8"/>
    <n v="0"/>
    <n v="0"/>
    <n v="0"/>
    <n v="217.8"/>
    <x v="64"/>
    <s v="Concept"/>
  </r>
  <r>
    <s v="RD1106"/>
    <s v="Van Noort Gassler &amp; Co Rotterdam B.V."/>
    <s v="RD5424"/>
    <x v="80"/>
    <s v="VRK"/>
    <d v="2024-03-06T00:00:00"/>
    <x v="65"/>
    <x v="715"/>
    <n v="217.8"/>
    <n v="217.8"/>
    <n v="0"/>
    <n v="0"/>
    <n v="0"/>
    <n v="217.8"/>
    <x v="65"/>
    <s v="Concept"/>
  </r>
  <r>
    <s v="RD1106"/>
    <s v="Van Noort Gassler &amp; Co Rotterdam B.V."/>
    <s v="RD5424"/>
    <x v="80"/>
    <s v="VRK"/>
    <d v="2024-04-04T00:00:00"/>
    <x v="67"/>
    <x v="716"/>
    <n v="217.8"/>
    <n v="217.8"/>
    <n v="0"/>
    <n v="0"/>
    <n v="0"/>
    <n v="217.8"/>
    <x v="67"/>
    <s v="Concept"/>
  </r>
  <r>
    <s v="RD1106"/>
    <s v="Van Noort Gassler &amp; Co Rotterdam B.V."/>
    <s v="RD5424"/>
    <x v="80"/>
    <s v="VRK"/>
    <d v="2024-05-06T00:00:00"/>
    <x v="69"/>
    <x v="717"/>
    <n v="217.8"/>
    <n v="217.8"/>
    <n v="0"/>
    <n v="0"/>
    <n v="0"/>
    <n v="217.8"/>
    <x v="69"/>
    <s v="Concept"/>
  </r>
  <r>
    <s v="RD1106"/>
    <s v="Van Noort Gassler &amp; Co Rotterdam B.V."/>
    <s v="RD5424"/>
    <x v="80"/>
    <s v="VRK"/>
    <d v="2024-06-03T00:00:00"/>
    <x v="70"/>
    <x v="718"/>
    <n v="217.8"/>
    <n v="217.8"/>
    <n v="0"/>
    <n v="0"/>
    <n v="0"/>
    <n v="217.8"/>
    <x v="70"/>
    <s v="Concept"/>
  </r>
  <r>
    <s v="RD1106"/>
    <s v="Van Noort Gassler &amp; Co Rotterdam B.V."/>
    <s v="RD5424"/>
    <x v="80"/>
    <s v="VRK"/>
    <d v="2024-07-08T00:00:00"/>
    <x v="72"/>
    <x v="719"/>
    <n v="217.8"/>
    <n v="217.8"/>
    <n v="0"/>
    <n v="0"/>
    <n v="0"/>
    <n v="217.8"/>
    <x v="72"/>
    <s v="Concept"/>
  </r>
  <r>
    <s v="RD1106"/>
    <s v="Van Noort Gassler &amp; Co Rotterdam B.V."/>
    <s v="RD5424"/>
    <x v="80"/>
    <s v="VRK"/>
    <d v="2024-08-05T00:00:00"/>
    <x v="73"/>
    <x v="720"/>
    <n v="217.8"/>
    <n v="217.8"/>
    <n v="0"/>
    <n v="0"/>
    <n v="0"/>
    <n v="217.8"/>
    <x v="73"/>
    <s v="Concept"/>
  </r>
  <r>
    <s v="RD1106"/>
    <s v="Van Noort Gassler &amp; Co Rotterdam B.V."/>
    <s v="RD5424"/>
    <x v="80"/>
    <s v="VRK"/>
    <d v="2024-09-02T00:00:00"/>
    <x v="74"/>
    <x v="721"/>
    <n v="217.8"/>
    <n v="217.8"/>
    <n v="0"/>
    <n v="0"/>
    <n v="0"/>
    <n v="217.8"/>
    <x v="74"/>
    <s v="Concept"/>
  </r>
  <r>
    <s v="RD1106"/>
    <s v="Van Noort Gassler &amp; Co Rotterdam B.V."/>
    <s v="RD5424"/>
    <x v="80"/>
    <s v="VRK"/>
    <d v="2024-09-12T00:00:00"/>
    <x v="340"/>
    <x v="722"/>
    <n v="302.5"/>
    <n v="302.5"/>
    <n v="0"/>
    <n v="0"/>
    <n v="0"/>
    <n v="302.5"/>
    <x v="340"/>
    <s v="Concept"/>
  </r>
  <r>
    <s v="RD1106"/>
    <s v="Van Noort Gassler &amp; Co Rotterdam B.V."/>
    <s v="RD5424"/>
    <x v="80"/>
    <s v="VRK"/>
    <d v="2024-10-07T00:00:00"/>
    <x v="76"/>
    <x v="723"/>
    <n v="217.8"/>
    <n v="217.8"/>
    <n v="0"/>
    <n v="0"/>
    <n v="0"/>
    <n v="217.8"/>
    <x v="76"/>
    <s v="Concept"/>
  </r>
  <r>
    <s v="RD1106"/>
    <s v="Van Noort Gassler &amp; Co Rotterdam B.V."/>
    <s v="RD5424"/>
    <x v="80"/>
    <s v="VRK"/>
    <d v="2024-11-04T00:00:00"/>
    <x v="77"/>
    <x v="724"/>
    <n v="217.8"/>
    <n v="217.8"/>
    <n v="0"/>
    <n v="0"/>
    <n v="0"/>
    <n v="217.8"/>
    <x v="77"/>
    <s v="Concept"/>
  </r>
  <r>
    <s v="RD1106"/>
    <s v="Van Noort Gassler &amp; Co Rotterdam B.V."/>
    <s v="RD5424"/>
    <x v="80"/>
    <s v="VRK"/>
    <d v="2024-12-02T00:00:00"/>
    <x v="78"/>
    <x v="725"/>
    <n v="217.8"/>
    <n v="217.8"/>
    <n v="0"/>
    <n v="0"/>
    <n v="0"/>
    <n v="217.8"/>
    <x v="78"/>
    <s v="Concept"/>
  </r>
  <r>
    <s v="RD1106"/>
    <s v="Van Noort Gassler &amp; Co Rotterdam B.V."/>
    <s v="RD5424"/>
    <x v="80"/>
    <s v="VRK"/>
    <d v="2025-01-15T00:00:00"/>
    <x v="79"/>
    <x v="726"/>
    <n v="217.8"/>
    <n v="217.8"/>
    <n v="0"/>
    <n v="0"/>
    <n v="0"/>
    <n v="217.8"/>
    <x v="79"/>
    <s v="Concept"/>
  </r>
  <r>
    <s v="RD1106"/>
    <s v="Van Noort Gassler &amp; Co Rotterdam B.V."/>
    <s v="RD5424"/>
    <x v="80"/>
    <s v="VRK"/>
    <d v="2025-02-03T00:00:00"/>
    <x v="80"/>
    <x v="727"/>
    <n v="217.8"/>
    <n v="217.8"/>
    <n v="0"/>
    <n v="0"/>
    <n v="0"/>
    <n v="217.8"/>
    <x v="80"/>
    <s v="Concept"/>
  </r>
  <r>
    <s v="RD1106"/>
    <s v="Van Noort Gassler &amp; Co Rotterdam B.V."/>
    <s v="RD5424"/>
    <x v="80"/>
    <s v="VRK"/>
    <d v="2025-03-05T00:00:00"/>
    <x v="82"/>
    <x v="728"/>
    <n v="217.8"/>
    <n v="217.8"/>
    <n v="0"/>
    <n v="0"/>
    <n v="0"/>
    <n v="217.8"/>
    <x v="82"/>
    <s v="Concept"/>
  </r>
  <r>
    <s v="RD1106"/>
    <s v="Van Noort Gassler &amp; Co Rotterdam B.V."/>
    <s v="RD5424"/>
    <x v="80"/>
    <s v="VRK"/>
    <d v="2025-04-03T00:00:00"/>
    <x v="84"/>
    <x v="729"/>
    <n v="653.4"/>
    <n v="653.4"/>
    <n v="0"/>
    <n v="0"/>
    <n v="0"/>
    <n v="653.4"/>
    <x v="84"/>
    <s v="Concept"/>
  </r>
  <r>
    <s v="RD1106"/>
    <s v="Van Noort Gassler &amp; Co Rotterdam B.V."/>
    <s v="RD5424"/>
    <x v="80"/>
    <s v="VRK"/>
    <d v="2025-07-01T00:00:00"/>
    <x v="87"/>
    <x v="730"/>
    <n v="653.4"/>
    <n v="653.4"/>
    <n v="0"/>
    <n v="0"/>
    <n v="0"/>
    <n v="653.4"/>
    <x v="87"/>
    <s v="Concept"/>
  </r>
  <r>
    <s v="RD1106"/>
    <s v="Van Noort Gassler &amp; Co Rotterdam B.V."/>
    <s v="RD5424"/>
    <x v="80"/>
    <s v="VRK"/>
    <d v="2025-10-06T00:00:00"/>
    <x v="90"/>
    <x v="731"/>
    <n v="653.4"/>
    <n v="653.4"/>
    <n v="0"/>
    <n v="0"/>
    <n v="0"/>
    <n v="653.4"/>
    <x v="90"/>
    <s v="Concept"/>
  </r>
  <r>
    <s v="RD1106"/>
    <s v="Van Noort Gassler &amp; Co Rotterdam B.V."/>
    <s v="RD5424"/>
    <x v="80"/>
    <s v="VRK"/>
    <d v="2026-01-08T00:00:00"/>
    <x v="93"/>
    <x v="732"/>
    <n v="653.4"/>
    <n v="653.4"/>
    <n v="0"/>
    <n v="0"/>
    <n v="0"/>
    <n v="653.4"/>
    <x v="93"/>
    <s v="Concept"/>
  </r>
  <r>
    <s v="RD1106"/>
    <s v="Van Noort Gassler &amp; Co Rotterdam B.V."/>
    <s v="RD5424"/>
    <x v="80"/>
    <s v="VRK"/>
    <d v="2026-03-23T00:00:00"/>
    <x v="198"/>
    <x v="733"/>
    <n v="707.85"/>
    <n v="707.85"/>
    <n v="0"/>
    <n v="707.85"/>
    <n v="0"/>
    <n v="0"/>
    <x v="198"/>
    <s v="Concept"/>
  </r>
  <r>
    <s v="RD1106"/>
    <s v="Van Noort Gassler &amp; Co Rotterdam B.V."/>
    <s v="RD5424"/>
    <x v="80"/>
    <s v="VRK"/>
    <d v="2026-04-06T00:00:00"/>
    <x v="98"/>
    <x v="734"/>
    <n v="653.4"/>
    <n v="653.4"/>
    <n v="653.4"/>
    <n v="0"/>
    <n v="0"/>
    <n v="0"/>
    <x v="98"/>
    <s v="Concept"/>
  </r>
  <r>
    <s v="RD1106"/>
    <s v="Van Noort Gassler &amp; Co Rotterdam B.V."/>
    <s v="RD5457"/>
    <x v="81"/>
    <s v="VRK"/>
    <d v="2025-05-05T00:00:00"/>
    <x v="85"/>
    <x v="735"/>
    <n v="544.5"/>
    <n v="544.5"/>
    <n v="0"/>
    <n v="0"/>
    <n v="0"/>
    <n v="544.5"/>
    <x v="85"/>
    <s v="Concept"/>
  </r>
  <r>
    <s v="RD1106"/>
    <s v="Van Noort Gassler &amp; Co Rotterdam B.V."/>
    <s v="RD5457"/>
    <x v="81"/>
    <s v="VRK"/>
    <d v="2025-06-02T00:00:00"/>
    <x v="86"/>
    <x v="736"/>
    <n v="544.5"/>
    <n v="544.5"/>
    <n v="0"/>
    <n v="0"/>
    <n v="0"/>
    <n v="544.5"/>
    <x v="86"/>
    <s v="Concept"/>
  </r>
  <r>
    <s v="RD1106"/>
    <s v="Van Noort Gassler &amp; Co Rotterdam B.V."/>
    <s v="RD5457"/>
    <x v="81"/>
    <s v="VRK"/>
    <d v="2025-07-01T00:00:00"/>
    <x v="87"/>
    <x v="737"/>
    <n v="544.5"/>
    <n v="544.5"/>
    <n v="0"/>
    <n v="0"/>
    <n v="0"/>
    <n v="544.5"/>
    <x v="87"/>
    <s v="Concept"/>
  </r>
  <r>
    <s v="RD1106"/>
    <s v="Van Noort Gassler &amp; Co Rotterdam B.V."/>
    <s v="RD5457"/>
    <x v="81"/>
    <s v="VRK"/>
    <d v="2025-08-04T00:00:00"/>
    <x v="88"/>
    <x v="738"/>
    <n v="544.5"/>
    <n v="544.5"/>
    <n v="0"/>
    <n v="0"/>
    <n v="0"/>
    <n v="544.5"/>
    <x v="88"/>
    <s v="Concept"/>
  </r>
  <r>
    <s v="RD1106"/>
    <s v="Van Noort Gassler &amp; Co Rotterdam B.V."/>
    <s v="RD5457"/>
    <x v="81"/>
    <s v="VRK"/>
    <d v="2025-09-01T00:00:00"/>
    <x v="89"/>
    <x v="739"/>
    <n v="544.5"/>
    <n v="544.5"/>
    <n v="0"/>
    <n v="0"/>
    <n v="0"/>
    <n v="544.5"/>
    <x v="89"/>
    <s v="Concept"/>
  </r>
  <r>
    <s v="RD1106"/>
    <s v="Van Noort Gassler &amp; Co Rotterdam B.V."/>
    <s v="RD5457"/>
    <x v="81"/>
    <s v="VRK"/>
    <d v="2025-10-06T00:00:00"/>
    <x v="90"/>
    <x v="740"/>
    <n v="544.5"/>
    <n v="544.5"/>
    <n v="0"/>
    <n v="0"/>
    <n v="0"/>
    <n v="544.5"/>
    <x v="90"/>
    <s v="Concept"/>
  </r>
  <r>
    <s v="RD1106"/>
    <s v="Van Noort Gassler &amp; Co Rotterdam B.V."/>
    <s v="RD5457"/>
    <x v="81"/>
    <s v="VRK"/>
    <d v="2025-11-05T00:00:00"/>
    <x v="91"/>
    <x v="741"/>
    <n v="544.5"/>
    <n v="544.5"/>
    <n v="0"/>
    <n v="0"/>
    <n v="0"/>
    <n v="544.5"/>
    <x v="91"/>
    <s v="Concept"/>
  </r>
  <r>
    <s v="RD1106"/>
    <s v="Van Noort Gassler &amp; Co Rotterdam B.V."/>
    <s v="RD5457"/>
    <x v="81"/>
    <s v="VRK"/>
    <d v="2025-12-02T00:00:00"/>
    <x v="92"/>
    <x v="742"/>
    <n v="544.5"/>
    <n v="544.5"/>
    <n v="0"/>
    <n v="0"/>
    <n v="0"/>
    <n v="544.5"/>
    <x v="92"/>
    <s v="Concept"/>
  </r>
  <r>
    <s v="RD1106"/>
    <s v="Van Noort Gassler &amp; Co Rotterdam B.V."/>
    <s v="RD5457"/>
    <x v="81"/>
    <s v="VRK"/>
    <d v="2026-01-08T00:00:00"/>
    <x v="93"/>
    <x v="743"/>
    <n v="544.5"/>
    <n v="544.5"/>
    <n v="0"/>
    <n v="0"/>
    <n v="0"/>
    <n v="544.5"/>
    <x v="93"/>
    <s v="Concept"/>
  </r>
  <r>
    <s v="RD1106"/>
    <s v="Van Noort Gassler &amp; Co Rotterdam B.V."/>
    <s v="RD5458"/>
    <x v="82"/>
    <s v="VRK"/>
    <d v="2025-05-05T00:00:00"/>
    <x v="85"/>
    <x v="744"/>
    <n v="242"/>
    <n v="242"/>
    <n v="0"/>
    <n v="0"/>
    <n v="0"/>
    <n v="242"/>
    <x v="85"/>
    <s v="Concept"/>
  </r>
  <r>
    <s v="RD1106"/>
    <s v="Van Noort Gassler &amp; Co Rotterdam B.V."/>
    <s v="RD5458"/>
    <x v="82"/>
    <s v="VRK"/>
    <d v="2025-06-02T00:00:00"/>
    <x v="86"/>
    <x v="745"/>
    <n v="242"/>
    <n v="242"/>
    <n v="0"/>
    <n v="0"/>
    <n v="0"/>
    <n v="242"/>
    <x v="86"/>
    <s v="Concept"/>
  </r>
  <r>
    <s v="RD1106"/>
    <s v="Van Noort Gassler &amp; Co Rotterdam B.V."/>
    <s v="RD5458"/>
    <x v="82"/>
    <s v="VRK"/>
    <d v="2025-07-01T00:00:00"/>
    <x v="87"/>
    <x v="746"/>
    <n v="242"/>
    <n v="242"/>
    <n v="0"/>
    <n v="0"/>
    <n v="0"/>
    <n v="242"/>
    <x v="87"/>
    <s v="Concept"/>
  </r>
  <r>
    <s v="RD1106"/>
    <s v="Van Noort Gassler &amp; Co Rotterdam B.V."/>
    <s v="RD5458"/>
    <x v="82"/>
    <s v="VRK"/>
    <d v="2025-08-04T00:00:00"/>
    <x v="88"/>
    <x v="747"/>
    <n v="242"/>
    <n v="242"/>
    <n v="0"/>
    <n v="0"/>
    <n v="0"/>
    <n v="242"/>
    <x v="88"/>
    <s v="Concept"/>
  </r>
  <r>
    <s v="RD1106"/>
    <s v="Van Noort Gassler &amp; Co Rotterdam B.V."/>
    <s v="RD5458"/>
    <x v="82"/>
    <s v="VRK"/>
    <d v="2025-09-01T00:00:00"/>
    <x v="89"/>
    <x v="748"/>
    <n v="242"/>
    <n v="242"/>
    <n v="0"/>
    <n v="0"/>
    <n v="0"/>
    <n v="242"/>
    <x v="89"/>
    <s v="Concept"/>
  </r>
  <r>
    <s v="RD1106"/>
    <s v="Van Noort Gassler &amp; Co Rotterdam B.V."/>
    <s v="RD5458"/>
    <x v="82"/>
    <s v="VRK"/>
    <d v="2025-10-06T00:00:00"/>
    <x v="90"/>
    <x v="749"/>
    <n v="242"/>
    <n v="242"/>
    <n v="0"/>
    <n v="0"/>
    <n v="0"/>
    <n v="242"/>
    <x v="90"/>
    <s v="Concept"/>
  </r>
  <r>
    <s v="RD1106"/>
    <s v="Van Noort Gassler &amp; Co Rotterdam B.V."/>
    <s v="RD5458"/>
    <x v="82"/>
    <s v="VRK"/>
    <d v="2025-11-05T00:00:00"/>
    <x v="91"/>
    <x v="750"/>
    <n v="242"/>
    <n v="242"/>
    <n v="0"/>
    <n v="0"/>
    <n v="0"/>
    <n v="242"/>
    <x v="91"/>
    <s v="Concept"/>
  </r>
  <r>
    <s v="RD1106"/>
    <s v="Van Noort Gassler &amp; Co Rotterdam B.V."/>
    <s v="RD5458"/>
    <x v="82"/>
    <s v="VRK"/>
    <d v="2025-12-02T00:00:00"/>
    <x v="92"/>
    <x v="751"/>
    <n v="242"/>
    <n v="242"/>
    <n v="0"/>
    <n v="0"/>
    <n v="0"/>
    <n v="242"/>
    <x v="92"/>
    <s v="Concept"/>
  </r>
  <r>
    <s v="RD1106"/>
    <s v="Van Noort Gassler &amp; Co Rotterdam B.V."/>
    <s v="RD5458"/>
    <x v="82"/>
    <s v="VRK"/>
    <d v="2026-01-08T00:00:00"/>
    <x v="93"/>
    <x v="752"/>
    <n v="242"/>
    <n v="242"/>
    <n v="0"/>
    <n v="0"/>
    <n v="0"/>
    <n v="242"/>
    <x v="93"/>
    <s v="Concept"/>
  </r>
  <r>
    <s v="RD1106"/>
    <s v="Van Noort Gassler &amp; Co Rotterdam B.V."/>
    <s v="RD5458"/>
    <x v="82"/>
    <s v="VRK"/>
    <d v="2026-02-02T00:00:00"/>
    <x v="280"/>
    <x v="753"/>
    <n v="242"/>
    <n v="242"/>
    <n v="0"/>
    <n v="0"/>
    <n v="0"/>
    <n v="242"/>
    <x v="280"/>
    <s v="Concept"/>
  </r>
  <r>
    <s v="RD1106"/>
    <s v="Van Noort Gassler &amp; Co Rotterdam B.V."/>
    <s v="RD5458"/>
    <x v="82"/>
    <s v="VRK"/>
    <d v="2026-03-04T00:00:00"/>
    <x v="281"/>
    <x v="754"/>
    <n v="242"/>
    <n v="242"/>
    <n v="0"/>
    <n v="0"/>
    <n v="242"/>
    <n v="0"/>
    <x v="281"/>
    <s v="Concept"/>
  </r>
  <r>
    <s v="RD1106"/>
    <s v="Van Noort Gassler &amp; Co Rotterdam B.V."/>
    <s v="RD5458"/>
    <x v="82"/>
    <s v="VRK"/>
    <d v="2026-03-23T00:00:00"/>
    <x v="330"/>
    <x v="755"/>
    <n v="789.53"/>
    <n v="789.53"/>
    <n v="0"/>
    <n v="789.53"/>
    <n v="0"/>
    <n v="0"/>
    <x v="330"/>
    <s v="Concept"/>
  </r>
  <r>
    <s v="RD1106"/>
    <s v="Van Noort Gassler &amp; Co Rotterdam B.V."/>
    <s v="RD5458"/>
    <x v="82"/>
    <s v="VRK"/>
    <d v="2026-04-06T00:00:00"/>
    <x v="282"/>
    <x v="756"/>
    <n v="242"/>
    <n v="242"/>
    <n v="0"/>
    <n v="242"/>
    <n v="0"/>
    <n v="0"/>
    <x v="282"/>
    <s v="Concept"/>
  </r>
  <r>
    <s v="RD1106"/>
    <s v="Van Noort Gassler &amp; Co Rotterdam B.V."/>
    <s v="RD5458"/>
    <x v="82"/>
    <s v="VRK"/>
    <d v="2026-05-06T00:00:00"/>
    <x v="283"/>
    <x v="757"/>
    <n v="242"/>
    <n v="242"/>
    <n v="242"/>
    <n v="0"/>
    <n v="0"/>
    <n v="0"/>
    <x v="283"/>
    <s v="Concept"/>
  </r>
  <r>
    <s v="RD1106"/>
    <s v="Van Noort Gassler &amp; Co Rotterdam B.V."/>
    <s v="RD5463"/>
    <x v="83"/>
    <s v="VRK"/>
    <d v="2023-04-17T00:00:00"/>
    <x v="341"/>
    <x v="758"/>
    <n v="1452"/>
    <n v="1452"/>
    <n v="0"/>
    <n v="0"/>
    <n v="0"/>
    <n v="1452"/>
    <x v="341"/>
    <s v="Definitief"/>
  </r>
  <r>
    <s v="RD1106"/>
    <s v="Van Noort Gassler &amp; Co Rotterdam B.V."/>
    <s v="RD5588"/>
    <x v="84"/>
    <s v="VRK"/>
    <d v="2025-05-12T00:00:00"/>
    <x v="342"/>
    <x v="759"/>
    <n v="4962.01"/>
    <n v="4962.01"/>
    <n v="0"/>
    <n v="0"/>
    <n v="0"/>
    <n v="4962.01"/>
    <x v="342"/>
    <s v="Concept"/>
  </r>
  <r>
    <s v="RD1106"/>
    <s v="Van Noort Gassler &amp; Co Rotterdam B.V."/>
    <s v="RD5637"/>
    <x v="85"/>
    <s v="VRK"/>
    <d v="2025-03-20T00:00:00"/>
    <x v="343"/>
    <x v="760"/>
    <n v="1016.4"/>
    <n v="0.26"/>
    <n v="0"/>
    <n v="0"/>
    <n v="0"/>
    <n v="0.26"/>
    <x v="343"/>
    <s v="Concept"/>
  </r>
  <r>
    <s v="RD1106"/>
    <s v="Van Noort Gassler &amp; Co Rotterdam B.V."/>
    <s v="RD5681"/>
    <x v="86"/>
    <s v="VRK"/>
    <d v="2026-01-08T00:00:00"/>
    <x v="93"/>
    <x v="761"/>
    <n v="423.5"/>
    <n v="423.5"/>
    <n v="0"/>
    <n v="0"/>
    <n v="0"/>
    <n v="423.5"/>
    <x v="93"/>
    <s v="Concept"/>
  </r>
  <r>
    <s v="RD1106"/>
    <s v="Van Noort Gassler &amp; Co Rotterdam B.V."/>
    <s v="RD5681"/>
    <x v="86"/>
    <s v="VRK"/>
    <d v="2026-01-16T00:00:00"/>
    <x v="344"/>
    <x v="762"/>
    <n v="137.94"/>
    <n v="137.94"/>
    <n v="0"/>
    <n v="0"/>
    <n v="0"/>
    <n v="137.94"/>
    <x v="344"/>
    <s v="Concept"/>
  </r>
  <r>
    <s v="RD1106"/>
    <s v="Van Noort Gassler &amp; Co Rotterdam B.V."/>
    <s v="RD5681"/>
    <x v="86"/>
    <s v="VRK"/>
    <d v="2026-02-02T00:00:00"/>
    <x v="95"/>
    <x v="763"/>
    <n v="423.5"/>
    <n v="423.5"/>
    <n v="0"/>
    <n v="0"/>
    <n v="423.5"/>
    <n v="0"/>
    <x v="95"/>
    <s v="Concept"/>
  </r>
  <r>
    <s v="RD1106"/>
    <s v="Van Noort Gassler &amp; Co Rotterdam B.V."/>
    <s v="RD5681"/>
    <x v="86"/>
    <s v="VRK"/>
    <d v="2026-03-04T00:00:00"/>
    <x v="96"/>
    <x v="764"/>
    <n v="423.5"/>
    <n v="423.5"/>
    <n v="0"/>
    <n v="423.5"/>
    <n v="0"/>
    <n v="0"/>
    <x v="96"/>
    <s v="Concept"/>
  </r>
  <r>
    <s v="RD1106"/>
    <s v="Van Noort Gassler &amp; Co Rotterdam B.V."/>
    <s v="RD5681"/>
    <x v="86"/>
    <s v="VRK"/>
    <d v="2026-04-06T00:00:00"/>
    <x v="98"/>
    <x v="765"/>
    <n v="423.5"/>
    <n v="423.5"/>
    <n v="423.5"/>
    <n v="0"/>
    <n v="0"/>
    <n v="0"/>
    <x v="98"/>
    <s v="Concept"/>
  </r>
  <r>
    <s v="RD1106"/>
    <s v="Van Noort Gassler &amp; Co Rotterdam B.V."/>
    <s v="RD5681"/>
    <x v="86"/>
    <s v="VRK"/>
    <d v="2026-04-06T00:00:00"/>
    <x v="98"/>
    <x v="766"/>
    <n v="137.94"/>
    <n v="137.94"/>
    <n v="137.94"/>
    <n v="0"/>
    <n v="0"/>
    <n v="0"/>
    <x v="98"/>
    <s v="Concept"/>
  </r>
  <r>
    <s v="RD1106"/>
    <s v="Van Noort Gassler &amp; Co Rotterdam B.V."/>
    <s v="RD5682"/>
    <x v="87"/>
    <s v="VRK"/>
    <d v="2026-02-02T00:00:00"/>
    <x v="95"/>
    <x v="767"/>
    <n v="356.95"/>
    <n v="356.95"/>
    <n v="0"/>
    <n v="0"/>
    <n v="356.95"/>
    <n v="0"/>
    <x v="95"/>
    <s v="Concept"/>
  </r>
  <r>
    <s v="RD1106"/>
    <s v="Van Noort Gassler &amp; Co Rotterdam B.V."/>
    <s v="RD5682"/>
    <x v="87"/>
    <s v="VRK"/>
    <d v="2026-03-04T00:00:00"/>
    <x v="96"/>
    <x v="768"/>
    <n v="356.95"/>
    <n v="356.95"/>
    <n v="0"/>
    <n v="356.95"/>
    <n v="0"/>
    <n v="0"/>
    <x v="96"/>
    <s v="Concept"/>
  </r>
  <r>
    <s v="RD1106"/>
    <s v="Van Noort Gassler &amp; Co Rotterdam B.V."/>
    <s v="RD5682"/>
    <x v="87"/>
    <s v="VRK"/>
    <d v="2026-04-06T00:00:00"/>
    <x v="98"/>
    <x v="769"/>
    <n v="356.95"/>
    <n v="356.95"/>
    <n v="356.95"/>
    <n v="0"/>
    <n v="0"/>
    <n v="0"/>
    <x v="98"/>
    <s v="Concept"/>
  </r>
  <r>
    <s v="RD1106"/>
    <s v="Van Noort Gassler &amp; Co Rotterdam B.V."/>
    <s v="RD5683"/>
    <x v="88"/>
    <s v="VRK"/>
    <d v="2025-12-02T00:00:00"/>
    <x v="92"/>
    <x v="770"/>
    <n v="1597.2"/>
    <n v="1597.2"/>
    <n v="0"/>
    <n v="0"/>
    <n v="0"/>
    <n v="1597.2"/>
    <x v="92"/>
    <s v="Concept"/>
  </r>
  <r>
    <s v="RD1106"/>
    <s v="Van Noort Gassler &amp; Co Rotterdam B.V."/>
    <s v="RD5683"/>
    <x v="88"/>
    <s v="VRK"/>
    <d v="2026-01-08T00:00:00"/>
    <x v="93"/>
    <x v="771"/>
    <n v="399.3"/>
    <n v="399.3"/>
    <n v="0"/>
    <n v="0"/>
    <n v="0"/>
    <n v="399.3"/>
    <x v="93"/>
    <s v="Concept"/>
  </r>
  <r>
    <s v="RD1106"/>
    <s v="Van Noort Gassler &amp; Co Rotterdam B.V."/>
    <s v="RD5683"/>
    <x v="88"/>
    <s v="VRK"/>
    <d v="2026-02-02T00:00:00"/>
    <x v="95"/>
    <x v="772"/>
    <n v="399.3"/>
    <n v="399.3"/>
    <n v="0"/>
    <n v="0"/>
    <n v="399.3"/>
    <n v="0"/>
    <x v="95"/>
    <s v="Concept"/>
  </r>
  <r>
    <s v="RD1106"/>
    <s v="Van Noort Gassler &amp; Co Rotterdam B.V."/>
    <s v="RD5683"/>
    <x v="88"/>
    <s v="VRK"/>
    <d v="2026-03-04T00:00:00"/>
    <x v="96"/>
    <x v="773"/>
    <n v="399.3"/>
    <n v="399.3"/>
    <n v="0"/>
    <n v="399.3"/>
    <n v="0"/>
    <n v="0"/>
    <x v="96"/>
    <s v="Concept"/>
  </r>
  <r>
    <s v="RD1106"/>
    <s v="Van Noort Gassler &amp; Co Rotterdam B.V."/>
    <s v="RD5683"/>
    <x v="88"/>
    <s v="VRK"/>
    <d v="2026-04-06T00:00:00"/>
    <x v="98"/>
    <x v="774"/>
    <n v="399.3"/>
    <n v="399.3"/>
    <n v="399.3"/>
    <n v="0"/>
    <n v="0"/>
    <n v="0"/>
    <x v="98"/>
    <s v="Concept"/>
  </r>
  <r>
    <s v="RD1106"/>
    <s v="Van Noort Gassler &amp; Co Rotterdam B.V."/>
    <s v="RD5729"/>
    <x v="89"/>
    <s v="VRK"/>
    <d v="2024-06-07T00:00:00"/>
    <x v="345"/>
    <x v="775"/>
    <n v="5151.2700000000004"/>
    <n v="2643.73"/>
    <n v="0"/>
    <n v="0"/>
    <n v="0"/>
    <n v="2643.73"/>
    <x v="345"/>
    <s v="Concept"/>
  </r>
  <r>
    <s v="RD1106"/>
    <s v="Van Noort Gassler &amp; Co Rotterdam B.V."/>
    <s v="RD5729"/>
    <x v="89"/>
    <s v="VRK"/>
    <d v="2024-07-08T00:00:00"/>
    <x v="72"/>
    <x v="776"/>
    <n v="121"/>
    <n v="121"/>
    <n v="0"/>
    <n v="0"/>
    <n v="0"/>
    <n v="121"/>
    <x v="72"/>
    <s v="Concept"/>
  </r>
  <r>
    <s v="RD1106"/>
    <s v="Van Noort Gassler &amp; Co Rotterdam B.V."/>
    <s v="RD5729"/>
    <x v="89"/>
    <s v="VRK"/>
    <d v="2024-07-08T00:00:00"/>
    <x v="72"/>
    <x v="777"/>
    <n v="968"/>
    <n v="968"/>
    <n v="0"/>
    <n v="0"/>
    <n v="0"/>
    <n v="968"/>
    <x v="72"/>
    <s v="Concept"/>
  </r>
  <r>
    <s v="RD1106"/>
    <s v="Van Noort Gassler &amp; Co Rotterdam B.V."/>
    <s v="RD5729"/>
    <x v="89"/>
    <s v="VRK"/>
    <d v="2024-07-08T00:00:00"/>
    <x v="72"/>
    <x v="778"/>
    <n v="35.090000000000003"/>
    <n v="35.090000000000003"/>
    <n v="0"/>
    <n v="0"/>
    <n v="0"/>
    <n v="35.090000000000003"/>
    <x v="72"/>
    <s v="Concept"/>
  </r>
  <r>
    <s v="RD1106"/>
    <s v="Van Noort Gassler &amp; Co Rotterdam B.V."/>
    <s v="RD5729"/>
    <x v="89"/>
    <s v="VRK"/>
    <d v="2024-07-08T00:00:00"/>
    <x v="72"/>
    <x v="779"/>
    <n v="24.2"/>
    <n v="24.2"/>
    <n v="0"/>
    <n v="0"/>
    <n v="0"/>
    <n v="24.2"/>
    <x v="72"/>
    <s v="Concept"/>
  </r>
  <r>
    <s v="RD1106"/>
    <s v="Van Noort Gassler &amp; Co Rotterdam B.V."/>
    <s v="RD5729"/>
    <x v="89"/>
    <s v="VRK"/>
    <d v="2024-08-05T00:00:00"/>
    <x v="73"/>
    <x v="780"/>
    <n v="968"/>
    <n v="968"/>
    <n v="0"/>
    <n v="0"/>
    <n v="0"/>
    <n v="968"/>
    <x v="73"/>
    <s v="Concept"/>
  </r>
  <r>
    <s v="RD1106"/>
    <s v="Van Noort Gassler &amp; Co Rotterdam B.V."/>
    <s v="RD5729"/>
    <x v="89"/>
    <s v="VRK"/>
    <d v="2024-08-05T00:00:00"/>
    <x v="73"/>
    <x v="781"/>
    <n v="121"/>
    <n v="121"/>
    <n v="0"/>
    <n v="0"/>
    <n v="0"/>
    <n v="121"/>
    <x v="73"/>
    <s v="Concept"/>
  </r>
  <r>
    <s v="RD1106"/>
    <s v="Van Noort Gassler &amp; Co Rotterdam B.V."/>
    <s v="RD5729"/>
    <x v="89"/>
    <s v="VRK"/>
    <d v="2024-08-05T00:00:00"/>
    <x v="73"/>
    <x v="782"/>
    <n v="35.090000000000003"/>
    <n v="35.090000000000003"/>
    <n v="0"/>
    <n v="0"/>
    <n v="0"/>
    <n v="35.090000000000003"/>
    <x v="73"/>
    <s v="Concept"/>
  </r>
  <r>
    <s v="RD1106"/>
    <s v="Van Noort Gassler &amp; Co Rotterdam B.V."/>
    <s v="RD5729"/>
    <x v="89"/>
    <s v="VRK"/>
    <d v="2024-08-05T00:00:00"/>
    <x v="73"/>
    <x v="783"/>
    <n v="24.2"/>
    <n v="24.2"/>
    <n v="0"/>
    <n v="0"/>
    <n v="0"/>
    <n v="24.2"/>
    <x v="73"/>
    <s v="Concept"/>
  </r>
  <r>
    <s v="RD1106"/>
    <s v="Van Noort Gassler &amp; Co Rotterdam B.V."/>
    <s v="RD5729"/>
    <x v="89"/>
    <s v="VRK"/>
    <d v="2024-09-02T00:00:00"/>
    <x v="74"/>
    <x v="784"/>
    <n v="968"/>
    <n v="968"/>
    <n v="0"/>
    <n v="0"/>
    <n v="0"/>
    <n v="968"/>
    <x v="74"/>
    <s v="Concept"/>
  </r>
  <r>
    <s v="RD1106"/>
    <s v="Van Noort Gassler &amp; Co Rotterdam B.V."/>
    <s v="RD5729"/>
    <x v="89"/>
    <s v="VRK"/>
    <d v="2024-09-02T00:00:00"/>
    <x v="74"/>
    <x v="785"/>
    <n v="121"/>
    <n v="121"/>
    <n v="0"/>
    <n v="0"/>
    <n v="0"/>
    <n v="121"/>
    <x v="74"/>
    <s v="Concept"/>
  </r>
  <r>
    <s v="RD1106"/>
    <s v="Van Noort Gassler &amp; Co Rotterdam B.V."/>
    <s v="RD5729"/>
    <x v="89"/>
    <s v="VRK"/>
    <d v="2024-09-02T00:00:00"/>
    <x v="74"/>
    <x v="786"/>
    <n v="35.090000000000003"/>
    <n v="35.090000000000003"/>
    <n v="0"/>
    <n v="0"/>
    <n v="0"/>
    <n v="35.090000000000003"/>
    <x v="74"/>
    <s v="Concept"/>
  </r>
  <r>
    <s v="RD1106"/>
    <s v="Van Noort Gassler &amp; Co Rotterdam B.V."/>
    <s v="RD5729"/>
    <x v="89"/>
    <s v="VRK"/>
    <d v="2024-09-02T00:00:00"/>
    <x v="74"/>
    <x v="787"/>
    <n v="24.2"/>
    <n v="24.2"/>
    <n v="0"/>
    <n v="0"/>
    <n v="0"/>
    <n v="24.2"/>
    <x v="74"/>
    <s v="Concept"/>
  </r>
  <r>
    <s v="RD1106"/>
    <s v="Van Noort Gassler &amp; Co Rotterdam B.V."/>
    <s v="RD5729"/>
    <x v="89"/>
    <s v="VRK"/>
    <d v="2024-10-07T00:00:00"/>
    <x v="76"/>
    <x v="788"/>
    <n v="968"/>
    <n v="968"/>
    <n v="0"/>
    <n v="0"/>
    <n v="0"/>
    <n v="968"/>
    <x v="76"/>
    <s v="Concept"/>
  </r>
  <r>
    <s v="RD1106"/>
    <s v="Van Noort Gassler &amp; Co Rotterdam B.V."/>
    <s v="RD5729"/>
    <x v="89"/>
    <s v="VRK"/>
    <d v="2024-10-07T00:00:00"/>
    <x v="76"/>
    <x v="789"/>
    <n v="121"/>
    <n v="121"/>
    <n v="0"/>
    <n v="0"/>
    <n v="0"/>
    <n v="121"/>
    <x v="76"/>
    <s v="Concept"/>
  </r>
  <r>
    <s v="RD1106"/>
    <s v="Van Noort Gassler &amp; Co Rotterdam B.V."/>
    <s v="RD5729"/>
    <x v="89"/>
    <s v="VRK"/>
    <d v="2024-10-07T00:00:00"/>
    <x v="76"/>
    <x v="790"/>
    <n v="35.090000000000003"/>
    <n v="35.090000000000003"/>
    <n v="0"/>
    <n v="0"/>
    <n v="0"/>
    <n v="35.090000000000003"/>
    <x v="76"/>
    <s v="Concept"/>
  </r>
  <r>
    <s v="RD1106"/>
    <s v="Van Noort Gassler &amp; Co Rotterdam B.V."/>
    <s v="RD5729"/>
    <x v="89"/>
    <s v="VRK"/>
    <d v="2024-10-07T00:00:00"/>
    <x v="76"/>
    <x v="791"/>
    <n v="24.2"/>
    <n v="24.2"/>
    <n v="0"/>
    <n v="0"/>
    <n v="0"/>
    <n v="24.2"/>
    <x v="76"/>
    <s v="Concept"/>
  </r>
  <r>
    <s v="RD1106"/>
    <s v="Van Noort Gassler &amp; Co Rotterdam B.V."/>
    <s v="RD5729"/>
    <x v="89"/>
    <s v="VRK"/>
    <d v="2024-11-04T00:00:00"/>
    <x v="77"/>
    <x v="792"/>
    <n v="968"/>
    <n v="968"/>
    <n v="0"/>
    <n v="0"/>
    <n v="0"/>
    <n v="968"/>
    <x v="77"/>
    <s v="Concept"/>
  </r>
  <r>
    <s v="RD1106"/>
    <s v="Van Noort Gassler &amp; Co Rotterdam B.V."/>
    <s v="RD5729"/>
    <x v="89"/>
    <s v="VRK"/>
    <d v="2024-11-04T00:00:00"/>
    <x v="77"/>
    <x v="793"/>
    <n v="121"/>
    <n v="121"/>
    <n v="0"/>
    <n v="0"/>
    <n v="0"/>
    <n v="121"/>
    <x v="77"/>
    <s v="Concept"/>
  </r>
  <r>
    <s v="RD1106"/>
    <s v="Van Noort Gassler &amp; Co Rotterdam B.V."/>
    <s v="RD5729"/>
    <x v="89"/>
    <s v="VRK"/>
    <d v="2024-11-04T00:00:00"/>
    <x v="77"/>
    <x v="794"/>
    <n v="35.090000000000003"/>
    <n v="35.090000000000003"/>
    <n v="0"/>
    <n v="0"/>
    <n v="0"/>
    <n v="35.090000000000003"/>
    <x v="77"/>
    <s v="Concept"/>
  </r>
  <r>
    <s v="RD1106"/>
    <s v="Van Noort Gassler &amp; Co Rotterdam B.V."/>
    <s v="RD5729"/>
    <x v="89"/>
    <s v="VRK"/>
    <d v="2024-11-04T00:00:00"/>
    <x v="77"/>
    <x v="795"/>
    <n v="24.2"/>
    <n v="24.2"/>
    <n v="0"/>
    <n v="0"/>
    <n v="0"/>
    <n v="24.2"/>
    <x v="77"/>
    <s v="Concept"/>
  </r>
  <r>
    <s v="RD1106"/>
    <s v="Van Noort Gassler &amp; Co Rotterdam B.V."/>
    <s v="RD5729"/>
    <x v="89"/>
    <s v="VRK"/>
    <d v="2024-12-02T00:00:00"/>
    <x v="78"/>
    <x v="796"/>
    <n v="121"/>
    <n v="121"/>
    <n v="0"/>
    <n v="0"/>
    <n v="0"/>
    <n v="121"/>
    <x v="78"/>
    <s v="Concept"/>
  </r>
  <r>
    <s v="RD1106"/>
    <s v="Van Noort Gassler &amp; Co Rotterdam B.V."/>
    <s v="RD5729"/>
    <x v="89"/>
    <s v="VRK"/>
    <d v="2024-12-02T00:00:00"/>
    <x v="78"/>
    <x v="797"/>
    <n v="968"/>
    <n v="968"/>
    <n v="0"/>
    <n v="0"/>
    <n v="0"/>
    <n v="968"/>
    <x v="78"/>
    <s v="Concept"/>
  </r>
  <r>
    <s v="RD1106"/>
    <s v="Van Noort Gassler &amp; Co Rotterdam B.V."/>
    <s v="RD5729"/>
    <x v="89"/>
    <s v="VRK"/>
    <d v="2024-12-02T00:00:00"/>
    <x v="78"/>
    <x v="798"/>
    <n v="35.090000000000003"/>
    <n v="35.090000000000003"/>
    <n v="0"/>
    <n v="0"/>
    <n v="0"/>
    <n v="35.090000000000003"/>
    <x v="78"/>
    <s v="Concept"/>
  </r>
  <r>
    <s v="RD1106"/>
    <s v="Van Noort Gassler &amp; Co Rotterdam B.V."/>
    <s v="RD5729"/>
    <x v="89"/>
    <s v="VRK"/>
    <d v="2024-12-02T00:00:00"/>
    <x v="78"/>
    <x v="799"/>
    <n v="24.2"/>
    <n v="24.2"/>
    <n v="0"/>
    <n v="0"/>
    <n v="0"/>
    <n v="24.2"/>
    <x v="78"/>
    <s v="Concept"/>
  </r>
  <r>
    <s v="RD1106"/>
    <s v="Van Noort Gassler &amp; Co Rotterdam B.V."/>
    <s v="RD5729"/>
    <x v="89"/>
    <s v="VRK"/>
    <d v="2025-01-15T00:00:00"/>
    <x v="79"/>
    <x v="800"/>
    <n v="968"/>
    <n v="968"/>
    <n v="0"/>
    <n v="0"/>
    <n v="0"/>
    <n v="968"/>
    <x v="79"/>
    <s v="Concept"/>
  </r>
  <r>
    <s v="RD1106"/>
    <s v="Van Noort Gassler &amp; Co Rotterdam B.V."/>
    <s v="RD5729"/>
    <x v="89"/>
    <s v="VRK"/>
    <d v="2025-01-15T00:00:00"/>
    <x v="79"/>
    <x v="801"/>
    <n v="121"/>
    <n v="121"/>
    <n v="0"/>
    <n v="0"/>
    <n v="0"/>
    <n v="121"/>
    <x v="79"/>
    <s v="Concept"/>
  </r>
  <r>
    <s v="RD1106"/>
    <s v="Van Noort Gassler &amp; Co Rotterdam B.V."/>
    <s v="RD5729"/>
    <x v="89"/>
    <s v="VRK"/>
    <d v="2025-01-16T00:00:00"/>
    <x v="346"/>
    <x v="802"/>
    <n v="24.2"/>
    <n v="24.2"/>
    <n v="0"/>
    <n v="0"/>
    <n v="0"/>
    <n v="24.2"/>
    <x v="346"/>
    <s v="Concept"/>
  </r>
  <r>
    <s v="RD1106"/>
    <s v="Van Noort Gassler &amp; Co Rotterdam B.V."/>
    <s v="RD5729"/>
    <x v="89"/>
    <s v="VRK"/>
    <d v="2025-01-16T00:00:00"/>
    <x v="346"/>
    <x v="803"/>
    <n v="36.909999999999997"/>
    <n v="36.909999999999997"/>
    <n v="0"/>
    <n v="0"/>
    <n v="0"/>
    <n v="36.909999999999997"/>
    <x v="346"/>
    <s v="Concept"/>
  </r>
  <r>
    <s v="RD1106"/>
    <s v="Van Noort Gassler &amp; Co Rotterdam B.V."/>
    <s v="RD5729"/>
    <x v="89"/>
    <s v="VRK"/>
    <d v="2025-02-03T00:00:00"/>
    <x v="80"/>
    <x v="804"/>
    <n v="968"/>
    <n v="968"/>
    <n v="0"/>
    <n v="0"/>
    <n v="0"/>
    <n v="968"/>
    <x v="80"/>
    <s v="Concept"/>
  </r>
  <r>
    <s v="RD1106"/>
    <s v="Van Noort Gassler &amp; Co Rotterdam B.V."/>
    <s v="RD5729"/>
    <x v="89"/>
    <s v="VRK"/>
    <d v="2025-02-03T00:00:00"/>
    <x v="80"/>
    <x v="805"/>
    <n v="121"/>
    <n v="121"/>
    <n v="0"/>
    <n v="0"/>
    <n v="0"/>
    <n v="121"/>
    <x v="80"/>
    <s v="Concept"/>
  </r>
  <r>
    <s v="RD1106"/>
    <s v="Van Noort Gassler &amp; Co Rotterdam B.V."/>
    <s v="RD5729"/>
    <x v="89"/>
    <s v="VRK"/>
    <d v="2025-02-03T00:00:00"/>
    <x v="80"/>
    <x v="806"/>
    <n v="36.909999999999997"/>
    <n v="36.909999999999997"/>
    <n v="0"/>
    <n v="0"/>
    <n v="0"/>
    <n v="36.909999999999997"/>
    <x v="80"/>
    <s v="Concept"/>
  </r>
  <r>
    <s v="RD1106"/>
    <s v="Van Noort Gassler &amp; Co Rotterdam B.V."/>
    <s v="RD5729"/>
    <x v="89"/>
    <s v="VRK"/>
    <d v="2025-03-10T00:00:00"/>
    <x v="141"/>
    <x v="807"/>
    <n v="1662.9"/>
    <n v="1662.9"/>
    <n v="0"/>
    <n v="0"/>
    <n v="0"/>
    <n v="1662.9"/>
    <x v="141"/>
    <s v="Concept"/>
  </r>
  <r>
    <s v="RD1106"/>
    <s v="Van Noort Gassler &amp; Co Rotterdam B.V."/>
    <s v="RD5729"/>
    <x v="89"/>
    <s v="VRK"/>
    <d v="2025-06-02T00:00:00"/>
    <x v="86"/>
    <x v="808"/>
    <n v="968"/>
    <n v="968"/>
    <n v="0"/>
    <n v="0"/>
    <n v="0"/>
    <n v="968"/>
    <x v="86"/>
    <s v="Concept"/>
  </r>
  <r>
    <s v="RD1106"/>
    <s v="Van Noort Gassler &amp; Co Rotterdam B.V."/>
    <s v="RD5729"/>
    <x v="89"/>
    <s v="VRK"/>
    <d v="2025-06-02T00:00:00"/>
    <x v="86"/>
    <x v="809"/>
    <n v="121"/>
    <n v="121"/>
    <n v="0"/>
    <n v="0"/>
    <n v="0"/>
    <n v="121"/>
    <x v="86"/>
    <s v="Concept"/>
  </r>
  <r>
    <s v="RD1106"/>
    <s v="Van Noort Gassler &amp; Co Rotterdam B.V."/>
    <s v="RD5729"/>
    <x v="89"/>
    <s v="VRK"/>
    <d v="2025-06-02T00:00:00"/>
    <x v="86"/>
    <x v="810"/>
    <n v="36.909999999999997"/>
    <n v="36.909999999999997"/>
    <n v="0"/>
    <n v="0"/>
    <n v="0"/>
    <n v="36.909999999999997"/>
    <x v="86"/>
    <s v="Concept"/>
  </r>
  <r>
    <s v="RD1106"/>
    <s v="Van Noort Gassler &amp; Co Rotterdam B.V."/>
    <s v="RD5729"/>
    <x v="89"/>
    <s v="VRK"/>
    <d v="2025-07-01T00:00:00"/>
    <x v="87"/>
    <x v="811"/>
    <n v="968"/>
    <n v="968"/>
    <n v="0"/>
    <n v="0"/>
    <n v="0"/>
    <n v="968"/>
    <x v="87"/>
    <s v="Concept"/>
  </r>
  <r>
    <s v="RD1106"/>
    <s v="Van Noort Gassler &amp; Co Rotterdam B.V."/>
    <s v="RD5729"/>
    <x v="89"/>
    <s v="VRK"/>
    <d v="2025-07-01T00:00:00"/>
    <x v="87"/>
    <x v="812"/>
    <n v="121"/>
    <n v="121"/>
    <n v="0"/>
    <n v="0"/>
    <n v="0"/>
    <n v="121"/>
    <x v="87"/>
    <s v="Concept"/>
  </r>
  <r>
    <s v="RD1106"/>
    <s v="Van Noort Gassler &amp; Co Rotterdam B.V."/>
    <s v="RD5729"/>
    <x v="89"/>
    <s v="VRK"/>
    <d v="2025-07-01T00:00:00"/>
    <x v="87"/>
    <x v="813"/>
    <n v="36.909999999999997"/>
    <n v="36.909999999999997"/>
    <n v="0"/>
    <n v="0"/>
    <n v="0"/>
    <n v="36.909999999999997"/>
    <x v="87"/>
    <s v="Concept"/>
  </r>
  <r>
    <s v="RD1106"/>
    <s v="Van Noort Gassler &amp; Co Rotterdam B.V."/>
    <s v="RD5729"/>
    <x v="89"/>
    <s v="VRK"/>
    <d v="2025-08-04T00:00:00"/>
    <x v="88"/>
    <x v="814"/>
    <n v="968"/>
    <n v="968"/>
    <n v="0"/>
    <n v="0"/>
    <n v="0"/>
    <n v="968"/>
    <x v="88"/>
    <s v="Concept"/>
  </r>
  <r>
    <s v="RD1106"/>
    <s v="Van Noort Gassler &amp; Co Rotterdam B.V."/>
    <s v="RD5729"/>
    <x v="89"/>
    <s v="VRK"/>
    <d v="2025-08-04T00:00:00"/>
    <x v="88"/>
    <x v="815"/>
    <n v="121"/>
    <n v="121"/>
    <n v="0"/>
    <n v="0"/>
    <n v="0"/>
    <n v="121"/>
    <x v="88"/>
    <s v="Concept"/>
  </r>
  <r>
    <s v="RD1106"/>
    <s v="Van Noort Gassler &amp; Co Rotterdam B.V."/>
    <s v="RD5729"/>
    <x v="89"/>
    <s v="VRK"/>
    <d v="2025-08-04T00:00:00"/>
    <x v="88"/>
    <x v="816"/>
    <n v="36.909999999999997"/>
    <n v="36.909999999999997"/>
    <n v="0"/>
    <n v="0"/>
    <n v="0"/>
    <n v="36.909999999999997"/>
    <x v="88"/>
    <s v="Concept"/>
  </r>
  <r>
    <s v="RD1106"/>
    <s v="Van Noort Gassler &amp; Co Rotterdam B.V."/>
    <s v="RD5729"/>
    <x v="89"/>
    <s v="VRK"/>
    <d v="2025-09-01T00:00:00"/>
    <x v="89"/>
    <x v="817"/>
    <n v="968"/>
    <n v="968"/>
    <n v="0"/>
    <n v="0"/>
    <n v="0"/>
    <n v="968"/>
    <x v="89"/>
    <s v="Concept"/>
  </r>
  <r>
    <s v="RD1106"/>
    <s v="Van Noort Gassler &amp; Co Rotterdam B.V."/>
    <s v="RD5729"/>
    <x v="89"/>
    <s v="VRK"/>
    <d v="2025-09-01T00:00:00"/>
    <x v="89"/>
    <x v="818"/>
    <n v="121"/>
    <n v="121"/>
    <n v="0"/>
    <n v="0"/>
    <n v="0"/>
    <n v="121"/>
    <x v="89"/>
    <s v="Concept"/>
  </r>
  <r>
    <s v="RD1106"/>
    <s v="Van Noort Gassler &amp; Co Rotterdam B.V."/>
    <s v="RD5729"/>
    <x v="89"/>
    <s v="VRK"/>
    <d v="2025-09-01T00:00:00"/>
    <x v="89"/>
    <x v="819"/>
    <n v="36.909999999999997"/>
    <n v="36.909999999999997"/>
    <n v="0"/>
    <n v="0"/>
    <n v="0"/>
    <n v="36.909999999999997"/>
    <x v="89"/>
    <s v="Concept"/>
  </r>
  <r>
    <s v="RD1106"/>
    <s v="Van Noort Gassler &amp; Co Rotterdam B.V."/>
    <s v="RD5729"/>
    <x v="89"/>
    <s v="VRK"/>
    <d v="2025-10-06T00:00:00"/>
    <x v="90"/>
    <x v="820"/>
    <n v="968"/>
    <n v="968"/>
    <n v="0"/>
    <n v="0"/>
    <n v="0"/>
    <n v="968"/>
    <x v="90"/>
    <s v="Concept"/>
  </r>
  <r>
    <s v="RD1106"/>
    <s v="Van Noort Gassler &amp; Co Rotterdam B.V."/>
    <s v="RD5729"/>
    <x v="89"/>
    <s v="VRK"/>
    <d v="2025-10-06T00:00:00"/>
    <x v="90"/>
    <x v="821"/>
    <n v="121"/>
    <n v="121"/>
    <n v="0"/>
    <n v="0"/>
    <n v="0"/>
    <n v="121"/>
    <x v="90"/>
    <s v="Concept"/>
  </r>
  <r>
    <s v="RD1106"/>
    <s v="Van Noort Gassler &amp; Co Rotterdam B.V."/>
    <s v="RD5729"/>
    <x v="89"/>
    <s v="VRK"/>
    <d v="2025-10-06T00:00:00"/>
    <x v="90"/>
    <x v="822"/>
    <n v="36.909999999999997"/>
    <n v="36.909999999999997"/>
    <n v="0"/>
    <n v="0"/>
    <n v="0"/>
    <n v="36.909999999999997"/>
    <x v="90"/>
    <s v="Concept"/>
  </r>
  <r>
    <s v="RD1106"/>
    <s v="Van Noort Gassler &amp; Co Rotterdam B.V."/>
    <s v="RD5729"/>
    <x v="89"/>
    <s v="VRK"/>
    <d v="2025-11-05T00:00:00"/>
    <x v="91"/>
    <x v="823"/>
    <n v="968"/>
    <n v="968"/>
    <n v="0"/>
    <n v="0"/>
    <n v="0"/>
    <n v="968"/>
    <x v="91"/>
    <s v="Concept"/>
  </r>
  <r>
    <s v="RD1106"/>
    <s v="Van Noort Gassler &amp; Co Rotterdam B.V."/>
    <s v="RD5729"/>
    <x v="89"/>
    <s v="VRK"/>
    <d v="2025-11-05T00:00:00"/>
    <x v="91"/>
    <x v="824"/>
    <n v="121"/>
    <n v="121"/>
    <n v="0"/>
    <n v="0"/>
    <n v="0"/>
    <n v="121"/>
    <x v="91"/>
    <s v="Concept"/>
  </r>
  <r>
    <s v="RD1106"/>
    <s v="Van Noort Gassler &amp; Co Rotterdam B.V."/>
    <s v="RD5729"/>
    <x v="89"/>
    <s v="VRK"/>
    <d v="2025-11-05T00:00:00"/>
    <x v="91"/>
    <x v="825"/>
    <n v="36.909999999999997"/>
    <n v="36.909999999999997"/>
    <n v="0"/>
    <n v="0"/>
    <n v="0"/>
    <n v="36.909999999999997"/>
    <x v="91"/>
    <s v="Concept"/>
  </r>
  <r>
    <s v="RD1106"/>
    <s v="Van Noort Gassler &amp; Co Rotterdam B.V."/>
    <s v="RD5729"/>
    <x v="89"/>
    <s v="VRK"/>
    <d v="2025-12-02T00:00:00"/>
    <x v="92"/>
    <x v="826"/>
    <n v="121"/>
    <n v="121"/>
    <n v="0"/>
    <n v="0"/>
    <n v="0"/>
    <n v="121"/>
    <x v="92"/>
    <s v="Concept"/>
  </r>
  <r>
    <s v="RD1106"/>
    <s v="Van Noort Gassler &amp; Co Rotterdam B.V."/>
    <s v="RD5729"/>
    <x v="89"/>
    <s v="VRK"/>
    <d v="2025-12-02T00:00:00"/>
    <x v="92"/>
    <x v="827"/>
    <n v="968"/>
    <n v="968"/>
    <n v="0"/>
    <n v="0"/>
    <n v="0"/>
    <n v="968"/>
    <x v="92"/>
    <s v="Concept"/>
  </r>
  <r>
    <s v="RD1106"/>
    <s v="Van Noort Gassler &amp; Co Rotterdam B.V."/>
    <s v="RD5729"/>
    <x v="89"/>
    <s v="VRK"/>
    <d v="2025-12-02T00:00:00"/>
    <x v="92"/>
    <x v="828"/>
    <n v="36.909999999999997"/>
    <n v="36.909999999999997"/>
    <n v="0"/>
    <n v="0"/>
    <n v="0"/>
    <n v="36.909999999999997"/>
    <x v="92"/>
    <s v="Concept"/>
  </r>
  <r>
    <s v="RD1106"/>
    <s v="Van Noort Gassler &amp; Co Rotterdam B.V."/>
    <s v="RD5729"/>
    <x v="89"/>
    <s v="VRK"/>
    <d v="2026-01-08T00:00:00"/>
    <x v="93"/>
    <x v="829"/>
    <n v="121"/>
    <n v="121"/>
    <n v="0"/>
    <n v="0"/>
    <n v="0"/>
    <n v="121"/>
    <x v="93"/>
    <s v="Concept"/>
  </r>
  <r>
    <s v="RD1106"/>
    <s v="Van Noort Gassler &amp; Co Rotterdam B.V."/>
    <s v="RD5729"/>
    <x v="89"/>
    <s v="VRK"/>
    <d v="2026-02-02T00:00:00"/>
    <x v="95"/>
    <x v="830"/>
    <n v="121"/>
    <n v="121"/>
    <n v="0"/>
    <n v="0"/>
    <n v="121"/>
    <n v="0"/>
    <x v="95"/>
    <s v="Concept"/>
  </r>
  <r>
    <s v="RD1106"/>
    <s v="Van Noort Gassler &amp; Co Rotterdam B.V."/>
    <s v="RD5729"/>
    <x v="89"/>
    <s v="VRK"/>
    <d v="2026-03-04T00:00:00"/>
    <x v="96"/>
    <x v="831"/>
    <n v="121"/>
    <n v="121"/>
    <n v="0"/>
    <n v="121"/>
    <n v="0"/>
    <n v="0"/>
    <x v="96"/>
    <s v="Concept"/>
  </r>
  <r>
    <s v="RD1106"/>
    <s v="Van Noort Gassler &amp; Co Rotterdam B.V."/>
    <s v="RD5729"/>
    <x v="89"/>
    <s v="VRK"/>
    <d v="2026-03-10T00:00:00"/>
    <x v="347"/>
    <x v="832"/>
    <n v="-121"/>
    <n v="-121"/>
    <n v="0"/>
    <n v="-121"/>
    <n v="0"/>
    <n v="0"/>
    <x v="347"/>
    <s v="Concept"/>
  </r>
  <r>
    <s v="RD1106"/>
    <s v="Van Noort Gassler &amp; Co Rotterdam B.V."/>
    <s v="RD5729"/>
    <x v="89"/>
    <s v="VRK"/>
    <d v="2026-03-10T00:00:00"/>
    <x v="347"/>
    <x v="833"/>
    <n v="121"/>
    <n v="121"/>
    <n v="0"/>
    <n v="121"/>
    <n v="0"/>
    <n v="0"/>
    <x v="347"/>
    <s v="Concept"/>
  </r>
  <r>
    <s v="RD1106"/>
    <s v="Van Noort Gassler &amp; Co Rotterdam B.V."/>
    <s v="RD5729"/>
    <x v="89"/>
    <s v="VRK"/>
    <d v="2026-03-23T00:00:00"/>
    <x v="198"/>
    <x v="834"/>
    <n v="1721.71"/>
    <n v="1721.71"/>
    <n v="0"/>
    <n v="1721.71"/>
    <n v="0"/>
    <n v="0"/>
    <x v="198"/>
    <s v="Concept"/>
  </r>
  <r>
    <s v="RD1106"/>
    <s v="Van Noort Gassler &amp; Co Rotterdam B.V."/>
    <s v="RD5729"/>
    <x v="89"/>
    <s v="VRK"/>
    <d v="2026-04-06T00:00:00"/>
    <x v="98"/>
    <x v="835"/>
    <n v="121"/>
    <n v="121"/>
    <n v="121"/>
    <n v="0"/>
    <n v="0"/>
    <n v="0"/>
    <x v="98"/>
    <s v="Concept"/>
  </r>
  <r>
    <s v="RD1106"/>
    <s v="Van Noort Gassler &amp; Co Rotterdam B.V."/>
    <s v="RD5729"/>
    <x v="89"/>
    <s v="VRK"/>
    <d v="2026-04-13T00:00:00"/>
    <x v="335"/>
    <x v="836"/>
    <n v="-121"/>
    <n v="-121"/>
    <n v="-121"/>
    <n v="0"/>
    <n v="0"/>
    <n v="0"/>
    <x v="335"/>
    <s v="Concept"/>
  </r>
  <r>
    <s v="RD1106"/>
    <s v="Van Noort Gassler &amp; Co Rotterdam B.V."/>
    <s v="RD5729"/>
    <x v="89"/>
    <s v="VRK"/>
    <d v="2026-04-14T00:00:00"/>
    <x v="348"/>
    <x v="837"/>
    <n v="-121"/>
    <n v="-121"/>
    <n v="-121"/>
    <n v="0"/>
    <n v="0"/>
    <n v="0"/>
    <x v="348"/>
    <s v="Concept"/>
  </r>
  <r>
    <s v="RD1106"/>
    <s v="Van Noort Gassler &amp; Co Rotterdam B.V."/>
    <s v="RD5729"/>
    <x v="89"/>
    <s v="VRK"/>
    <d v="2026-04-14T00:00:00"/>
    <x v="348"/>
    <x v="838"/>
    <n v="-121"/>
    <n v="-121"/>
    <n v="-121"/>
    <n v="0"/>
    <n v="0"/>
    <n v="0"/>
    <x v="348"/>
    <s v="Concept"/>
  </r>
  <r>
    <s v="RD1106"/>
    <s v="Van Noort Gassler &amp; Co Rotterdam B.V."/>
    <s v="RD5729"/>
    <x v="89"/>
    <s v="VRK"/>
    <d v="2026-04-14T00:00:00"/>
    <x v="348"/>
    <x v="839"/>
    <n v="-121"/>
    <n v="-121"/>
    <n v="-121"/>
    <n v="0"/>
    <n v="0"/>
    <n v="0"/>
    <x v="348"/>
    <s v="Concept"/>
  </r>
  <r>
    <s v="RD1106"/>
    <s v="Van Noort Gassler &amp; Co Rotterdam B.V."/>
    <s v="RD5734"/>
    <x v="90"/>
    <s v="VRK"/>
    <d v="2021-08-04T00:00:00"/>
    <x v="28"/>
    <x v="840"/>
    <n v="24.2"/>
    <n v="24.2"/>
    <n v="0"/>
    <n v="0"/>
    <n v="0"/>
    <n v="24.2"/>
    <x v="28"/>
    <s v="Definitief"/>
  </r>
  <r>
    <s v="RD1106"/>
    <s v="Van Noort Gassler &amp; Co Rotterdam B.V."/>
    <s v="RD5734"/>
    <x v="90"/>
    <s v="VRK"/>
    <d v="2022-07-12T00:00:00"/>
    <x v="41"/>
    <x v="841"/>
    <n v="242"/>
    <n v="242"/>
    <n v="0"/>
    <n v="0"/>
    <n v="0"/>
    <n v="242"/>
    <x v="41"/>
    <s v="Definitief"/>
  </r>
  <r>
    <s v="RD1106"/>
    <s v="Van Noort Gassler &amp; Co Rotterdam B.V."/>
    <s v="RD5734"/>
    <x v="90"/>
    <s v="VRK"/>
    <d v="2022-10-17T00:00:00"/>
    <x v="349"/>
    <x v="842"/>
    <n v="9981.65"/>
    <n v="9981.65"/>
    <n v="0"/>
    <n v="0"/>
    <n v="0"/>
    <n v="9981.65"/>
    <x v="349"/>
    <s v="Definitief"/>
  </r>
  <r>
    <s v="RD1106"/>
    <s v="Van Noort Gassler &amp; Co Rotterdam B.V."/>
    <s v="RD5734"/>
    <x v="90"/>
    <s v="VRK"/>
    <d v="2022-11-03T00:00:00"/>
    <x v="45"/>
    <x v="843"/>
    <n v="24.2"/>
    <n v="24.2"/>
    <n v="0"/>
    <n v="0"/>
    <n v="0"/>
    <n v="24.2"/>
    <x v="45"/>
    <s v="Definitief"/>
  </r>
  <r>
    <s v="RD1106"/>
    <s v="Van Noort Gassler &amp; Co Rotterdam B.V."/>
    <s v="RD5734"/>
    <x v="90"/>
    <s v="VRK"/>
    <d v="2023-02-15T00:00:00"/>
    <x v="350"/>
    <x v="844"/>
    <n v="314.60000000000002"/>
    <n v="314.60000000000002"/>
    <n v="0"/>
    <n v="0"/>
    <n v="0"/>
    <n v="314.60000000000002"/>
    <x v="350"/>
    <s v="Definitief"/>
  </r>
  <r>
    <s v="RD1106"/>
    <s v="Van Noort Gassler &amp; Co Rotterdam B.V."/>
    <s v="RD5734"/>
    <x v="90"/>
    <s v="VRK"/>
    <d v="2023-03-31T00:00:00"/>
    <x v="351"/>
    <x v="845"/>
    <n v="983.13"/>
    <n v="983.13"/>
    <n v="0"/>
    <n v="0"/>
    <n v="0"/>
    <n v="983.13"/>
    <x v="351"/>
    <s v="Definitief"/>
  </r>
  <r>
    <s v="RD1106"/>
    <s v="Van Noort Gassler &amp; Co Rotterdam B.V."/>
    <s v="RD5734"/>
    <x v="90"/>
    <s v="VRK"/>
    <d v="2023-05-02T00:00:00"/>
    <x v="54"/>
    <x v="846"/>
    <n v="242"/>
    <n v="242"/>
    <n v="0"/>
    <n v="0"/>
    <n v="0"/>
    <n v="242"/>
    <x v="54"/>
    <s v="Definitief"/>
  </r>
  <r>
    <s v="RD1106"/>
    <s v="Van Noort Gassler &amp; Co Rotterdam B.V."/>
    <s v="RD5734"/>
    <x v="90"/>
    <s v="VRK"/>
    <d v="2023-05-02T00:00:00"/>
    <x v="54"/>
    <x v="847"/>
    <n v="24.2"/>
    <n v="24.2"/>
    <n v="0"/>
    <n v="0"/>
    <n v="0"/>
    <n v="24.2"/>
    <x v="54"/>
    <s v="Definitief"/>
  </r>
  <r>
    <s v="RD1106"/>
    <s v="Van Noort Gassler &amp; Co Rotterdam B.V."/>
    <s v="RD5734"/>
    <x v="90"/>
    <s v="VRK"/>
    <d v="2023-06-05T00:00:00"/>
    <x v="55"/>
    <x v="848"/>
    <n v="242"/>
    <n v="242"/>
    <n v="0"/>
    <n v="0"/>
    <n v="0"/>
    <n v="242"/>
    <x v="55"/>
    <s v="Definitief"/>
  </r>
  <r>
    <s v="RD1106"/>
    <s v="Van Noort Gassler &amp; Co Rotterdam B.V."/>
    <s v="RD5734"/>
    <x v="90"/>
    <s v="VRK"/>
    <d v="2023-06-05T00:00:00"/>
    <x v="55"/>
    <x v="849"/>
    <n v="24.2"/>
    <n v="24.2"/>
    <n v="0"/>
    <n v="0"/>
    <n v="0"/>
    <n v="24.2"/>
    <x v="55"/>
    <s v="Definitief"/>
  </r>
  <r>
    <s v="RD1106"/>
    <s v="Van Noort Gassler &amp; Co Rotterdam B.V."/>
    <s v="RD5734"/>
    <x v="90"/>
    <s v="VRK"/>
    <d v="2023-07-03T00:00:00"/>
    <x v="56"/>
    <x v="850"/>
    <n v="242"/>
    <n v="242"/>
    <n v="0"/>
    <n v="0"/>
    <n v="0"/>
    <n v="242"/>
    <x v="56"/>
    <s v="Definitief"/>
  </r>
  <r>
    <s v="RD1106"/>
    <s v="Van Noort Gassler &amp; Co Rotterdam B.V."/>
    <s v="RD5734"/>
    <x v="90"/>
    <s v="VRK"/>
    <d v="2023-07-03T00:00:00"/>
    <x v="56"/>
    <x v="851"/>
    <n v="24.2"/>
    <n v="24.2"/>
    <n v="0"/>
    <n v="0"/>
    <n v="0"/>
    <n v="24.2"/>
    <x v="56"/>
    <s v="Definitief"/>
  </r>
  <r>
    <s v="RD1106"/>
    <s v="Van Noort Gassler &amp; Co Rotterdam B.V."/>
    <s v="RD5734"/>
    <x v="90"/>
    <s v="VRK"/>
    <d v="2023-08-03T00:00:00"/>
    <x v="57"/>
    <x v="852"/>
    <n v="242"/>
    <n v="242"/>
    <n v="0"/>
    <n v="0"/>
    <n v="0"/>
    <n v="242"/>
    <x v="57"/>
    <s v="Definitief"/>
  </r>
  <r>
    <s v="RD1106"/>
    <s v="Van Noort Gassler &amp; Co Rotterdam B.V."/>
    <s v="RD5734"/>
    <x v="90"/>
    <s v="VRK"/>
    <d v="2023-08-03T00:00:00"/>
    <x v="57"/>
    <x v="853"/>
    <n v="24.2"/>
    <n v="24.2"/>
    <n v="0"/>
    <n v="0"/>
    <n v="0"/>
    <n v="24.2"/>
    <x v="57"/>
    <s v="Definitief"/>
  </r>
  <r>
    <s v="RD1106"/>
    <s v="Van Noort Gassler &amp; Co Rotterdam B.V."/>
    <s v="RD5734"/>
    <x v="90"/>
    <s v="VRK"/>
    <d v="2023-09-05T00:00:00"/>
    <x v="58"/>
    <x v="854"/>
    <n v="242"/>
    <n v="242"/>
    <n v="0"/>
    <n v="0"/>
    <n v="0"/>
    <n v="242"/>
    <x v="58"/>
    <s v="Definitief"/>
  </r>
  <r>
    <s v="RD1106"/>
    <s v="Van Noort Gassler &amp; Co Rotterdam B.V."/>
    <s v="RD5734"/>
    <x v="90"/>
    <s v="VRK"/>
    <d v="2023-09-05T00:00:00"/>
    <x v="58"/>
    <x v="855"/>
    <n v="24.2"/>
    <n v="24.2"/>
    <n v="0"/>
    <n v="0"/>
    <n v="0"/>
    <n v="24.2"/>
    <x v="58"/>
    <s v="Definitief"/>
  </r>
  <r>
    <s v="RD1106"/>
    <s v="Van Noort Gassler &amp; Co Rotterdam B.V."/>
    <s v="RD5734"/>
    <x v="90"/>
    <s v="VRK"/>
    <d v="2023-10-03T00:00:00"/>
    <x v="59"/>
    <x v="856"/>
    <n v="242"/>
    <n v="242"/>
    <n v="0"/>
    <n v="0"/>
    <n v="0"/>
    <n v="242"/>
    <x v="59"/>
    <s v="Definitief"/>
  </r>
  <r>
    <s v="RD1106"/>
    <s v="Van Noort Gassler &amp; Co Rotterdam B.V."/>
    <s v="RD5734"/>
    <x v="90"/>
    <s v="VRK"/>
    <d v="2023-10-03T00:00:00"/>
    <x v="59"/>
    <x v="857"/>
    <n v="24.2"/>
    <n v="24.2"/>
    <n v="0"/>
    <n v="0"/>
    <n v="0"/>
    <n v="24.2"/>
    <x v="59"/>
    <s v="Definitief"/>
  </r>
  <r>
    <s v="RD1106"/>
    <s v="Van Noort Gassler &amp; Co Rotterdam B.V."/>
    <s v="RD5734"/>
    <x v="90"/>
    <s v="VRK"/>
    <d v="2023-11-07T00:00:00"/>
    <x v="60"/>
    <x v="858"/>
    <n v="242"/>
    <n v="242"/>
    <n v="0"/>
    <n v="0"/>
    <n v="0"/>
    <n v="242"/>
    <x v="60"/>
    <s v="Definitief"/>
  </r>
  <r>
    <s v="RD1106"/>
    <s v="Van Noort Gassler &amp; Co Rotterdam B.V."/>
    <s v="RD5734"/>
    <x v="90"/>
    <s v="VRK"/>
    <d v="2023-11-07T00:00:00"/>
    <x v="60"/>
    <x v="859"/>
    <n v="24.2"/>
    <n v="24.2"/>
    <n v="0"/>
    <n v="0"/>
    <n v="0"/>
    <n v="24.2"/>
    <x v="60"/>
    <s v="Definitief"/>
  </r>
  <r>
    <s v="RD1106"/>
    <s v="Van Noort Gassler &amp; Co Rotterdam B.V."/>
    <s v="RD5734"/>
    <x v="90"/>
    <s v="VRK"/>
    <d v="2023-12-05T00:00:00"/>
    <x v="61"/>
    <x v="860"/>
    <n v="242"/>
    <n v="242"/>
    <n v="0"/>
    <n v="0"/>
    <n v="0"/>
    <n v="242"/>
    <x v="61"/>
    <s v="Definitief"/>
  </r>
  <r>
    <s v="RD1106"/>
    <s v="Van Noort Gassler &amp; Co Rotterdam B.V."/>
    <s v="RD5734"/>
    <x v="90"/>
    <s v="VRK"/>
    <d v="2023-12-05T00:00:00"/>
    <x v="61"/>
    <x v="861"/>
    <n v="24.2"/>
    <n v="24.2"/>
    <n v="0"/>
    <n v="0"/>
    <n v="0"/>
    <n v="24.2"/>
    <x v="61"/>
    <s v="Definitief"/>
  </r>
  <r>
    <s v="RD1106"/>
    <s v="Van Noort Gassler &amp; Co Rotterdam B.V."/>
    <s v="RD5734"/>
    <x v="90"/>
    <s v="VRK"/>
    <d v="2024-01-04T00:00:00"/>
    <x v="62"/>
    <x v="862"/>
    <n v="242"/>
    <n v="242"/>
    <n v="0"/>
    <n v="0"/>
    <n v="0"/>
    <n v="242"/>
    <x v="62"/>
    <s v="Concept"/>
  </r>
  <r>
    <s v="RD1106"/>
    <s v="Van Noort Gassler &amp; Co Rotterdam B.V."/>
    <s v="RD5734"/>
    <x v="90"/>
    <s v="VRK"/>
    <d v="2024-01-04T00:00:00"/>
    <x v="62"/>
    <x v="863"/>
    <n v="24.2"/>
    <n v="24.2"/>
    <n v="0"/>
    <n v="0"/>
    <n v="0"/>
    <n v="24.2"/>
    <x v="62"/>
    <s v="Concept"/>
  </r>
  <r>
    <s v="RD1106"/>
    <s v="Van Noort Gassler &amp; Co Rotterdam B.V."/>
    <s v="RD5734"/>
    <x v="90"/>
    <s v="VRK"/>
    <d v="2024-02-05T00:00:00"/>
    <x v="64"/>
    <x v="864"/>
    <n v="24.2"/>
    <n v="24.2"/>
    <n v="0"/>
    <n v="0"/>
    <n v="0"/>
    <n v="24.2"/>
    <x v="64"/>
    <s v="Concept"/>
  </r>
  <r>
    <s v="RD1106"/>
    <s v="Van Noort Gassler &amp; Co Rotterdam B.V."/>
    <s v="RD5734"/>
    <x v="90"/>
    <s v="VRK"/>
    <d v="2024-02-05T00:00:00"/>
    <x v="64"/>
    <x v="865"/>
    <n v="242"/>
    <n v="242"/>
    <n v="0"/>
    <n v="0"/>
    <n v="0"/>
    <n v="242"/>
    <x v="64"/>
    <s v="Concept"/>
  </r>
  <r>
    <s v="RD1106"/>
    <s v="Van Noort Gassler &amp; Co Rotterdam B.V."/>
    <s v="RD5734"/>
    <x v="90"/>
    <s v="VRK"/>
    <d v="2024-03-04T00:00:00"/>
    <x v="352"/>
    <x v="866"/>
    <n v="605"/>
    <n v="605"/>
    <n v="0"/>
    <n v="0"/>
    <n v="0"/>
    <n v="605"/>
    <x v="352"/>
    <s v="Concept"/>
  </r>
  <r>
    <s v="RD1106"/>
    <s v="Van Noort Gassler &amp; Co Rotterdam B.V."/>
    <s v="RD5734"/>
    <x v="90"/>
    <s v="VRK"/>
    <d v="2024-03-06T00:00:00"/>
    <x v="65"/>
    <x v="867"/>
    <n v="242"/>
    <n v="242"/>
    <n v="0"/>
    <n v="0"/>
    <n v="0"/>
    <n v="242"/>
    <x v="65"/>
    <s v="Concept"/>
  </r>
  <r>
    <s v="RD1106"/>
    <s v="Van Noort Gassler &amp; Co Rotterdam B.V."/>
    <s v="RD5734"/>
    <x v="90"/>
    <s v="VRK"/>
    <d v="2024-03-06T00:00:00"/>
    <x v="65"/>
    <x v="868"/>
    <n v="24.2"/>
    <n v="24.2"/>
    <n v="0"/>
    <n v="0"/>
    <n v="0"/>
    <n v="24.2"/>
    <x v="65"/>
    <s v="Concept"/>
  </r>
  <r>
    <s v="RD1106"/>
    <s v="Van Noort Gassler &amp; Co Rotterdam B.V."/>
    <s v="RD5734"/>
    <x v="90"/>
    <s v="VRK"/>
    <d v="2024-04-04T00:00:00"/>
    <x v="67"/>
    <x v="869"/>
    <n v="242"/>
    <n v="242"/>
    <n v="0"/>
    <n v="0"/>
    <n v="0"/>
    <n v="242"/>
    <x v="67"/>
    <s v="Concept"/>
  </r>
  <r>
    <s v="RD1106"/>
    <s v="Van Noort Gassler &amp; Co Rotterdam B.V."/>
    <s v="RD5734"/>
    <x v="90"/>
    <s v="VRK"/>
    <d v="2024-04-04T00:00:00"/>
    <x v="67"/>
    <x v="870"/>
    <n v="24.2"/>
    <n v="24.2"/>
    <n v="0"/>
    <n v="0"/>
    <n v="0"/>
    <n v="24.2"/>
    <x v="67"/>
    <s v="Concept"/>
  </r>
  <r>
    <s v="RD1106"/>
    <s v="Van Noort Gassler &amp; Co Rotterdam B.V."/>
    <s v="RD5734"/>
    <x v="90"/>
    <s v="VRK"/>
    <d v="2024-05-06T00:00:00"/>
    <x v="69"/>
    <x v="871"/>
    <n v="242"/>
    <n v="242"/>
    <n v="0"/>
    <n v="0"/>
    <n v="0"/>
    <n v="242"/>
    <x v="69"/>
    <s v="Concept"/>
  </r>
  <r>
    <s v="RD1106"/>
    <s v="Van Noort Gassler &amp; Co Rotterdam B.V."/>
    <s v="RD5734"/>
    <x v="90"/>
    <s v="VRK"/>
    <d v="2024-05-06T00:00:00"/>
    <x v="69"/>
    <x v="872"/>
    <n v="24.2"/>
    <n v="24.2"/>
    <n v="0"/>
    <n v="0"/>
    <n v="0"/>
    <n v="24.2"/>
    <x v="69"/>
    <s v="Concept"/>
  </r>
  <r>
    <s v="RD1106"/>
    <s v="Van Noort Gassler &amp; Co Rotterdam B.V."/>
    <s v="RD5734"/>
    <x v="90"/>
    <s v="VRK"/>
    <d v="2024-06-03T00:00:00"/>
    <x v="70"/>
    <x v="873"/>
    <n v="242"/>
    <n v="242"/>
    <n v="0"/>
    <n v="0"/>
    <n v="0"/>
    <n v="242"/>
    <x v="70"/>
    <s v="Concept"/>
  </r>
  <r>
    <s v="RD1106"/>
    <s v="Van Noort Gassler &amp; Co Rotterdam B.V."/>
    <s v="RD5734"/>
    <x v="90"/>
    <s v="VRK"/>
    <d v="2024-06-03T00:00:00"/>
    <x v="70"/>
    <x v="874"/>
    <n v="24.2"/>
    <n v="24.2"/>
    <n v="0"/>
    <n v="0"/>
    <n v="0"/>
    <n v="24.2"/>
    <x v="70"/>
    <s v="Concept"/>
  </r>
  <r>
    <s v="RD1106"/>
    <s v="Van Noort Gassler &amp; Co Rotterdam B.V."/>
    <s v="RD5734"/>
    <x v="90"/>
    <s v="VRK"/>
    <d v="2024-06-13T00:00:00"/>
    <x v="353"/>
    <x v="875"/>
    <n v="302.5"/>
    <n v="302.5"/>
    <n v="0"/>
    <n v="0"/>
    <n v="0"/>
    <n v="302.5"/>
    <x v="353"/>
    <s v="Concept"/>
  </r>
  <r>
    <s v="RD1106"/>
    <s v="Van Noort Gassler &amp; Co Rotterdam B.V."/>
    <s v="RD5734"/>
    <x v="90"/>
    <s v="VRK"/>
    <d v="2024-07-08T00:00:00"/>
    <x v="72"/>
    <x v="876"/>
    <n v="242"/>
    <n v="242"/>
    <n v="0"/>
    <n v="0"/>
    <n v="0"/>
    <n v="242"/>
    <x v="72"/>
    <s v="Concept"/>
  </r>
  <r>
    <s v="RD1106"/>
    <s v="Van Noort Gassler &amp; Co Rotterdam B.V."/>
    <s v="RD5734"/>
    <x v="90"/>
    <s v="VRK"/>
    <d v="2024-07-08T00:00:00"/>
    <x v="72"/>
    <x v="877"/>
    <n v="24.2"/>
    <n v="24.2"/>
    <n v="0"/>
    <n v="0"/>
    <n v="0"/>
    <n v="24.2"/>
    <x v="72"/>
    <s v="Concept"/>
  </r>
  <r>
    <s v="RD1106"/>
    <s v="Van Noort Gassler &amp; Co Rotterdam B.V."/>
    <s v="RD5734"/>
    <x v="90"/>
    <s v="VRK"/>
    <d v="2024-07-18T00:00:00"/>
    <x v="354"/>
    <x v="878"/>
    <n v="605"/>
    <n v="605"/>
    <n v="0"/>
    <n v="0"/>
    <n v="0"/>
    <n v="605"/>
    <x v="354"/>
    <s v="Concept"/>
  </r>
  <r>
    <s v="RD1106"/>
    <s v="Van Noort Gassler &amp; Co Rotterdam B.V."/>
    <s v="RD5734"/>
    <x v="90"/>
    <s v="VRK"/>
    <d v="2024-08-05T00:00:00"/>
    <x v="73"/>
    <x v="879"/>
    <n v="242"/>
    <n v="242"/>
    <n v="0"/>
    <n v="0"/>
    <n v="0"/>
    <n v="242"/>
    <x v="73"/>
    <s v="Concept"/>
  </r>
  <r>
    <s v="RD1106"/>
    <s v="Van Noort Gassler &amp; Co Rotterdam B.V."/>
    <s v="RD5734"/>
    <x v="90"/>
    <s v="VRK"/>
    <d v="2024-08-05T00:00:00"/>
    <x v="73"/>
    <x v="880"/>
    <n v="24.2"/>
    <n v="24.2"/>
    <n v="0"/>
    <n v="0"/>
    <n v="0"/>
    <n v="24.2"/>
    <x v="73"/>
    <s v="Concept"/>
  </r>
  <r>
    <s v="RD1106"/>
    <s v="Van Noort Gassler &amp; Co Rotterdam B.V."/>
    <s v="RD5734"/>
    <x v="90"/>
    <s v="VRK"/>
    <d v="2024-09-02T00:00:00"/>
    <x v="74"/>
    <x v="881"/>
    <n v="242"/>
    <n v="242"/>
    <n v="0"/>
    <n v="0"/>
    <n v="0"/>
    <n v="242"/>
    <x v="74"/>
    <s v="Concept"/>
  </r>
  <r>
    <s v="RD1106"/>
    <s v="Van Noort Gassler &amp; Co Rotterdam B.V."/>
    <s v="RD5734"/>
    <x v="90"/>
    <s v="VRK"/>
    <d v="2024-09-02T00:00:00"/>
    <x v="74"/>
    <x v="882"/>
    <n v="24.2"/>
    <n v="24.2"/>
    <n v="0"/>
    <n v="0"/>
    <n v="0"/>
    <n v="24.2"/>
    <x v="74"/>
    <s v="Concept"/>
  </r>
  <r>
    <s v="RD1106"/>
    <s v="Van Noort Gassler &amp; Co Rotterdam B.V."/>
    <s v="RD5734"/>
    <x v="90"/>
    <s v="VRK"/>
    <d v="2024-10-07T00:00:00"/>
    <x v="76"/>
    <x v="883"/>
    <n v="242"/>
    <n v="242"/>
    <n v="0"/>
    <n v="0"/>
    <n v="0"/>
    <n v="242"/>
    <x v="76"/>
    <s v="Concept"/>
  </r>
  <r>
    <s v="RD1106"/>
    <s v="Van Noort Gassler &amp; Co Rotterdam B.V."/>
    <s v="RD5734"/>
    <x v="90"/>
    <s v="VRK"/>
    <d v="2024-10-07T00:00:00"/>
    <x v="76"/>
    <x v="884"/>
    <n v="24.2"/>
    <n v="24.2"/>
    <n v="0"/>
    <n v="0"/>
    <n v="0"/>
    <n v="24.2"/>
    <x v="76"/>
    <s v="Concept"/>
  </r>
  <r>
    <s v="RD1106"/>
    <s v="Van Noort Gassler &amp; Co Rotterdam B.V."/>
    <s v="RD5734"/>
    <x v="90"/>
    <s v="VRK"/>
    <d v="2024-11-04T00:00:00"/>
    <x v="77"/>
    <x v="885"/>
    <n v="242"/>
    <n v="242"/>
    <n v="0"/>
    <n v="0"/>
    <n v="0"/>
    <n v="242"/>
    <x v="77"/>
    <s v="Concept"/>
  </r>
  <r>
    <s v="RD1106"/>
    <s v="Van Noort Gassler &amp; Co Rotterdam B.V."/>
    <s v="RD5734"/>
    <x v="90"/>
    <s v="VRK"/>
    <d v="2024-11-04T00:00:00"/>
    <x v="77"/>
    <x v="886"/>
    <n v="24.2"/>
    <n v="24.2"/>
    <n v="0"/>
    <n v="0"/>
    <n v="0"/>
    <n v="24.2"/>
    <x v="77"/>
    <s v="Concept"/>
  </r>
  <r>
    <s v="RD1106"/>
    <s v="Van Noort Gassler &amp; Co Rotterdam B.V."/>
    <s v="RD5734"/>
    <x v="90"/>
    <s v="VRK"/>
    <d v="2024-12-02T00:00:00"/>
    <x v="78"/>
    <x v="887"/>
    <n v="242"/>
    <n v="242"/>
    <n v="0"/>
    <n v="0"/>
    <n v="0"/>
    <n v="242"/>
    <x v="78"/>
    <s v="Concept"/>
  </r>
  <r>
    <s v="RD1106"/>
    <s v="Van Noort Gassler &amp; Co Rotterdam B.V."/>
    <s v="RD5734"/>
    <x v="90"/>
    <s v="VRK"/>
    <d v="2024-12-02T00:00:00"/>
    <x v="78"/>
    <x v="888"/>
    <n v="24.2"/>
    <n v="24.2"/>
    <n v="0"/>
    <n v="0"/>
    <n v="0"/>
    <n v="24.2"/>
    <x v="78"/>
    <s v="Concept"/>
  </r>
  <r>
    <s v="RD1106"/>
    <s v="Van Noort Gassler &amp; Co Rotterdam B.V."/>
    <s v="RD5734"/>
    <x v="90"/>
    <s v="VRK"/>
    <d v="2025-01-06T00:00:00"/>
    <x v="355"/>
    <x v="889"/>
    <n v="536.94000000000005"/>
    <n v="536.94000000000005"/>
    <n v="0"/>
    <n v="0"/>
    <n v="0"/>
    <n v="536.94000000000005"/>
    <x v="355"/>
    <s v="Concept"/>
  </r>
  <r>
    <s v="RD1106"/>
    <s v="Van Noort Gassler &amp; Co Rotterdam B.V."/>
    <s v="RD5734"/>
    <x v="90"/>
    <s v="VRK"/>
    <d v="2025-01-15T00:00:00"/>
    <x v="79"/>
    <x v="890"/>
    <n v="242"/>
    <n v="242"/>
    <n v="0"/>
    <n v="0"/>
    <n v="0"/>
    <n v="242"/>
    <x v="79"/>
    <s v="Concept"/>
  </r>
  <r>
    <s v="RD1106"/>
    <s v="Van Noort Gassler &amp; Co Rotterdam B.V."/>
    <s v="RD5734"/>
    <x v="90"/>
    <s v="VRK"/>
    <d v="2025-01-15T00:00:00"/>
    <x v="79"/>
    <x v="891"/>
    <n v="24.2"/>
    <n v="24.2"/>
    <n v="0"/>
    <n v="0"/>
    <n v="0"/>
    <n v="24.2"/>
    <x v="79"/>
    <s v="Concept"/>
  </r>
  <r>
    <s v="RD1106"/>
    <s v="Van Noort Gassler &amp; Co Rotterdam B.V."/>
    <s v="RD5734"/>
    <x v="90"/>
    <s v="VRK"/>
    <d v="2025-02-03T00:00:00"/>
    <x v="80"/>
    <x v="892"/>
    <n v="242"/>
    <n v="242"/>
    <n v="0"/>
    <n v="0"/>
    <n v="0"/>
    <n v="242"/>
    <x v="80"/>
    <s v="Concept"/>
  </r>
  <r>
    <s v="RD1106"/>
    <s v="Van Noort Gassler &amp; Co Rotterdam B.V."/>
    <s v="RD5734"/>
    <x v="90"/>
    <s v="VRK"/>
    <d v="2025-02-03T00:00:00"/>
    <x v="80"/>
    <x v="893"/>
    <n v="24.2"/>
    <n v="24.2"/>
    <n v="0"/>
    <n v="0"/>
    <n v="0"/>
    <n v="24.2"/>
    <x v="80"/>
    <s v="Concept"/>
  </r>
  <r>
    <s v="RD1106"/>
    <s v="Van Noort Gassler &amp; Co Rotterdam B.V."/>
    <s v="RD5734"/>
    <x v="90"/>
    <s v="VRK"/>
    <d v="2025-03-05T00:00:00"/>
    <x v="82"/>
    <x v="894"/>
    <n v="242"/>
    <n v="242"/>
    <n v="0"/>
    <n v="0"/>
    <n v="0"/>
    <n v="242"/>
    <x v="82"/>
    <s v="Concept"/>
  </r>
  <r>
    <s v="RD1106"/>
    <s v="Van Noort Gassler &amp; Co Rotterdam B.V."/>
    <s v="RD5734"/>
    <x v="90"/>
    <s v="VRK"/>
    <d v="2025-03-05T00:00:00"/>
    <x v="82"/>
    <x v="895"/>
    <n v="24.2"/>
    <n v="24.2"/>
    <n v="0"/>
    <n v="0"/>
    <n v="0"/>
    <n v="24.2"/>
    <x v="82"/>
    <s v="Concept"/>
  </r>
  <r>
    <s v="RD1106"/>
    <s v="Van Noort Gassler &amp; Co Rotterdam B.V."/>
    <s v="RD5734"/>
    <x v="90"/>
    <s v="VRK"/>
    <d v="2025-03-10T00:00:00"/>
    <x v="141"/>
    <x v="896"/>
    <n v="605"/>
    <n v="605"/>
    <n v="0"/>
    <n v="0"/>
    <n v="0"/>
    <n v="605"/>
    <x v="141"/>
    <s v="Concept"/>
  </r>
  <r>
    <s v="RD1106"/>
    <s v="Van Noort Gassler &amp; Co Rotterdam B.V."/>
    <s v="RD5734"/>
    <x v="90"/>
    <s v="VRK"/>
    <d v="2025-04-03T00:00:00"/>
    <x v="84"/>
    <x v="897"/>
    <n v="242"/>
    <n v="242"/>
    <n v="0"/>
    <n v="0"/>
    <n v="0"/>
    <n v="242"/>
    <x v="84"/>
    <s v="Concept"/>
  </r>
  <r>
    <s v="RD1106"/>
    <s v="Van Noort Gassler &amp; Co Rotterdam B.V."/>
    <s v="RD5734"/>
    <x v="90"/>
    <s v="VRK"/>
    <d v="2025-04-03T00:00:00"/>
    <x v="84"/>
    <x v="898"/>
    <n v="24.2"/>
    <n v="24.2"/>
    <n v="0"/>
    <n v="0"/>
    <n v="0"/>
    <n v="24.2"/>
    <x v="84"/>
    <s v="Concept"/>
  </r>
  <r>
    <s v="RD1106"/>
    <s v="Van Noort Gassler &amp; Co Rotterdam B.V."/>
    <s v="RD5734"/>
    <x v="90"/>
    <s v="VRK"/>
    <d v="2025-05-05T00:00:00"/>
    <x v="85"/>
    <x v="899"/>
    <n v="242"/>
    <n v="242"/>
    <n v="0"/>
    <n v="0"/>
    <n v="0"/>
    <n v="242"/>
    <x v="85"/>
    <s v="Concept"/>
  </r>
  <r>
    <s v="RD1106"/>
    <s v="Van Noort Gassler &amp; Co Rotterdam B.V."/>
    <s v="RD5734"/>
    <x v="90"/>
    <s v="VRK"/>
    <d v="2025-05-05T00:00:00"/>
    <x v="85"/>
    <x v="900"/>
    <n v="24.2"/>
    <n v="24.2"/>
    <n v="0"/>
    <n v="0"/>
    <n v="0"/>
    <n v="24.2"/>
    <x v="85"/>
    <s v="Concept"/>
  </r>
  <r>
    <s v="RD1106"/>
    <s v="Van Noort Gassler &amp; Co Rotterdam B.V."/>
    <s v="RD5734"/>
    <x v="90"/>
    <s v="VRK"/>
    <d v="2025-06-02T00:00:00"/>
    <x v="86"/>
    <x v="901"/>
    <n v="242"/>
    <n v="242"/>
    <n v="0"/>
    <n v="0"/>
    <n v="0"/>
    <n v="242"/>
    <x v="86"/>
    <s v="Concept"/>
  </r>
  <r>
    <s v="RD1106"/>
    <s v="Van Noort Gassler &amp; Co Rotterdam B.V."/>
    <s v="RD5734"/>
    <x v="90"/>
    <s v="VRK"/>
    <d v="2025-06-02T00:00:00"/>
    <x v="86"/>
    <x v="902"/>
    <n v="24.2"/>
    <n v="24.2"/>
    <n v="0"/>
    <n v="0"/>
    <n v="0"/>
    <n v="24.2"/>
    <x v="86"/>
    <s v="Concept"/>
  </r>
  <r>
    <s v="RD1106"/>
    <s v="Van Noort Gassler &amp; Co Rotterdam B.V."/>
    <s v="RD5734"/>
    <x v="90"/>
    <s v="VRK"/>
    <d v="2025-07-01T00:00:00"/>
    <x v="87"/>
    <x v="903"/>
    <n v="242"/>
    <n v="242"/>
    <n v="0"/>
    <n v="0"/>
    <n v="0"/>
    <n v="242"/>
    <x v="87"/>
    <s v="Concept"/>
  </r>
  <r>
    <s v="RD1106"/>
    <s v="Van Noort Gassler &amp; Co Rotterdam B.V."/>
    <s v="RD5734"/>
    <x v="90"/>
    <s v="VRK"/>
    <d v="2025-07-01T00:00:00"/>
    <x v="87"/>
    <x v="904"/>
    <n v="24.2"/>
    <n v="24.2"/>
    <n v="0"/>
    <n v="0"/>
    <n v="0"/>
    <n v="24.2"/>
    <x v="87"/>
    <s v="Concept"/>
  </r>
  <r>
    <s v="RD1106"/>
    <s v="Van Noort Gassler &amp; Co Rotterdam B.V."/>
    <s v="RD5734"/>
    <x v="90"/>
    <s v="VRK"/>
    <d v="2025-08-04T00:00:00"/>
    <x v="88"/>
    <x v="905"/>
    <n v="242"/>
    <n v="242"/>
    <n v="0"/>
    <n v="0"/>
    <n v="0"/>
    <n v="242"/>
    <x v="88"/>
    <s v="Concept"/>
  </r>
  <r>
    <s v="RD1106"/>
    <s v="Van Noort Gassler &amp; Co Rotterdam B.V."/>
    <s v="RD5734"/>
    <x v="90"/>
    <s v="VRK"/>
    <d v="2025-08-04T00:00:00"/>
    <x v="88"/>
    <x v="906"/>
    <n v="24.2"/>
    <n v="24.2"/>
    <n v="0"/>
    <n v="0"/>
    <n v="0"/>
    <n v="24.2"/>
    <x v="88"/>
    <s v="Concept"/>
  </r>
  <r>
    <s v="RD1106"/>
    <s v="Van Noort Gassler &amp; Co Rotterdam B.V."/>
    <s v="RD5734"/>
    <x v="90"/>
    <s v="VRK"/>
    <d v="2025-09-01T00:00:00"/>
    <x v="89"/>
    <x v="907"/>
    <n v="242"/>
    <n v="242"/>
    <n v="0"/>
    <n v="0"/>
    <n v="0"/>
    <n v="242"/>
    <x v="89"/>
    <s v="Concept"/>
  </r>
  <r>
    <s v="RD1106"/>
    <s v="Van Noort Gassler &amp; Co Rotterdam B.V."/>
    <s v="RD5734"/>
    <x v="90"/>
    <s v="VRK"/>
    <d v="2025-09-01T00:00:00"/>
    <x v="89"/>
    <x v="908"/>
    <n v="24.2"/>
    <n v="24.2"/>
    <n v="0"/>
    <n v="0"/>
    <n v="0"/>
    <n v="24.2"/>
    <x v="89"/>
    <s v="Concept"/>
  </r>
  <r>
    <s v="RD1106"/>
    <s v="Van Noort Gassler &amp; Co Rotterdam B.V."/>
    <s v="RD5734"/>
    <x v="90"/>
    <s v="VRK"/>
    <d v="2025-10-06T00:00:00"/>
    <x v="90"/>
    <x v="909"/>
    <n v="242"/>
    <n v="242"/>
    <n v="0"/>
    <n v="0"/>
    <n v="0"/>
    <n v="242"/>
    <x v="90"/>
    <s v="Concept"/>
  </r>
  <r>
    <s v="RD1106"/>
    <s v="Van Noort Gassler &amp; Co Rotterdam B.V."/>
    <s v="RD5734"/>
    <x v="90"/>
    <s v="VRK"/>
    <d v="2025-10-06T00:00:00"/>
    <x v="90"/>
    <x v="910"/>
    <n v="24.2"/>
    <n v="24.2"/>
    <n v="0"/>
    <n v="0"/>
    <n v="0"/>
    <n v="24.2"/>
    <x v="90"/>
    <s v="Concept"/>
  </r>
  <r>
    <s v="RD1106"/>
    <s v="Van Noort Gassler &amp; Co Rotterdam B.V."/>
    <s v="RD5734"/>
    <x v="90"/>
    <s v="VRK"/>
    <d v="2025-11-05T00:00:00"/>
    <x v="91"/>
    <x v="911"/>
    <n v="242"/>
    <n v="242"/>
    <n v="0"/>
    <n v="0"/>
    <n v="0"/>
    <n v="242"/>
    <x v="91"/>
    <s v="Concept"/>
  </r>
  <r>
    <s v="RD1106"/>
    <s v="Van Noort Gassler &amp; Co Rotterdam B.V."/>
    <s v="RD5734"/>
    <x v="90"/>
    <s v="VRK"/>
    <d v="2025-11-05T00:00:00"/>
    <x v="91"/>
    <x v="912"/>
    <n v="24.2"/>
    <n v="24.2"/>
    <n v="0"/>
    <n v="0"/>
    <n v="0"/>
    <n v="24.2"/>
    <x v="91"/>
    <s v="Concept"/>
  </r>
  <r>
    <s v="RD1106"/>
    <s v="Van Noort Gassler &amp; Co Rotterdam B.V."/>
    <s v="RD5734"/>
    <x v="90"/>
    <s v="VRK"/>
    <d v="2025-12-02T00:00:00"/>
    <x v="92"/>
    <x v="913"/>
    <n v="242"/>
    <n v="242"/>
    <n v="0"/>
    <n v="0"/>
    <n v="0"/>
    <n v="242"/>
    <x v="92"/>
    <s v="Concept"/>
  </r>
  <r>
    <s v="RD1106"/>
    <s v="Van Noort Gassler &amp; Co Rotterdam B.V."/>
    <s v="RD5734"/>
    <x v="90"/>
    <s v="VRK"/>
    <d v="2025-12-02T00:00:00"/>
    <x v="92"/>
    <x v="914"/>
    <n v="24.2"/>
    <n v="24.2"/>
    <n v="0"/>
    <n v="0"/>
    <n v="0"/>
    <n v="24.2"/>
    <x v="92"/>
    <s v="Concept"/>
  </r>
  <r>
    <s v="RD1106"/>
    <s v="Van Noort Gassler &amp; Co Rotterdam B.V."/>
    <s v="RD5734"/>
    <x v="90"/>
    <s v="VRK"/>
    <d v="2026-01-08T00:00:00"/>
    <x v="93"/>
    <x v="915"/>
    <n v="242"/>
    <n v="242"/>
    <n v="0"/>
    <n v="0"/>
    <n v="0"/>
    <n v="242"/>
    <x v="93"/>
    <s v="Concept"/>
  </r>
  <r>
    <s v="RD1106"/>
    <s v="Van Noort Gassler &amp; Co Rotterdam B.V."/>
    <s v="RD5734"/>
    <x v="90"/>
    <s v="VRK"/>
    <d v="2026-01-08T00:00:00"/>
    <x v="93"/>
    <x v="916"/>
    <n v="24.2"/>
    <n v="24.2"/>
    <n v="0"/>
    <n v="0"/>
    <n v="0"/>
    <n v="24.2"/>
    <x v="93"/>
    <s v="Concept"/>
  </r>
  <r>
    <s v="RD1106"/>
    <s v="Van Noort Gassler &amp; Co Rotterdam B.V."/>
    <s v="RD5734"/>
    <x v="90"/>
    <s v="VRK"/>
    <d v="2026-01-13T00:00:00"/>
    <x v="94"/>
    <x v="917"/>
    <n v="-242"/>
    <n v="-242"/>
    <n v="0"/>
    <n v="0"/>
    <n v="0"/>
    <n v="-242"/>
    <x v="94"/>
    <s v="Concept"/>
  </r>
  <r>
    <s v="RD1106"/>
    <s v="Van Noort Gassler &amp; Co Rotterdam B.V."/>
    <s v="RD5734"/>
    <x v="90"/>
    <s v="VRK"/>
    <d v="2026-01-13T00:00:00"/>
    <x v="94"/>
    <x v="918"/>
    <n v="-24.2"/>
    <n v="-24.2"/>
    <n v="0"/>
    <n v="0"/>
    <n v="0"/>
    <n v="-24.2"/>
    <x v="94"/>
    <s v="Concept"/>
  </r>
  <r>
    <s v="RD1106"/>
    <s v="Van Noort Gassler &amp; Co Rotterdam B.V."/>
    <s v="RD5734"/>
    <x v="90"/>
    <s v="VRK"/>
    <d v="2026-03-23T00:00:00"/>
    <x v="198"/>
    <x v="919"/>
    <n v="605"/>
    <n v="605"/>
    <n v="0"/>
    <n v="605"/>
    <n v="0"/>
    <n v="0"/>
    <x v="198"/>
    <s v="Concept"/>
  </r>
  <r>
    <s v="RD1106"/>
    <s v="Van Noort Gassler &amp; Co Rotterdam B.V."/>
    <s v="RD5874"/>
    <x v="91"/>
    <s v="VRK"/>
    <d v="2026-04-06T00:00:00"/>
    <x v="98"/>
    <x v="920"/>
    <n v="302.5"/>
    <n v="302.5"/>
    <n v="302.5"/>
    <n v="0"/>
    <n v="0"/>
    <n v="0"/>
    <x v="98"/>
    <s v="Concept"/>
  </r>
  <r>
    <s v="RD1106"/>
    <s v="Van Noort Gassler &amp; Co Rotterdam B.V."/>
    <s v="RD5877"/>
    <x v="92"/>
    <s v="VRK"/>
    <d v="2020-04-30T00:00:00"/>
    <x v="356"/>
    <x v="921"/>
    <n v="1017.91"/>
    <n v="1017.91"/>
    <n v="0"/>
    <n v="0"/>
    <n v="0"/>
    <n v="1017.91"/>
    <x v="356"/>
    <s v="Definitief"/>
  </r>
  <r>
    <s v="RD1106"/>
    <s v="Van Noort Gassler &amp; Co Rotterdam B.V."/>
    <s v="RD5879"/>
    <x v="93"/>
    <s v="VRK"/>
    <d v="2022-10-06T00:00:00"/>
    <x v="357"/>
    <x v="922"/>
    <n v="517.28"/>
    <n v="517.28"/>
    <n v="0"/>
    <n v="0"/>
    <n v="0"/>
    <n v="517.28"/>
    <x v="357"/>
    <s v="Definitief"/>
  </r>
  <r>
    <s v="RD1106"/>
    <s v="Van Noort Gassler &amp; Co Rotterdam B.V."/>
    <s v="RD5889"/>
    <x v="94"/>
    <s v="VRK"/>
    <d v="2025-01-15T00:00:00"/>
    <x v="79"/>
    <x v="923"/>
    <n v="347.88"/>
    <n v="347.88"/>
    <n v="0"/>
    <n v="0"/>
    <n v="0"/>
    <n v="347.88"/>
    <x v="79"/>
    <s v="Concept"/>
  </r>
  <r>
    <s v="RD1106"/>
    <s v="Van Noort Gassler &amp; Co Rotterdam B.V."/>
    <s v="RD5889"/>
    <x v="94"/>
    <s v="VRK"/>
    <d v="2025-01-15T00:00:00"/>
    <x v="79"/>
    <x v="924"/>
    <n v="60.5"/>
    <n v="60.5"/>
    <n v="0"/>
    <n v="0"/>
    <n v="0"/>
    <n v="60.5"/>
    <x v="79"/>
    <s v="Concept"/>
  </r>
  <r>
    <s v="RD1106"/>
    <s v="Van Noort Gassler &amp; Co Rotterdam B.V."/>
    <s v="RD5889"/>
    <x v="94"/>
    <s v="VRK"/>
    <d v="2025-01-15T00:00:00"/>
    <x v="79"/>
    <x v="925"/>
    <n v="121"/>
    <n v="121"/>
    <n v="0"/>
    <n v="0"/>
    <n v="0"/>
    <n v="121"/>
    <x v="79"/>
    <s v="Concept"/>
  </r>
  <r>
    <s v="RD1106"/>
    <s v="Van Noort Gassler &amp; Co Rotterdam B.V."/>
    <s v="RD5889"/>
    <x v="94"/>
    <s v="VRK"/>
    <d v="2025-05-05T00:00:00"/>
    <x v="85"/>
    <x v="926"/>
    <n v="347.88"/>
    <n v="347.88"/>
    <n v="0"/>
    <n v="0"/>
    <n v="0"/>
    <n v="347.88"/>
    <x v="85"/>
    <s v="Concept"/>
  </r>
  <r>
    <s v="RD1106"/>
    <s v="Van Noort Gassler &amp; Co Rotterdam B.V."/>
    <s v="RD5889"/>
    <x v="94"/>
    <s v="VRK"/>
    <d v="2025-05-05T00:00:00"/>
    <x v="85"/>
    <x v="927"/>
    <n v="121"/>
    <n v="121"/>
    <n v="0"/>
    <n v="0"/>
    <n v="0"/>
    <n v="121"/>
    <x v="85"/>
    <s v="Concept"/>
  </r>
  <r>
    <s v="RD1106"/>
    <s v="Van Noort Gassler &amp; Co Rotterdam B.V."/>
    <s v="RD5889"/>
    <x v="94"/>
    <s v="VRK"/>
    <d v="2025-05-05T00:00:00"/>
    <x v="85"/>
    <x v="928"/>
    <n v="60.5"/>
    <n v="60.5"/>
    <n v="0"/>
    <n v="0"/>
    <n v="0"/>
    <n v="60.5"/>
    <x v="85"/>
    <s v="Concept"/>
  </r>
  <r>
    <s v="RD1106"/>
    <s v="Van Noort Gassler &amp; Co Rotterdam B.V."/>
    <s v="RD5889"/>
    <x v="94"/>
    <s v="VRK"/>
    <d v="2025-05-12T00:00:00"/>
    <x v="342"/>
    <x v="929"/>
    <n v="1323.44"/>
    <n v="1323.44"/>
    <n v="0"/>
    <n v="0"/>
    <n v="0"/>
    <n v="1323.44"/>
    <x v="342"/>
    <s v="Concept"/>
  </r>
  <r>
    <s v="RD1106"/>
    <s v="Van Noort Gassler &amp; Co Rotterdam B.V."/>
    <s v="RD5889"/>
    <x v="94"/>
    <s v="VRK"/>
    <d v="2025-06-02T00:00:00"/>
    <x v="86"/>
    <x v="930"/>
    <n v="347.88"/>
    <n v="347.88"/>
    <n v="0"/>
    <n v="0"/>
    <n v="0"/>
    <n v="347.88"/>
    <x v="86"/>
    <s v="Concept"/>
  </r>
  <r>
    <s v="RD1106"/>
    <s v="Van Noort Gassler &amp; Co Rotterdam B.V."/>
    <s v="RD5889"/>
    <x v="94"/>
    <s v="VRK"/>
    <d v="2025-06-02T00:00:00"/>
    <x v="86"/>
    <x v="931"/>
    <n v="121"/>
    <n v="121"/>
    <n v="0"/>
    <n v="0"/>
    <n v="0"/>
    <n v="121"/>
    <x v="86"/>
    <s v="Concept"/>
  </r>
  <r>
    <s v="RD1106"/>
    <s v="Van Noort Gassler &amp; Co Rotterdam B.V."/>
    <s v="RD5889"/>
    <x v="94"/>
    <s v="VRK"/>
    <d v="2025-06-02T00:00:00"/>
    <x v="86"/>
    <x v="932"/>
    <n v="60.5"/>
    <n v="60.5"/>
    <n v="0"/>
    <n v="0"/>
    <n v="0"/>
    <n v="60.5"/>
    <x v="86"/>
    <s v="Concept"/>
  </r>
  <r>
    <s v="RD1106"/>
    <s v="Van Noort Gassler &amp; Co Rotterdam B.V."/>
    <s v="RD5889"/>
    <x v="94"/>
    <s v="VRK"/>
    <d v="2025-07-01T00:00:00"/>
    <x v="87"/>
    <x v="933"/>
    <n v="347.88"/>
    <n v="347.88"/>
    <n v="0"/>
    <n v="0"/>
    <n v="0"/>
    <n v="347.88"/>
    <x v="87"/>
    <s v="Concept"/>
  </r>
  <r>
    <s v="RD1106"/>
    <s v="Van Noort Gassler &amp; Co Rotterdam B.V."/>
    <s v="RD5889"/>
    <x v="94"/>
    <s v="VRK"/>
    <d v="2025-07-01T00:00:00"/>
    <x v="87"/>
    <x v="934"/>
    <n v="121"/>
    <n v="121"/>
    <n v="0"/>
    <n v="0"/>
    <n v="0"/>
    <n v="121"/>
    <x v="87"/>
    <s v="Concept"/>
  </r>
  <r>
    <s v="RD1106"/>
    <s v="Van Noort Gassler &amp; Co Rotterdam B.V."/>
    <s v="RD5889"/>
    <x v="94"/>
    <s v="VRK"/>
    <d v="2025-07-01T00:00:00"/>
    <x v="87"/>
    <x v="935"/>
    <n v="60.5"/>
    <n v="60.5"/>
    <n v="0"/>
    <n v="0"/>
    <n v="0"/>
    <n v="60.5"/>
    <x v="87"/>
    <s v="Concept"/>
  </r>
  <r>
    <s v="RD1106"/>
    <s v="Van Noort Gassler &amp; Co Rotterdam B.V."/>
    <s v="RD5889"/>
    <x v="94"/>
    <s v="VRK"/>
    <d v="2025-08-04T00:00:00"/>
    <x v="88"/>
    <x v="936"/>
    <n v="347.88"/>
    <n v="347.88"/>
    <n v="0"/>
    <n v="0"/>
    <n v="0"/>
    <n v="347.88"/>
    <x v="88"/>
    <s v="Concept"/>
  </r>
  <r>
    <s v="RD1106"/>
    <s v="Van Noort Gassler &amp; Co Rotterdam B.V."/>
    <s v="RD5889"/>
    <x v="94"/>
    <s v="VRK"/>
    <d v="2025-08-04T00:00:00"/>
    <x v="88"/>
    <x v="937"/>
    <n v="60.5"/>
    <n v="60.5"/>
    <n v="0"/>
    <n v="0"/>
    <n v="0"/>
    <n v="60.5"/>
    <x v="88"/>
    <s v="Concept"/>
  </r>
  <r>
    <s v="RD1106"/>
    <s v="Van Noort Gassler &amp; Co Rotterdam B.V."/>
    <s v="RD5889"/>
    <x v="94"/>
    <s v="VRK"/>
    <d v="2025-08-04T00:00:00"/>
    <x v="88"/>
    <x v="938"/>
    <n v="121"/>
    <n v="121"/>
    <n v="0"/>
    <n v="0"/>
    <n v="0"/>
    <n v="121"/>
    <x v="88"/>
    <s v="Concept"/>
  </r>
  <r>
    <s v="RD1106"/>
    <s v="Van Noort Gassler &amp; Co Rotterdam B.V."/>
    <s v="RD5889"/>
    <x v="94"/>
    <s v="VRK"/>
    <d v="2025-09-01T00:00:00"/>
    <x v="89"/>
    <x v="939"/>
    <n v="347.88"/>
    <n v="347.88"/>
    <n v="0"/>
    <n v="0"/>
    <n v="0"/>
    <n v="347.88"/>
    <x v="89"/>
    <s v="Concept"/>
  </r>
  <r>
    <s v="RD1106"/>
    <s v="Van Noort Gassler &amp; Co Rotterdam B.V."/>
    <s v="RD5889"/>
    <x v="94"/>
    <s v="VRK"/>
    <d v="2025-09-01T00:00:00"/>
    <x v="89"/>
    <x v="940"/>
    <n v="60.5"/>
    <n v="60.5"/>
    <n v="0"/>
    <n v="0"/>
    <n v="0"/>
    <n v="60.5"/>
    <x v="89"/>
    <s v="Concept"/>
  </r>
  <r>
    <s v="RD1106"/>
    <s v="Van Noort Gassler &amp; Co Rotterdam B.V."/>
    <s v="RD5889"/>
    <x v="94"/>
    <s v="VRK"/>
    <d v="2025-09-01T00:00:00"/>
    <x v="89"/>
    <x v="941"/>
    <n v="121"/>
    <n v="121"/>
    <n v="0"/>
    <n v="0"/>
    <n v="0"/>
    <n v="121"/>
    <x v="89"/>
    <s v="Concept"/>
  </r>
  <r>
    <s v="RD1106"/>
    <s v="Van Noort Gassler &amp; Co Rotterdam B.V."/>
    <s v="RD5889"/>
    <x v="94"/>
    <s v="VRK"/>
    <d v="2025-10-06T00:00:00"/>
    <x v="90"/>
    <x v="942"/>
    <n v="347.88"/>
    <n v="347.88"/>
    <n v="0"/>
    <n v="0"/>
    <n v="0"/>
    <n v="347.88"/>
    <x v="90"/>
    <s v="Concept"/>
  </r>
  <r>
    <s v="RD1106"/>
    <s v="Van Noort Gassler &amp; Co Rotterdam B.V."/>
    <s v="RD5889"/>
    <x v="94"/>
    <s v="VRK"/>
    <d v="2025-10-06T00:00:00"/>
    <x v="90"/>
    <x v="943"/>
    <n v="60.5"/>
    <n v="60.5"/>
    <n v="0"/>
    <n v="0"/>
    <n v="0"/>
    <n v="60.5"/>
    <x v="90"/>
    <s v="Concept"/>
  </r>
  <r>
    <s v="RD1106"/>
    <s v="Van Noort Gassler &amp; Co Rotterdam B.V."/>
    <s v="RD5889"/>
    <x v="94"/>
    <s v="VRK"/>
    <d v="2025-10-06T00:00:00"/>
    <x v="90"/>
    <x v="944"/>
    <n v="121"/>
    <n v="121"/>
    <n v="0"/>
    <n v="0"/>
    <n v="0"/>
    <n v="121"/>
    <x v="90"/>
    <s v="Concept"/>
  </r>
  <r>
    <s v="RD1106"/>
    <s v="Van Noort Gassler &amp; Co Rotterdam B.V."/>
    <s v="RD5889"/>
    <x v="94"/>
    <s v="VRK"/>
    <d v="2025-11-05T00:00:00"/>
    <x v="91"/>
    <x v="945"/>
    <n v="347.88"/>
    <n v="347.88"/>
    <n v="0"/>
    <n v="0"/>
    <n v="0"/>
    <n v="347.88"/>
    <x v="91"/>
    <s v="Concept"/>
  </r>
  <r>
    <s v="RD1106"/>
    <s v="Van Noort Gassler &amp; Co Rotterdam B.V."/>
    <s v="RD5889"/>
    <x v="94"/>
    <s v="VRK"/>
    <d v="2025-11-05T00:00:00"/>
    <x v="91"/>
    <x v="946"/>
    <n v="60.5"/>
    <n v="60.5"/>
    <n v="0"/>
    <n v="0"/>
    <n v="0"/>
    <n v="60.5"/>
    <x v="91"/>
    <s v="Concept"/>
  </r>
  <r>
    <s v="RD1106"/>
    <s v="Van Noort Gassler &amp; Co Rotterdam B.V."/>
    <s v="RD5889"/>
    <x v="94"/>
    <s v="VRK"/>
    <d v="2025-11-05T00:00:00"/>
    <x v="91"/>
    <x v="947"/>
    <n v="121"/>
    <n v="121"/>
    <n v="0"/>
    <n v="0"/>
    <n v="0"/>
    <n v="121"/>
    <x v="91"/>
    <s v="Concept"/>
  </r>
  <r>
    <s v="RD1106"/>
    <s v="Van Noort Gassler &amp; Co Rotterdam B.V."/>
    <s v="RD5889"/>
    <x v="94"/>
    <s v="VRK"/>
    <d v="2025-12-02T00:00:00"/>
    <x v="92"/>
    <x v="948"/>
    <n v="121"/>
    <n v="121"/>
    <n v="0"/>
    <n v="0"/>
    <n v="0"/>
    <n v="121"/>
    <x v="92"/>
    <s v="Concept"/>
  </r>
  <r>
    <s v="RD1106"/>
    <s v="Van Noort Gassler &amp; Co Rotterdam B.V."/>
    <s v="RD5889"/>
    <x v="94"/>
    <s v="VRK"/>
    <d v="2025-12-02T00:00:00"/>
    <x v="92"/>
    <x v="949"/>
    <n v="60.5"/>
    <n v="60.5"/>
    <n v="0"/>
    <n v="0"/>
    <n v="0"/>
    <n v="60.5"/>
    <x v="92"/>
    <s v="Concept"/>
  </r>
  <r>
    <s v="RD1106"/>
    <s v="Van Noort Gassler &amp; Co Rotterdam B.V."/>
    <s v="RD5889"/>
    <x v="94"/>
    <s v="VRK"/>
    <d v="2025-12-02T00:00:00"/>
    <x v="92"/>
    <x v="950"/>
    <n v="347.88"/>
    <n v="347.88"/>
    <n v="0"/>
    <n v="0"/>
    <n v="0"/>
    <n v="347.88"/>
    <x v="92"/>
    <s v="Concept"/>
  </r>
  <r>
    <s v="RD1106"/>
    <s v="Van Noort Gassler &amp; Co Rotterdam B.V."/>
    <s v="RD5889"/>
    <x v="94"/>
    <s v="VRK"/>
    <d v="2026-01-08T00:00:00"/>
    <x v="93"/>
    <x v="951"/>
    <n v="347.88"/>
    <n v="347.88"/>
    <n v="0"/>
    <n v="0"/>
    <n v="0"/>
    <n v="347.88"/>
    <x v="93"/>
    <s v="Concept"/>
  </r>
  <r>
    <s v="RD1106"/>
    <s v="Van Noort Gassler &amp; Co Rotterdam B.V."/>
    <s v="RD5889"/>
    <x v="94"/>
    <s v="VRK"/>
    <d v="2026-01-08T00:00:00"/>
    <x v="93"/>
    <x v="952"/>
    <n v="60.5"/>
    <n v="60.5"/>
    <n v="0"/>
    <n v="0"/>
    <n v="0"/>
    <n v="60.5"/>
    <x v="93"/>
    <s v="Concept"/>
  </r>
  <r>
    <s v="RD1106"/>
    <s v="Van Noort Gassler &amp; Co Rotterdam B.V."/>
    <s v="RD5889"/>
    <x v="94"/>
    <s v="VRK"/>
    <d v="2026-01-08T00:00:00"/>
    <x v="93"/>
    <x v="953"/>
    <n v="121"/>
    <n v="121"/>
    <n v="0"/>
    <n v="0"/>
    <n v="0"/>
    <n v="121"/>
    <x v="93"/>
    <s v="Concept"/>
  </r>
  <r>
    <s v="RD1106"/>
    <s v="Van Noort Gassler &amp; Co Rotterdam B.V."/>
    <s v="RD5889"/>
    <x v="94"/>
    <s v="VRK"/>
    <d v="2026-02-02T00:00:00"/>
    <x v="95"/>
    <x v="954"/>
    <n v="121"/>
    <n v="121"/>
    <n v="0"/>
    <n v="0"/>
    <n v="121"/>
    <n v="0"/>
    <x v="95"/>
    <s v="Concept"/>
  </r>
  <r>
    <s v="RD1106"/>
    <s v="Van Noort Gassler &amp; Co Rotterdam B.V."/>
    <s v="RD5889"/>
    <x v="94"/>
    <s v="VRK"/>
    <d v="2026-02-02T00:00:00"/>
    <x v="95"/>
    <x v="955"/>
    <n v="60.5"/>
    <n v="60.5"/>
    <n v="0"/>
    <n v="0"/>
    <n v="60.5"/>
    <n v="0"/>
    <x v="95"/>
    <s v="Concept"/>
  </r>
  <r>
    <s v="RD1106"/>
    <s v="Van Noort Gassler &amp; Co Rotterdam B.V."/>
    <s v="RD5889"/>
    <x v="94"/>
    <s v="VRK"/>
    <d v="2026-02-02T00:00:00"/>
    <x v="95"/>
    <x v="956"/>
    <n v="347.88"/>
    <n v="347.88"/>
    <n v="0"/>
    <n v="0"/>
    <n v="347.88"/>
    <n v="0"/>
    <x v="95"/>
    <s v="Concept"/>
  </r>
  <r>
    <s v="RD1106"/>
    <s v="Van Noort Gassler &amp; Co Rotterdam B.V."/>
    <s v="RD5889"/>
    <x v="94"/>
    <s v="VRK"/>
    <d v="2026-03-04T00:00:00"/>
    <x v="96"/>
    <x v="957"/>
    <n v="121"/>
    <n v="121"/>
    <n v="0"/>
    <n v="121"/>
    <n v="0"/>
    <n v="0"/>
    <x v="96"/>
    <s v="Concept"/>
  </r>
  <r>
    <s v="RD1106"/>
    <s v="Van Noort Gassler &amp; Co Rotterdam B.V."/>
    <s v="RD5889"/>
    <x v="94"/>
    <s v="VRK"/>
    <d v="2026-03-04T00:00:00"/>
    <x v="96"/>
    <x v="958"/>
    <n v="60.5"/>
    <n v="60.5"/>
    <n v="0"/>
    <n v="60.5"/>
    <n v="0"/>
    <n v="0"/>
    <x v="96"/>
    <s v="Concept"/>
  </r>
  <r>
    <s v="RD1106"/>
    <s v="Van Noort Gassler &amp; Co Rotterdam B.V."/>
    <s v="RD5889"/>
    <x v="94"/>
    <s v="VRK"/>
    <d v="2026-03-04T00:00:00"/>
    <x v="96"/>
    <x v="959"/>
    <n v="347.88"/>
    <n v="347.88"/>
    <n v="0"/>
    <n v="347.88"/>
    <n v="0"/>
    <n v="0"/>
    <x v="96"/>
    <s v="Concept"/>
  </r>
  <r>
    <s v="RD1106"/>
    <s v="Van Noort Gassler &amp; Co Rotterdam B.V."/>
    <s v="RD5889"/>
    <x v="94"/>
    <s v="VRK"/>
    <d v="2026-04-06T00:00:00"/>
    <x v="98"/>
    <x v="960"/>
    <n v="347.88"/>
    <n v="347.88"/>
    <n v="347.88"/>
    <n v="0"/>
    <n v="0"/>
    <n v="0"/>
    <x v="98"/>
    <s v="Concept"/>
  </r>
  <r>
    <s v="RD1106"/>
    <s v="Van Noort Gassler &amp; Co Rotterdam B.V."/>
    <s v="RD5889"/>
    <x v="94"/>
    <s v="VRK"/>
    <d v="2026-04-06T00:00:00"/>
    <x v="98"/>
    <x v="961"/>
    <n v="121"/>
    <n v="121"/>
    <n v="121"/>
    <n v="0"/>
    <n v="0"/>
    <n v="0"/>
    <x v="98"/>
    <s v="Concept"/>
  </r>
  <r>
    <s v="RD1106"/>
    <s v="Van Noort Gassler &amp; Co Rotterdam B.V."/>
    <s v="RD5889"/>
    <x v="94"/>
    <s v="VRK"/>
    <d v="2026-04-06T00:00:00"/>
    <x v="98"/>
    <x v="962"/>
    <n v="60.5"/>
    <n v="60.5"/>
    <n v="60.5"/>
    <n v="0"/>
    <n v="0"/>
    <n v="0"/>
    <x v="98"/>
    <s v="Concept"/>
  </r>
  <r>
    <s v="RD1106"/>
    <s v="Van Noort Gassler &amp; Co Rotterdam B.V."/>
    <s v="RD5981"/>
    <x v="95"/>
    <s v="VRK"/>
    <d v="2024-09-30T00:00:00"/>
    <x v="358"/>
    <x v="963"/>
    <n v="5407.59"/>
    <n v="5407.59"/>
    <n v="0"/>
    <n v="0"/>
    <n v="0"/>
    <n v="5407.59"/>
    <x v="358"/>
    <s v="Concept"/>
  </r>
  <r>
    <s v="RD1106"/>
    <s v="Van Noort Gassler &amp; Co Rotterdam B.V."/>
    <s v="RD5981"/>
    <x v="95"/>
    <s v="VRK"/>
    <d v="2026-04-14T00:00:00"/>
    <x v="359"/>
    <x v="964"/>
    <n v="5749.21"/>
    <n v="5749.21"/>
    <n v="5749.21"/>
    <n v="0"/>
    <n v="0"/>
    <n v="0"/>
    <x v="359"/>
    <s v="Concept"/>
  </r>
  <r>
    <s v="RD1106"/>
    <s v="Van Noort Gassler &amp; Co Rotterdam B.V."/>
    <s v="RD5996"/>
    <x v="96"/>
    <s v="VRK"/>
    <d v="2025-11-05T00:00:00"/>
    <x v="91"/>
    <x v="965"/>
    <n v="302.5"/>
    <n v="302.5"/>
    <n v="0"/>
    <n v="0"/>
    <n v="0"/>
    <n v="302.5"/>
    <x v="91"/>
    <s v="Concept"/>
  </r>
  <r>
    <s v="RD1106"/>
    <s v="Van Noort Gassler &amp; Co Rotterdam B.V."/>
    <s v="RD5996"/>
    <x v="96"/>
    <s v="VRK"/>
    <d v="2025-12-02T00:00:00"/>
    <x v="92"/>
    <x v="966"/>
    <n v="302.5"/>
    <n v="302.5"/>
    <n v="0"/>
    <n v="0"/>
    <n v="0"/>
    <n v="302.5"/>
    <x v="92"/>
    <s v="Concept"/>
  </r>
  <r>
    <s v="RD1106"/>
    <s v="Van Noort Gassler &amp; Co Rotterdam B.V."/>
    <s v="RD5996"/>
    <x v="96"/>
    <s v="VRK"/>
    <d v="2026-01-08T00:00:00"/>
    <x v="93"/>
    <x v="967"/>
    <n v="302.5"/>
    <n v="302.5"/>
    <n v="0"/>
    <n v="0"/>
    <n v="0"/>
    <n v="302.5"/>
    <x v="93"/>
    <s v="Concept"/>
  </r>
  <r>
    <s v="RD1106"/>
    <s v="Van Noort Gassler &amp; Co Rotterdam B.V."/>
    <s v="RD5996"/>
    <x v="96"/>
    <s v="VRK"/>
    <d v="2026-02-02T00:00:00"/>
    <x v="95"/>
    <x v="968"/>
    <n v="302.5"/>
    <n v="302.5"/>
    <n v="0"/>
    <n v="0"/>
    <n v="302.5"/>
    <n v="0"/>
    <x v="95"/>
    <s v="Concept"/>
  </r>
  <r>
    <s v="RD1106"/>
    <s v="Van Noort Gassler &amp; Co Rotterdam B.V."/>
    <s v="RD5996"/>
    <x v="96"/>
    <s v="VRK"/>
    <d v="2026-03-04T00:00:00"/>
    <x v="96"/>
    <x v="969"/>
    <n v="302.5"/>
    <n v="302.5"/>
    <n v="0"/>
    <n v="302.5"/>
    <n v="0"/>
    <n v="0"/>
    <x v="96"/>
    <s v="Concept"/>
  </r>
  <r>
    <s v="RD1106"/>
    <s v="Van Noort Gassler &amp; Co Rotterdam B.V."/>
    <s v="RD5996"/>
    <x v="96"/>
    <s v="VRK"/>
    <d v="2026-04-06T00:00:00"/>
    <x v="98"/>
    <x v="970"/>
    <n v="102.85"/>
    <n v="102.85"/>
    <n v="102.85"/>
    <n v="0"/>
    <n v="0"/>
    <n v="0"/>
    <x v="98"/>
    <s v="Concept"/>
  </r>
  <r>
    <s v="RD1106"/>
    <s v="Van Noort Gassler &amp; Co Rotterdam B.V."/>
    <s v="RD5997"/>
    <x v="97"/>
    <s v="VRK"/>
    <d v="2026-04-06T00:00:00"/>
    <x v="98"/>
    <x v="971"/>
    <n v="356.95"/>
    <n v="356.95"/>
    <n v="356.95"/>
    <n v="0"/>
    <n v="0"/>
    <n v="0"/>
    <x v="98"/>
    <s v="Concept"/>
  </r>
  <r>
    <s v="RD1106"/>
    <s v="Van Noort Gassler &amp; Co Rotterdam B.V."/>
    <s v="RD5998"/>
    <x v="98"/>
    <s v="VRK"/>
    <d v="2026-04-06T00:00:00"/>
    <x v="98"/>
    <x v="972"/>
    <n v="356.95"/>
    <n v="356.95"/>
    <n v="356.95"/>
    <n v="0"/>
    <n v="0"/>
    <n v="0"/>
    <x v="98"/>
    <s v="Concept"/>
  </r>
  <r>
    <s v="RD1106"/>
    <s v="Van Noort Gassler &amp; Co Rotterdam B.V."/>
    <s v="RD6741"/>
    <x v="99"/>
    <s v="VRK"/>
    <d v="2023-05-01T00:00:00"/>
    <x v="360"/>
    <x v="973"/>
    <n v="1815"/>
    <n v="1815"/>
    <n v="0"/>
    <n v="0"/>
    <n v="0"/>
    <n v="1815"/>
    <x v="360"/>
    <s v="Definitief"/>
  </r>
  <r>
    <s v="RD1106"/>
    <s v="Van Noort Gassler &amp; Co Rotterdam B.V."/>
    <s v="RD7031"/>
    <x v="100"/>
    <s v="VRK"/>
    <d v="2025-08-04T00:00:00"/>
    <x v="88"/>
    <x v="974"/>
    <n v="272.25"/>
    <n v="272.25"/>
    <n v="0"/>
    <n v="0"/>
    <n v="0"/>
    <n v="272.25"/>
    <x v="88"/>
    <s v="Concept"/>
  </r>
  <r>
    <s v="RD1106"/>
    <s v="Van Noort Gassler &amp; Co Rotterdam B.V."/>
    <s v="RD7031"/>
    <x v="100"/>
    <s v="VRK"/>
    <d v="2025-09-01T00:00:00"/>
    <x v="89"/>
    <x v="975"/>
    <n v="272.25"/>
    <n v="272.25"/>
    <n v="0"/>
    <n v="0"/>
    <n v="0"/>
    <n v="272.25"/>
    <x v="89"/>
    <s v="Concept"/>
  </r>
  <r>
    <s v="RD1106"/>
    <s v="Van Noort Gassler &amp; Co Rotterdam B.V."/>
    <s v="RD7031"/>
    <x v="100"/>
    <s v="VRK"/>
    <d v="2025-10-06T00:00:00"/>
    <x v="90"/>
    <x v="976"/>
    <n v="272.25"/>
    <n v="272.25"/>
    <n v="0"/>
    <n v="0"/>
    <n v="0"/>
    <n v="272.25"/>
    <x v="90"/>
    <s v="Concept"/>
  </r>
  <r>
    <s v="RD1106"/>
    <s v="Van Noort Gassler &amp; Co Rotterdam B.V."/>
    <s v="RD7031"/>
    <x v="100"/>
    <s v="VRK"/>
    <d v="2025-11-05T00:00:00"/>
    <x v="91"/>
    <x v="977"/>
    <n v="272.25"/>
    <n v="272.25"/>
    <n v="0"/>
    <n v="0"/>
    <n v="0"/>
    <n v="272.25"/>
    <x v="91"/>
    <s v="Concept"/>
  </r>
  <r>
    <s v="RD1106"/>
    <s v="Van Noort Gassler &amp; Co Rotterdam B.V."/>
    <s v="RD7031"/>
    <x v="100"/>
    <s v="VRK"/>
    <d v="2025-12-02T00:00:00"/>
    <x v="92"/>
    <x v="978"/>
    <n v="272.25"/>
    <n v="272.25"/>
    <n v="0"/>
    <n v="0"/>
    <n v="0"/>
    <n v="272.25"/>
    <x v="92"/>
    <s v="Concept"/>
  </r>
  <r>
    <s v="RD1106"/>
    <s v="Van Noort Gassler &amp; Co Rotterdam B.V."/>
    <s v="RD7031"/>
    <x v="100"/>
    <s v="VRK"/>
    <d v="2026-01-08T00:00:00"/>
    <x v="93"/>
    <x v="979"/>
    <n v="272.25"/>
    <n v="272.25"/>
    <n v="0"/>
    <n v="0"/>
    <n v="0"/>
    <n v="272.25"/>
    <x v="93"/>
    <s v="Concept"/>
  </r>
  <r>
    <s v="RD1106"/>
    <s v="Van Noort Gassler &amp; Co Rotterdam B.V."/>
    <s v="RD7031"/>
    <x v="100"/>
    <s v="VRK"/>
    <d v="2026-02-02T00:00:00"/>
    <x v="95"/>
    <x v="980"/>
    <n v="272.25"/>
    <n v="272.25"/>
    <n v="0"/>
    <n v="0"/>
    <n v="272.25"/>
    <n v="0"/>
    <x v="95"/>
    <s v="Concept"/>
  </r>
  <r>
    <s v="RD1106"/>
    <s v="Van Noort Gassler &amp; Co Rotterdam B.V."/>
    <s v="RD7031"/>
    <x v="100"/>
    <s v="VRK"/>
    <d v="2026-03-04T00:00:00"/>
    <x v="96"/>
    <x v="981"/>
    <n v="272.25"/>
    <n v="272.25"/>
    <n v="0"/>
    <n v="272.25"/>
    <n v="0"/>
    <n v="0"/>
    <x v="96"/>
    <s v="Concept"/>
  </r>
  <r>
    <s v="RD1106"/>
    <s v="Van Noort Gassler &amp; Co Rotterdam B.V."/>
    <s v="RD7031"/>
    <x v="100"/>
    <s v="VRK"/>
    <d v="2026-04-06T00:00:00"/>
    <x v="98"/>
    <x v="982"/>
    <n v="272.25"/>
    <n v="272.25"/>
    <n v="272.25"/>
    <n v="0"/>
    <n v="0"/>
    <n v="0"/>
    <x v="98"/>
    <s v="Concept"/>
  </r>
  <r>
    <s v="RD1106"/>
    <s v="Van Noort Gassler &amp; Co Rotterdam B.V."/>
    <s v="RD7170"/>
    <x v="101"/>
    <s v="VRK"/>
    <d v="2024-08-07T00:00:00"/>
    <x v="361"/>
    <x v="983"/>
    <n v="75.63"/>
    <n v="75.63"/>
    <n v="0"/>
    <n v="0"/>
    <n v="0"/>
    <n v="75.63"/>
    <x v="361"/>
    <s v="Concept"/>
  </r>
  <r>
    <s v="RD1106"/>
    <s v="Van Noort Gassler &amp; Co Rotterdam B.V."/>
    <s v="RD7225"/>
    <x v="102"/>
    <s v="VRK"/>
    <d v="2024-12-02T00:00:00"/>
    <x v="78"/>
    <x v="984"/>
    <n v="266.2"/>
    <n v="266.2"/>
    <n v="0"/>
    <n v="0"/>
    <n v="0"/>
    <n v="266.2"/>
    <x v="78"/>
    <s v="Concept"/>
  </r>
  <r>
    <s v="RD1106"/>
    <s v="Van Noort Gassler &amp; Co Rotterdam B.V."/>
    <s v="RD7225"/>
    <x v="102"/>
    <s v="VRK"/>
    <d v="2024-12-31T00:00:00"/>
    <x v="132"/>
    <x v="985"/>
    <n v="1331"/>
    <n v="1331"/>
    <n v="0"/>
    <n v="0"/>
    <n v="0"/>
    <n v="1331"/>
    <x v="132"/>
    <s v="Concept"/>
  </r>
  <r>
    <s v="RD1106"/>
    <s v="Van Noort Gassler &amp; Co Rotterdam B.V."/>
    <s v="RD7225"/>
    <x v="102"/>
    <s v="VRK"/>
    <d v="2025-01-20T00:00:00"/>
    <x v="134"/>
    <x v="986"/>
    <n v="30.25"/>
    <n v="30.25"/>
    <n v="0"/>
    <n v="0"/>
    <n v="0"/>
    <n v="30.25"/>
    <x v="134"/>
    <s v="Concept"/>
  </r>
  <r>
    <s v="RD1106"/>
    <s v="Van Noort Gassler &amp; Co Rotterdam B.V."/>
    <s v="RD7259"/>
    <x v="103"/>
    <s v="VRK"/>
    <d v="2026-02-10T00:00:00"/>
    <x v="362"/>
    <x v="987"/>
    <n v="-847"/>
    <n v="-847"/>
    <n v="0"/>
    <n v="0"/>
    <n v="-847"/>
    <n v="0"/>
    <x v="362"/>
    <s v="Concept"/>
  </r>
  <r>
    <s v="RD1106"/>
    <s v="Van Noort Gassler &amp; Co Rotterdam B.V."/>
    <s v="RD7358"/>
    <x v="104"/>
    <s v="VRK"/>
    <d v="2024-07-08T00:00:00"/>
    <x v="263"/>
    <x v="988"/>
    <n v="302.5"/>
    <n v="302.5"/>
    <n v="0"/>
    <n v="0"/>
    <n v="0"/>
    <n v="302.5"/>
    <x v="263"/>
    <s v="Concept"/>
  </r>
  <r>
    <s v="RD1106"/>
    <s v="Van Noort Gassler &amp; Co Rotterdam B.V."/>
    <s v="RD7358"/>
    <x v="104"/>
    <s v="VRK"/>
    <d v="2024-08-05T00:00:00"/>
    <x v="264"/>
    <x v="989"/>
    <n v="302.5"/>
    <n v="302.5"/>
    <n v="0"/>
    <n v="0"/>
    <n v="0"/>
    <n v="302.5"/>
    <x v="264"/>
    <s v="Concept"/>
  </r>
  <r>
    <s v="RD1106"/>
    <s v="Van Noort Gassler &amp; Co Rotterdam B.V."/>
    <s v="RD7358"/>
    <x v="104"/>
    <s v="VRK"/>
    <d v="2024-09-02T00:00:00"/>
    <x v="265"/>
    <x v="990"/>
    <n v="302.5"/>
    <n v="302.5"/>
    <n v="0"/>
    <n v="0"/>
    <n v="0"/>
    <n v="302.5"/>
    <x v="265"/>
    <s v="Concept"/>
  </r>
  <r>
    <s v="RD1106"/>
    <s v="Van Noort Gassler &amp; Co Rotterdam B.V."/>
    <s v="RD7358"/>
    <x v="104"/>
    <s v="VRK"/>
    <d v="2024-10-07T00:00:00"/>
    <x v="266"/>
    <x v="991"/>
    <n v="302.5"/>
    <n v="302.5"/>
    <n v="0"/>
    <n v="0"/>
    <n v="0"/>
    <n v="302.5"/>
    <x v="266"/>
    <s v="Concept"/>
  </r>
  <r>
    <s v="RD1106"/>
    <s v="Van Noort Gassler &amp; Co Rotterdam B.V."/>
    <s v="RD7358"/>
    <x v="104"/>
    <s v="VRK"/>
    <d v="2024-11-04T00:00:00"/>
    <x v="267"/>
    <x v="992"/>
    <n v="302.5"/>
    <n v="302.5"/>
    <n v="0"/>
    <n v="0"/>
    <n v="0"/>
    <n v="302.5"/>
    <x v="267"/>
    <s v="Concept"/>
  </r>
  <r>
    <s v="RD1106"/>
    <s v="Van Noort Gassler &amp; Co Rotterdam B.V."/>
    <s v="RD7358"/>
    <x v="104"/>
    <s v="VRK"/>
    <d v="2024-11-04T00:00:00"/>
    <x v="267"/>
    <x v="993"/>
    <n v="30.25"/>
    <n v="30.25"/>
    <n v="0"/>
    <n v="0"/>
    <n v="0"/>
    <n v="30.25"/>
    <x v="267"/>
    <s v="Concept"/>
  </r>
  <r>
    <s v="RD1106"/>
    <s v="Van Noort Gassler &amp; Co Rotterdam B.V."/>
    <s v="RD7358"/>
    <x v="104"/>
    <s v="VRK"/>
    <d v="2024-12-02T00:00:00"/>
    <x v="268"/>
    <x v="994"/>
    <n v="302.5"/>
    <n v="302.5"/>
    <n v="0"/>
    <n v="0"/>
    <n v="0"/>
    <n v="302.5"/>
    <x v="268"/>
    <s v="Concept"/>
  </r>
  <r>
    <s v="RD1106"/>
    <s v="Van Noort Gassler &amp; Co Rotterdam B.V."/>
    <s v="RD7358"/>
    <x v="104"/>
    <s v="VRK"/>
    <d v="2025-01-15T00:00:00"/>
    <x v="131"/>
    <x v="995"/>
    <n v="302.5"/>
    <n v="302.5"/>
    <n v="0"/>
    <n v="0"/>
    <n v="0"/>
    <n v="302.5"/>
    <x v="131"/>
    <s v="Concept"/>
  </r>
  <r>
    <s v="RD1106"/>
    <s v="Van Noort Gassler &amp; Co Rotterdam B.V."/>
    <s v="RD7358"/>
    <x v="104"/>
    <s v="VRK"/>
    <d v="2025-02-04T00:00:00"/>
    <x v="137"/>
    <x v="996"/>
    <n v="1534.89"/>
    <n v="1534.89"/>
    <n v="0"/>
    <n v="0"/>
    <n v="0"/>
    <n v="1534.89"/>
    <x v="137"/>
    <s v="Concept"/>
  </r>
  <r>
    <s v="RD1106"/>
    <s v="Van Noort Gassler &amp; Co Rotterdam B.V."/>
    <s v="RD7716"/>
    <x v="105"/>
    <s v="VRK"/>
    <d v="2025-07-18T00:00:00"/>
    <x v="155"/>
    <x v="997"/>
    <n v="9075"/>
    <n v="9075"/>
    <n v="0"/>
    <n v="0"/>
    <n v="0"/>
    <n v="9075"/>
    <x v="155"/>
    <s v="Concept"/>
  </r>
  <r>
    <s v="RD1106"/>
    <s v="Van Noort Gassler &amp; Co Rotterdam B.V."/>
    <s v="RD7990"/>
    <x v="106"/>
    <s v="VRK"/>
    <d v="2025-05-02T00:00:00"/>
    <x v="363"/>
    <x v="998"/>
    <n v="1724.25"/>
    <n v="1724.25"/>
    <n v="0"/>
    <n v="0"/>
    <n v="0"/>
    <n v="1724.25"/>
    <x v="363"/>
    <s v="Concept"/>
  </r>
  <r>
    <s v="RD1106"/>
    <s v="Van Noort Gassler &amp; Co Rotterdam B.V."/>
    <s v="RD8690"/>
    <x v="107"/>
    <s v="VRK"/>
    <d v="2022-06-09T00:00:00"/>
    <x v="364"/>
    <x v="999"/>
    <n v="261.66000000000003"/>
    <n v="261.66000000000003"/>
    <n v="0"/>
    <n v="0"/>
    <n v="0"/>
    <n v="261.66000000000003"/>
    <x v="364"/>
    <s v="Definitief"/>
  </r>
  <r>
    <s v="RD1106"/>
    <s v="Van Noort Gassler &amp; Co Rotterdam B.V."/>
    <s v="RD8691"/>
    <x v="108"/>
    <s v="VRK"/>
    <d v="2026-04-21T00:00:00"/>
    <x v="196"/>
    <x v="1000"/>
    <n v="3444.77"/>
    <n v="3444.77"/>
    <n v="3444.77"/>
    <n v="0"/>
    <n v="0"/>
    <n v="0"/>
    <x v="196"/>
    <s v="Concept"/>
  </r>
  <r>
    <s v="RD1106"/>
    <s v="Van Noort Gassler &amp; Co Rotterdam B.V."/>
    <s v="RD9462"/>
    <x v="109"/>
    <s v="VRK"/>
    <d v="2021-07-01T00:00:00"/>
    <x v="365"/>
    <x v="1001"/>
    <n v="240.79"/>
    <n v="240.79"/>
    <n v="0"/>
    <n v="0"/>
    <n v="0"/>
    <n v="240.79"/>
    <x v="365"/>
    <s v="Definitief"/>
  </r>
  <r>
    <s v="RD1106"/>
    <s v="Van Noort Gassler &amp; Co Rotterdam B.V."/>
    <s v="RD9462"/>
    <x v="109"/>
    <s v="VRK"/>
    <d v="2021-08-04T00:00:00"/>
    <x v="366"/>
    <x v="1002"/>
    <n v="240.79"/>
    <n v="240.79"/>
    <n v="0"/>
    <n v="0"/>
    <n v="0"/>
    <n v="240.79"/>
    <x v="366"/>
    <s v="Definitief"/>
  </r>
  <r>
    <s v="RD1106"/>
    <s v="Van Noort Gassler &amp; Co Rotterdam B.V."/>
    <s v="RD9462"/>
    <x v="109"/>
    <s v="VRK"/>
    <d v="2021-09-09T00:00:00"/>
    <x v="367"/>
    <x v="1003"/>
    <n v="240.79"/>
    <n v="240.79"/>
    <n v="0"/>
    <n v="0"/>
    <n v="0"/>
    <n v="240.79"/>
    <x v="367"/>
    <s v="Definitief"/>
  </r>
  <r>
    <s v="RD1106"/>
    <s v="Van Noort Gassler &amp; Co Rotterdam B.V."/>
    <s v="RD9462"/>
    <x v="109"/>
    <s v="VRK"/>
    <d v="2021-10-01T00:00:00"/>
    <x v="368"/>
    <x v="1004"/>
    <n v="240.79"/>
    <n v="240.79"/>
    <n v="0"/>
    <n v="0"/>
    <n v="0"/>
    <n v="240.79"/>
    <x v="368"/>
    <s v="Definitief"/>
  </r>
  <r>
    <s v="RD1106"/>
    <s v="Van Noort Gassler &amp; Co Rotterdam B.V."/>
    <s v="RD9462"/>
    <x v="109"/>
    <s v="VRK"/>
    <d v="2021-11-03T00:00:00"/>
    <x v="369"/>
    <x v="1005"/>
    <n v="240.79"/>
    <n v="240.79"/>
    <n v="0"/>
    <n v="0"/>
    <n v="0"/>
    <n v="240.79"/>
    <x v="369"/>
    <s v="Definitief"/>
  </r>
  <r>
    <s v="RD1106"/>
    <s v="Van Noort Gassler &amp; Co Rotterdam B.V."/>
    <s v="RD9462"/>
    <x v="109"/>
    <s v="VRK"/>
    <d v="2021-12-02T00:00:00"/>
    <x v="370"/>
    <x v="1006"/>
    <n v="240.79"/>
    <n v="240.79"/>
    <n v="0"/>
    <n v="0"/>
    <n v="0"/>
    <n v="240.79"/>
    <x v="370"/>
    <s v="Definitief"/>
  </r>
  <r>
    <s v="RD1106"/>
    <s v="Van Noort Gassler &amp; Co Rotterdam B.V."/>
    <s v="RD9462"/>
    <x v="109"/>
    <s v="VRK"/>
    <d v="2022-01-12T00:00:00"/>
    <x v="371"/>
    <x v="1007"/>
    <n v="240.79"/>
    <n v="240.79"/>
    <n v="0"/>
    <n v="0"/>
    <n v="0"/>
    <n v="240.79"/>
    <x v="371"/>
    <s v="Definitief"/>
  </r>
  <r>
    <s v="RD1106"/>
    <s v="Van Noort Gassler &amp; Co Rotterdam B.V."/>
    <s v="RD9462"/>
    <x v="109"/>
    <s v="VRK"/>
    <d v="2022-02-04T00:00:00"/>
    <x v="372"/>
    <x v="1008"/>
    <n v="240.79"/>
    <n v="240.79"/>
    <n v="0"/>
    <n v="0"/>
    <n v="0"/>
    <n v="240.79"/>
    <x v="372"/>
    <s v="Definitief"/>
  </r>
  <r>
    <s v="RD1106"/>
    <s v="Van Noort Gassler &amp; Co Rotterdam B.V."/>
    <s v="RD9462"/>
    <x v="109"/>
    <s v="VRK"/>
    <d v="2022-03-08T00:00:00"/>
    <x v="373"/>
    <x v="1009"/>
    <n v="240.79"/>
    <n v="240.79"/>
    <n v="0"/>
    <n v="0"/>
    <n v="0"/>
    <n v="240.79"/>
    <x v="373"/>
    <s v="Definitief"/>
  </r>
  <r>
    <s v="RD1106"/>
    <s v="Van Noort Gassler &amp; Co Rotterdam B.V."/>
    <s v="RD9462"/>
    <x v="109"/>
    <s v="VRK"/>
    <d v="2022-04-07T00:00:00"/>
    <x v="374"/>
    <x v="1010"/>
    <n v="240.79"/>
    <n v="240.79"/>
    <n v="0"/>
    <n v="0"/>
    <n v="0"/>
    <n v="240.79"/>
    <x v="374"/>
    <s v="Definitief"/>
  </r>
  <r>
    <s v="RD1106"/>
    <s v="Van Noort Gassler &amp; Co Rotterdam B.V."/>
    <s v="RD9462"/>
    <x v="109"/>
    <s v="VRK"/>
    <d v="2022-05-03T00:00:00"/>
    <x v="375"/>
    <x v="1011"/>
    <n v="240.79"/>
    <n v="240.79"/>
    <n v="0"/>
    <n v="0"/>
    <n v="0"/>
    <n v="240.79"/>
    <x v="375"/>
    <s v="Definitief"/>
  </r>
  <r>
    <s v="RD1106"/>
    <s v="Van Noort Gassler &amp; Co Rotterdam B.V."/>
    <s v="RD9462"/>
    <x v="109"/>
    <s v="VRK"/>
    <d v="2022-06-02T00:00:00"/>
    <x v="376"/>
    <x v="1012"/>
    <n v="240.79"/>
    <n v="240.79"/>
    <n v="0"/>
    <n v="0"/>
    <n v="0"/>
    <n v="240.79"/>
    <x v="376"/>
    <s v="Definitief"/>
  </r>
  <r>
    <s v="RD1106"/>
    <s v="Van Noort Gassler &amp; Co Rotterdam B.V."/>
    <s v="RD9462"/>
    <x v="109"/>
    <s v="VRK"/>
    <d v="2022-07-12T00:00:00"/>
    <x v="377"/>
    <x v="1013"/>
    <n v="240.79"/>
    <n v="240.79"/>
    <n v="0"/>
    <n v="0"/>
    <n v="0"/>
    <n v="240.79"/>
    <x v="377"/>
    <s v="Definitief"/>
  </r>
  <r>
    <s v="RD1106"/>
    <s v="Van Noort Gassler &amp; Co Rotterdam B.V."/>
    <s v="RD9462"/>
    <x v="109"/>
    <s v="VRK"/>
    <d v="2022-08-04T00:00:00"/>
    <x v="378"/>
    <x v="1014"/>
    <n v="240.79"/>
    <n v="240.79"/>
    <n v="0"/>
    <n v="0"/>
    <n v="0"/>
    <n v="240.79"/>
    <x v="378"/>
    <s v="Definitief"/>
  </r>
  <r>
    <s v="RD1106"/>
    <s v="Van Noort Gassler &amp; Co Rotterdam B.V."/>
    <s v="RD9462"/>
    <x v="109"/>
    <s v="VRK"/>
    <d v="2022-09-08T00:00:00"/>
    <x v="201"/>
    <x v="1015"/>
    <n v="240.79"/>
    <n v="240.79"/>
    <n v="0"/>
    <n v="0"/>
    <n v="0"/>
    <n v="240.79"/>
    <x v="201"/>
    <s v="Definitief"/>
  </r>
  <r>
    <s v="RD1106"/>
    <s v="Van Noort Gassler &amp; Co Rotterdam B.V."/>
    <s v="RD9462"/>
    <x v="109"/>
    <s v="VRK"/>
    <d v="2022-10-03T00:00:00"/>
    <x v="379"/>
    <x v="1016"/>
    <n v="240.79"/>
    <n v="240.79"/>
    <n v="0"/>
    <n v="0"/>
    <n v="0"/>
    <n v="240.79"/>
    <x v="379"/>
    <s v="Definitief"/>
  </r>
  <r>
    <s v="RD1106"/>
    <s v="Van Noort Gassler &amp; Co Rotterdam B.V."/>
    <s v="RD9462"/>
    <x v="109"/>
    <s v="VRK"/>
    <d v="2022-11-03T00:00:00"/>
    <x v="380"/>
    <x v="1017"/>
    <n v="240.79"/>
    <n v="240.79"/>
    <n v="0"/>
    <n v="0"/>
    <n v="0"/>
    <n v="240.79"/>
    <x v="380"/>
    <s v="Definitief"/>
  </r>
  <r>
    <s v="RD1106"/>
    <s v="Van Noort Gassler &amp; Co Rotterdam B.V."/>
    <s v="RD9462"/>
    <x v="109"/>
    <s v="VRK"/>
    <d v="2022-12-01T00:00:00"/>
    <x v="381"/>
    <x v="1018"/>
    <n v="240.79"/>
    <n v="240.79"/>
    <n v="0"/>
    <n v="0"/>
    <n v="0"/>
    <n v="240.79"/>
    <x v="381"/>
    <s v="Definitief"/>
  </r>
  <r>
    <s v="RD1106"/>
    <s v="Van Noort Gassler &amp; Co Rotterdam B.V."/>
    <s v="RD9462"/>
    <x v="109"/>
    <s v="VRK"/>
    <d v="2023-01-16T00:00:00"/>
    <x v="248"/>
    <x v="1019"/>
    <n v="240.79"/>
    <n v="240.79"/>
    <n v="0"/>
    <n v="0"/>
    <n v="0"/>
    <n v="240.79"/>
    <x v="248"/>
    <s v="Definitief"/>
  </r>
  <r>
    <s v="RD1106"/>
    <s v="Van Noort Gassler &amp; Co Rotterdam B.V."/>
    <s v="RD9462"/>
    <x v="109"/>
    <s v="VRK"/>
    <d v="2023-02-08T00:00:00"/>
    <x v="249"/>
    <x v="1020"/>
    <n v="240.79"/>
    <n v="240.79"/>
    <n v="0"/>
    <n v="0"/>
    <n v="0"/>
    <n v="240.79"/>
    <x v="249"/>
    <s v="Definitief"/>
  </r>
  <r>
    <s v="RD1106"/>
    <s v="Van Noort Gassler &amp; Co Rotterdam B.V."/>
    <s v="RD9462"/>
    <x v="109"/>
    <s v="VRK"/>
    <d v="2023-02-15T00:00:00"/>
    <x v="382"/>
    <x v="1021"/>
    <n v="646.08000000000004"/>
    <n v="646.08000000000004"/>
    <n v="0"/>
    <n v="0"/>
    <n v="0"/>
    <n v="646.08000000000004"/>
    <x v="382"/>
    <s v="Definitief"/>
  </r>
  <r>
    <s v="RD1106"/>
    <s v="Van Noort Gassler &amp; Co Rotterdam B.V."/>
    <s v="RD9462"/>
    <x v="109"/>
    <s v="VRK"/>
    <d v="2023-03-06T00:00:00"/>
    <x v="250"/>
    <x v="1022"/>
    <n v="240.79"/>
    <n v="240.79"/>
    <n v="0"/>
    <n v="0"/>
    <n v="0"/>
    <n v="240.79"/>
    <x v="250"/>
    <s v="Definitief"/>
  </r>
  <r>
    <s v="RD1106"/>
    <s v="Van Noort Gassler &amp; Co Rotterdam B.V."/>
    <s v="RD9462"/>
    <x v="109"/>
    <s v="VRK"/>
    <d v="2023-03-28T00:00:00"/>
    <x v="383"/>
    <x v="1023"/>
    <n v="1346.13"/>
    <n v="1346.13"/>
    <n v="0"/>
    <n v="0"/>
    <n v="0"/>
    <n v="1346.13"/>
    <x v="383"/>
    <s v="Definitief"/>
  </r>
  <r>
    <s v="RD1106"/>
    <s v="Van Noort Gassler &amp; Co Rotterdam B.V."/>
    <s v="RD9462"/>
    <x v="109"/>
    <s v="VRK"/>
    <d v="2023-04-04T00:00:00"/>
    <x v="251"/>
    <x v="1024"/>
    <n v="240.79"/>
    <n v="240.79"/>
    <n v="0"/>
    <n v="0"/>
    <n v="0"/>
    <n v="240.79"/>
    <x v="251"/>
    <s v="Definitief"/>
  </r>
  <r>
    <s v="RD1106"/>
    <s v="Van Noort Gassler &amp; Co Rotterdam B.V."/>
    <s v="RD9462"/>
    <x v="109"/>
    <s v="VRK"/>
    <d v="2023-05-02T00:00:00"/>
    <x v="252"/>
    <x v="1025"/>
    <n v="240.79"/>
    <n v="240.79"/>
    <n v="0"/>
    <n v="0"/>
    <n v="0"/>
    <n v="240.79"/>
    <x v="252"/>
    <s v="Definitief"/>
  </r>
  <r>
    <s v="RD1106"/>
    <s v="Van Noort Gassler &amp; Co Rotterdam B.V."/>
    <s v="RD9462"/>
    <x v="109"/>
    <s v="VRK"/>
    <d v="2023-06-05T00:00:00"/>
    <x v="223"/>
    <x v="1026"/>
    <n v="240.79"/>
    <n v="240.79"/>
    <n v="0"/>
    <n v="0"/>
    <n v="0"/>
    <n v="240.79"/>
    <x v="223"/>
    <s v="Definitief"/>
  </r>
  <r>
    <s v="RD1106"/>
    <s v="Van Noort Gassler &amp; Co Rotterdam B.V."/>
    <s v="RD9462"/>
    <x v="109"/>
    <s v="VRK"/>
    <d v="2023-07-03T00:00:00"/>
    <x v="224"/>
    <x v="1027"/>
    <n v="240.79"/>
    <n v="240.79"/>
    <n v="0"/>
    <n v="0"/>
    <n v="0"/>
    <n v="240.79"/>
    <x v="224"/>
    <s v="Definitief"/>
  </r>
  <r>
    <s v="RD1106"/>
    <s v="Van Noort Gassler &amp; Co Rotterdam B.V."/>
    <s v="RD9462"/>
    <x v="109"/>
    <s v="VRK"/>
    <d v="2023-08-03T00:00:00"/>
    <x v="226"/>
    <x v="1028"/>
    <n v="240.79"/>
    <n v="240.79"/>
    <n v="0"/>
    <n v="0"/>
    <n v="0"/>
    <n v="240.79"/>
    <x v="226"/>
    <s v="Definitief"/>
  </r>
  <r>
    <s v="RD1106"/>
    <s v="Van Noort Gassler &amp; Co Rotterdam B.V."/>
    <s v="RD9462"/>
    <x v="109"/>
    <s v="VRK"/>
    <d v="2023-09-05T00:00:00"/>
    <x v="253"/>
    <x v="1029"/>
    <n v="240.79"/>
    <n v="240.79"/>
    <n v="0"/>
    <n v="0"/>
    <n v="0"/>
    <n v="240.79"/>
    <x v="253"/>
    <s v="Definitief"/>
  </r>
  <r>
    <s v="RD1106"/>
    <s v="Van Noort Gassler &amp; Co Rotterdam B.V."/>
    <s v="RD9462"/>
    <x v="109"/>
    <s v="VRK"/>
    <d v="2023-09-18T00:00:00"/>
    <x v="384"/>
    <x v="1030"/>
    <n v="1886.09"/>
    <n v="1886.09"/>
    <n v="0"/>
    <n v="0"/>
    <n v="0"/>
    <n v="1886.09"/>
    <x v="384"/>
    <s v="Definitief"/>
  </r>
  <r>
    <s v="RD1106"/>
    <s v="Van Noort Gassler &amp; Co Rotterdam B.V."/>
    <s v="RD9462"/>
    <x v="109"/>
    <s v="VRK"/>
    <d v="2023-10-03T00:00:00"/>
    <x v="254"/>
    <x v="1031"/>
    <n v="240.79"/>
    <n v="240.79"/>
    <n v="0"/>
    <n v="0"/>
    <n v="0"/>
    <n v="240.79"/>
    <x v="254"/>
    <s v="Definitief"/>
  </r>
  <r>
    <s v="RD1106"/>
    <s v="Van Noort Gassler &amp; Co Rotterdam B.V."/>
    <s v="RD9462"/>
    <x v="109"/>
    <s v="VRK"/>
    <d v="2023-11-07T00:00:00"/>
    <x v="255"/>
    <x v="1032"/>
    <n v="240.79"/>
    <n v="240.79"/>
    <n v="0"/>
    <n v="0"/>
    <n v="0"/>
    <n v="240.79"/>
    <x v="255"/>
    <s v="Definitief"/>
  </r>
  <r>
    <s v="RD1106"/>
    <s v="Van Noort Gassler &amp; Co Rotterdam B.V."/>
    <s v="RD9462"/>
    <x v="109"/>
    <s v="VRK"/>
    <d v="2023-12-05T00:00:00"/>
    <x v="256"/>
    <x v="1033"/>
    <n v="240.79"/>
    <n v="240.79"/>
    <n v="0"/>
    <n v="0"/>
    <n v="0"/>
    <n v="240.79"/>
    <x v="256"/>
    <s v="Definitief"/>
  </r>
  <r>
    <s v="RD1106"/>
    <s v="Van Noort Gassler &amp; Co Rotterdam B.V."/>
    <s v="RD9462"/>
    <x v="109"/>
    <s v="VRK"/>
    <d v="2024-04-11T00:00:00"/>
    <x v="385"/>
    <x v="1034"/>
    <n v="127.17"/>
    <n v="127.17"/>
    <n v="0"/>
    <n v="0"/>
    <n v="0"/>
    <n v="127.17"/>
    <x v="385"/>
    <s v="Concept"/>
  </r>
  <r>
    <s v="RD1106"/>
    <s v="Van Noort Gassler &amp; Co Rotterdam B.V."/>
    <s v="RD9462"/>
    <x v="109"/>
    <s v="VRK"/>
    <d v="2024-04-11T00:00:00"/>
    <x v="385"/>
    <x v="1035"/>
    <n v="784.99"/>
    <n v="784.99"/>
    <n v="0"/>
    <n v="0"/>
    <n v="0"/>
    <n v="784.99"/>
    <x v="385"/>
    <s v="Concept"/>
  </r>
  <r>
    <s v="RD1106"/>
    <s v="Van Noort Gassler &amp; Co Rotterdam B.V."/>
    <s v="RD9897"/>
    <x v="110"/>
    <s v="VRK"/>
    <d v="2024-08-07T00:00:00"/>
    <x v="361"/>
    <x v="1036"/>
    <n v="249.56"/>
    <n v="249.56"/>
    <n v="0"/>
    <n v="0"/>
    <n v="0"/>
    <n v="249.56"/>
    <x v="361"/>
    <s v="Concept"/>
  </r>
  <r>
    <s v="RD1106"/>
    <s v="Van Noort Gassler &amp; Co Rotterdam B.V."/>
    <s v="RD9963"/>
    <x v="111"/>
    <s v="VRK"/>
    <d v="2026-01-29T00:00:00"/>
    <x v="94"/>
    <x v="1037"/>
    <n v="464.64"/>
    <n v="464.64"/>
    <n v="0"/>
    <n v="0"/>
    <n v="0"/>
    <n v="464.64"/>
    <x v="94"/>
    <s v="Concept"/>
  </r>
  <r>
    <s v="RD1106"/>
    <s v="Van Noort Gassler &amp; Co Rotterdam B.V."/>
    <s v="RD9963"/>
    <x v="111"/>
    <s v="VRK"/>
    <d v="2026-01-30T00:00:00"/>
    <x v="386"/>
    <x v="1038"/>
    <n v="464.64"/>
    <n v="464.64"/>
    <n v="0"/>
    <n v="0"/>
    <n v="0"/>
    <n v="464.64"/>
    <x v="386"/>
    <s v="Concept"/>
  </r>
  <r>
    <s v="RD1106"/>
    <s v="Van Noort Gassler &amp; Co Rotterdam B.V."/>
    <s v="RD9963"/>
    <x v="111"/>
    <s v="VRK"/>
    <d v="2026-02-02T00:00:00"/>
    <x v="95"/>
    <x v="1039"/>
    <n v="319.44"/>
    <n v="319.44"/>
    <n v="0"/>
    <n v="0"/>
    <n v="319.44"/>
    <n v="0"/>
    <x v="95"/>
    <s v="Concept"/>
  </r>
  <r>
    <s v="RD1106"/>
    <s v="Van Noort Gassler &amp; Co Rotterdam B.V."/>
    <s v="RD9963"/>
    <x v="111"/>
    <s v="VRK"/>
    <d v="2026-02-02T00:00:00"/>
    <x v="280"/>
    <x v="1040"/>
    <n v="232.32"/>
    <n v="232.32"/>
    <n v="0"/>
    <n v="0"/>
    <n v="0"/>
    <n v="232.32"/>
    <x v="280"/>
    <s v="Concept"/>
  </r>
  <r>
    <s v="RD1106"/>
    <s v="Van Noort Gassler &amp; Co Rotterdam B.V."/>
    <s v="RD9963"/>
    <x v="111"/>
    <s v="VRK"/>
    <d v="2026-02-12T00:00:00"/>
    <x v="387"/>
    <x v="1041"/>
    <n v="-319.44"/>
    <n v="-319.44"/>
    <n v="0"/>
    <n v="0"/>
    <n v="-319.44"/>
    <n v="0"/>
    <x v="387"/>
    <s v="Concept"/>
  </r>
  <r>
    <s v="RD1106"/>
    <s v="Van Noort Gassler &amp; Co Rotterdam B.V."/>
    <s v="RD9963"/>
    <x v="111"/>
    <s v="VRK"/>
    <d v="2026-02-12T00:00:00"/>
    <x v="183"/>
    <x v="1042"/>
    <n v="-232.32"/>
    <n v="-232.32"/>
    <n v="0"/>
    <n v="0"/>
    <n v="0"/>
    <n v="-232.32"/>
    <x v="183"/>
    <s v="Concept"/>
  </r>
  <r>
    <s v="RD1106"/>
    <s v="Van Noort Gassler &amp; Co Rotterdam B.V."/>
    <s v="RD9963"/>
    <x v="111"/>
    <s v="VRK"/>
    <d v="2026-02-12T00:00:00"/>
    <x v="183"/>
    <x v="1043"/>
    <n v="-464.64"/>
    <n v="-464.64"/>
    <n v="0"/>
    <n v="0"/>
    <n v="0"/>
    <n v="-464.64"/>
    <x v="183"/>
    <s v="Concept"/>
  </r>
  <r>
    <s v="RD1106"/>
    <s v="Van Noort Gassler &amp; Co Rotterdam B.V."/>
    <s v="RD9963"/>
    <x v="111"/>
    <s v="VRK"/>
    <d v="2026-02-12T00:00:00"/>
    <x v="183"/>
    <x v="1044"/>
    <n v="-464.64"/>
    <n v="-464.64"/>
    <n v="0"/>
    <n v="0"/>
    <n v="0"/>
    <n v="-464.64"/>
    <x v="183"/>
    <s v="Concept"/>
  </r>
  <r>
    <s v="RD1106"/>
    <s v="Van Noort Gassler &amp; Co Rotterdam B.V."/>
    <s v="RD9971"/>
    <x v="112"/>
    <s v="VRK"/>
    <d v="2026-02-19T00:00:00"/>
    <x v="388"/>
    <x v="1045"/>
    <n v="-525"/>
    <n v="-525"/>
    <n v="0"/>
    <n v="0"/>
    <n v="-525"/>
    <n v="0"/>
    <x v="388"/>
    <s v="Concept"/>
  </r>
  <r>
    <s v="RD1106"/>
    <s v="Van Noort Gassler &amp; Co Rotterdam B.V."/>
    <s v="RD9971"/>
    <x v="112"/>
    <s v="VRK"/>
    <d v="2026-02-19T00:00:00"/>
    <x v="388"/>
    <x v="1046"/>
    <n v="525"/>
    <n v="525"/>
    <n v="0"/>
    <n v="0"/>
    <n v="525"/>
    <n v="0"/>
    <x v="388"/>
    <s v="Concept"/>
  </r>
  <r>
    <s v="RD1106"/>
    <s v="Van Noort Gassler &amp; Co Rotterdam B.V."/>
    <s v="RD9971"/>
    <x v="112"/>
    <s v="VRK"/>
    <d v="2026-02-19T00:00:00"/>
    <x v="388"/>
    <x v="1047"/>
    <n v="-525"/>
    <n v="-525"/>
    <n v="0"/>
    <n v="0"/>
    <n v="-525"/>
    <n v="0"/>
    <x v="388"/>
    <s v="Concept"/>
  </r>
  <r>
    <s v="RD1106"/>
    <s v="Van Noort Gassler &amp; Co Rotterdam B.V."/>
    <s v="RD9971"/>
    <x v="112"/>
    <s v="VRK"/>
    <d v="2026-02-19T00:00:00"/>
    <x v="388"/>
    <x v="1048"/>
    <n v="525"/>
    <n v="525"/>
    <n v="0"/>
    <n v="0"/>
    <n v="525"/>
    <n v="0"/>
    <x v="388"/>
    <s v="Concept"/>
  </r>
  <r>
    <s v="RD1106"/>
    <s v="Van Noort Gassler &amp; Co Rotterdam B.V."/>
    <s v="RD9971"/>
    <x v="112"/>
    <s v="VRK"/>
    <d v="2026-02-19T00:00:00"/>
    <x v="388"/>
    <x v="1049"/>
    <n v="-525"/>
    <n v="-525"/>
    <n v="0"/>
    <n v="0"/>
    <n v="-525"/>
    <n v="0"/>
    <x v="388"/>
    <s v="Concept"/>
  </r>
  <r>
    <s v="RD1106"/>
    <s v="Van Noort Gassler &amp; Co Rotterdam B.V."/>
    <s v="RD9971"/>
    <x v="112"/>
    <s v="VRK"/>
    <d v="2026-02-19T00:00:00"/>
    <x v="388"/>
    <x v="1050"/>
    <n v="525"/>
    <n v="525"/>
    <n v="0"/>
    <n v="0"/>
    <n v="525"/>
    <n v="0"/>
    <x v="388"/>
    <s v="Concept"/>
  </r>
  <r>
    <s v="RD1106"/>
    <s v="Van Noort Gassler &amp; Co Rotterdam B.V."/>
    <s v="RD9974"/>
    <x v="113"/>
    <s v="VRK"/>
    <d v="2024-12-31T00:00:00"/>
    <x v="132"/>
    <x v="1051"/>
    <n v="550.04"/>
    <n v="550.04"/>
    <n v="0"/>
    <n v="0"/>
    <n v="0"/>
    <n v="550.04"/>
    <x v="132"/>
    <s v="Concept"/>
  </r>
  <r>
    <s v="RD1106"/>
    <s v="Van Noort Gassler &amp; Co Rotterdam B.V."/>
    <s v="RD9974"/>
    <x v="113"/>
    <s v="VRK"/>
    <d v="2025-01-06T00:00:00"/>
    <x v="355"/>
    <x v="1052"/>
    <n v="-550.04"/>
    <n v="-550.04"/>
    <n v="0"/>
    <n v="0"/>
    <n v="0"/>
    <n v="-550.04"/>
    <x v="355"/>
    <s v="Concept"/>
  </r>
  <r>
    <s v="RD1106"/>
    <s v="Van Noort Gassler &amp; Co Rotterdam B.V."/>
    <s v="RD9974"/>
    <x v="113"/>
    <s v="VRK"/>
    <d v="2026-01-08T00:00:00"/>
    <x v="93"/>
    <x v="1053"/>
    <n v="574.75"/>
    <n v="574.75"/>
    <n v="0"/>
    <n v="0"/>
    <n v="0"/>
    <n v="574.75"/>
    <x v="93"/>
    <s v="Concept"/>
  </r>
  <r>
    <s v="RD1106"/>
    <s v="Van Noort Gassler &amp; Co Rotterdam B.V."/>
    <s v="RD9974"/>
    <x v="113"/>
    <s v="VRK"/>
    <d v="2026-01-12T00:00:00"/>
    <x v="205"/>
    <x v="1054"/>
    <n v="-574.75"/>
    <n v="-574.75"/>
    <n v="0"/>
    <n v="0"/>
    <n v="0"/>
    <n v="-574.75"/>
    <x v="205"/>
    <s v="Concept"/>
  </r>
  <r>
    <s v="RD1106"/>
    <s v="Van Noort Gassler &amp; Co Rotterdam B.V."/>
    <s v="RD9989"/>
    <x v="114"/>
    <s v="VRK"/>
    <d v="2024-04-29T00:00:00"/>
    <x v="389"/>
    <x v="1055"/>
    <n v="2467.39"/>
    <n v="2467.39"/>
    <n v="0"/>
    <n v="0"/>
    <n v="0"/>
    <n v="2467.39"/>
    <x v="389"/>
    <s v="Concept"/>
  </r>
  <r>
    <s v="RD1106"/>
    <s v="Van Noort Gassler &amp; Co Rotterdam B.V."/>
    <s v="RD9989"/>
    <x v="114"/>
    <s v="VRK"/>
    <d v="2024-05-28T00:00:00"/>
    <x v="390"/>
    <x v="1056"/>
    <n v="671.04"/>
    <n v="671.04"/>
    <n v="0"/>
    <n v="0"/>
    <n v="0"/>
    <n v="671.04"/>
    <x v="390"/>
    <s v="Concept"/>
  </r>
  <r>
    <s v="RD1106"/>
    <s v="Van Noort Gassler &amp; Co Rotterdam B.V."/>
    <s v="RD9998"/>
    <x v="115"/>
    <s v="VRK"/>
    <d v="2022-11-21T00:00:00"/>
    <x v="391"/>
    <x v="1057"/>
    <n v="4537.5"/>
    <n v="4537.5"/>
    <n v="0"/>
    <n v="0"/>
    <n v="0"/>
    <n v="4537.5"/>
    <x v="391"/>
    <s v="Definitief"/>
  </r>
  <r>
    <s v="RD1106"/>
    <s v="Van Noort Gassler &amp; Co Rotterdam B.V."/>
    <s v="RRD9981"/>
    <x v="116"/>
    <s v="VRK"/>
    <d v="2021-12-07T00:00:00"/>
    <x v="392"/>
    <x v="1058"/>
    <n v="9075"/>
    <n v="9075"/>
    <n v="0"/>
    <n v="0"/>
    <n v="0"/>
    <n v="9075"/>
    <x v="392"/>
    <s v="Definitief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JPA Van Noort Gassler &amp; Co B.V."/>
    <n v="3729562.3099999996"/>
    <d v="2024-06-05T00:00:00"/>
    <n v="722"/>
    <m/>
    <m/>
    <x v="0"/>
    <m/>
    <x v="0"/>
  </r>
  <r>
    <s v="Van Noort Gassler &amp; Co. 's-Gravenhage B.V."/>
    <n v="203002.73000000024"/>
    <d v="2019-08-13T00:00:00"/>
    <n v="2480"/>
    <m/>
    <m/>
    <x v="0"/>
    <m/>
    <x v="1"/>
  </r>
  <r>
    <s v="Van Noort Gassler &amp; Co. Utrecht B.V."/>
    <n v="0"/>
    <d v="2026-02-23T00:00:00"/>
    <n v="94"/>
    <m/>
    <m/>
    <x v="0"/>
    <m/>
    <x v="1"/>
  </r>
  <r>
    <s v="Van Noort Gassler &amp; Co. Haarlem B.V."/>
    <n v="18214.829999999998"/>
    <d v="2023-01-17T00:00:00"/>
    <n v="1227"/>
    <m/>
    <m/>
    <x v="0"/>
    <m/>
    <x v="1"/>
  </r>
  <r>
    <s v="Pijnex Internationationaal Transport"/>
    <n v="44425"/>
    <d v="2025-01-27T00:00:00"/>
    <n v="486"/>
    <m/>
    <m/>
    <x v="1"/>
    <m/>
    <x v="2"/>
  </r>
  <r>
    <s v="R.A.U. Juchter van Bergen Quast B.V."/>
    <n v="40270.76"/>
    <d v="2017-12-29T00:00:00"/>
    <n v="3072"/>
    <m/>
    <m/>
    <x v="2"/>
    <s v="No action needed"/>
    <x v="3"/>
  </r>
  <r>
    <s v="LUKOIL International Upstream Holdings B.V."/>
    <n v="28645.24"/>
    <d v="2025-12-18T00:00:00"/>
    <n v="161"/>
    <m/>
    <m/>
    <x v="3"/>
    <m/>
    <x v="4"/>
  </r>
  <r>
    <s v="Vincent van der Weijden Holding B.V."/>
    <n v="23347.620000000021"/>
    <d v="2021-08-04T00:00:00"/>
    <n v="1758"/>
    <m/>
    <m/>
    <x v="1"/>
    <s v="Payment agreement set up"/>
    <x v="4"/>
  </r>
  <r>
    <s v="Lewis Fashion Group B.V."/>
    <n v="23075.469999999998"/>
    <d v="2024-06-07T00:00:00"/>
    <n v="720"/>
    <m/>
    <m/>
    <x v="1"/>
    <s v="Payment agreement set up"/>
    <x v="4"/>
  </r>
  <r>
    <s v="Stichting Studeren/Werken op Maat"/>
    <n v="20189.760000000002"/>
    <d v="2025-02-11T00:00:00"/>
    <n v="471"/>
    <m/>
    <m/>
    <x v="4"/>
    <m/>
    <x v="5"/>
  </r>
  <r>
    <s v="Duckies B.V."/>
    <n v="18595.519999999997"/>
    <d v="2025-03-10T00:00:00"/>
    <n v="444"/>
    <m/>
    <m/>
    <x v="1"/>
    <m/>
    <x v="5"/>
  </r>
  <r>
    <s v="Elstgeest Ventures B.V."/>
    <n v="12552.47999999999"/>
    <d v="2025-02-03T00:00:00"/>
    <n v="479"/>
    <m/>
    <m/>
    <x v="1"/>
    <m/>
    <x v="6"/>
  </r>
  <r>
    <s v="Autodemontagebedrijf Th. van Gils B.V."/>
    <n v="12162.560000000001"/>
    <d v="2026-03-23T00:00:00"/>
    <n v="66"/>
    <m/>
    <m/>
    <x v="4"/>
    <m/>
    <x v="7"/>
  </r>
  <r>
    <s v="Rijks Investments B.V."/>
    <n v="12014.160000000003"/>
    <d v="2021-07-01T00:00:00"/>
    <n v="1792"/>
    <m/>
    <m/>
    <x v="5"/>
    <m/>
    <x v="8"/>
  </r>
  <r>
    <s v="G8plus B.V."/>
    <n v="11753.150000000001"/>
    <d v="2017-02-02T00:00:00"/>
    <n v="3402"/>
    <m/>
    <m/>
    <x v="2"/>
    <m/>
    <x v="8"/>
  </r>
  <r>
    <s v="American Soulfood"/>
    <n v="11495.000000000002"/>
    <d v="2019-01-02T00:00:00"/>
    <n v="2703"/>
    <m/>
    <m/>
    <x v="4"/>
    <m/>
    <x v="9"/>
  </r>
  <r>
    <s v="Serviceheroes B.V."/>
    <n v="11187.06"/>
    <d v="2025-03-10T00:00:00"/>
    <n v="444"/>
    <m/>
    <m/>
    <x v="5"/>
    <m/>
    <x v="7"/>
  </r>
  <r>
    <s v="Amigo Top B.V."/>
    <n v="11156.8"/>
    <d v="2024-09-30T00:00:00"/>
    <n v="605"/>
    <m/>
    <m/>
    <x v="5"/>
    <s v="No action needed; No reminder needed."/>
    <x v="3"/>
  </r>
  <r>
    <s v="TOFF concept"/>
    <n v="9764.14"/>
    <d v="2023-01-01T00:00:00"/>
    <n v="1243"/>
    <m/>
    <m/>
    <x v="1"/>
    <m/>
    <x v="10"/>
  </r>
  <r>
    <s v="Autobedrijf Tinga &amp; Zn"/>
    <n v="9075"/>
    <d v="2025-07-18T00:00:00"/>
    <n v="314"/>
    <m/>
    <m/>
    <x v="5"/>
    <m/>
    <x v="7"/>
  </r>
  <r>
    <s v="Hans van Rooij Consultancy"/>
    <n v="9075"/>
    <d v="2021-12-07T00:00:00"/>
    <n v="1633"/>
    <m/>
    <m/>
    <x v="6"/>
    <m/>
    <x v="11"/>
  </r>
  <r>
    <s v="Heron Groep B.V."/>
    <n v="8205.380000000001"/>
    <d v="2025-01-15T00:00:00"/>
    <n v="498"/>
    <m/>
    <m/>
    <x v="4"/>
    <m/>
    <x v="7"/>
  </r>
  <r>
    <s v="Auroria Pecunia B.V."/>
    <n v="7979.95"/>
    <d v="2023-11-07T00:00:00"/>
    <n v="933"/>
    <m/>
    <m/>
    <x v="1"/>
    <m/>
    <x v="5"/>
  </r>
  <r>
    <s v="M.P. Polderdijk Holding B.V."/>
    <n v="6322.25"/>
    <d v="2019-01-02T00:00:00"/>
    <n v="2703"/>
    <m/>
    <m/>
    <x v="4"/>
    <m/>
    <x v="9"/>
  </r>
  <r>
    <s v="Interlex"/>
    <n v="5915.51"/>
    <d v="2020-01-16T00:00:00"/>
    <n v="2324"/>
    <m/>
    <m/>
    <x v="5"/>
    <m/>
    <x v="3"/>
  </r>
  <r>
    <s v="Levels Diagnostics B.V."/>
    <n v="5747.5"/>
    <d v="2026-04-13T00:00:00"/>
    <n v="45"/>
    <m/>
    <m/>
    <x v="5"/>
    <m/>
    <x v="5"/>
  </r>
  <r>
    <s v="Coöperatieve Vijftientien U.A."/>
    <n v="4962.01"/>
    <d v="2025-05-12T00:00:00"/>
    <n v="381"/>
    <m/>
    <m/>
    <x v="5"/>
    <m/>
    <x v="3"/>
  </r>
  <r>
    <s v="Deelman Timmerwerken B.V."/>
    <n v="4900.5"/>
    <d v="2025-05-05T00:00:00"/>
    <n v="388"/>
    <m/>
    <m/>
    <x v="1"/>
    <m/>
    <x v="5"/>
  </r>
  <r>
    <s v="AirFlow Luchtkanalen B.V."/>
    <n v="4779.88"/>
    <d v="2024-03-04T00:00:00"/>
    <n v="815"/>
    <m/>
    <m/>
    <x v="1"/>
    <m/>
    <x v="5"/>
  </r>
  <r>
    <s v="Meydanim Den Haag B.V."/>
    <n v="4737.58"/>
    <d v="2019-11-05T00:00:00"/>
    <n v="2396"/>
    <m/>
    <m/>
    <x v="4"/>
    <m/>
    <x v="8"/>
  </r>
  <r>
    <s v="Ray Consultancy B.V."/>
    <n v="4640.37"/>
    <d v="2019-08-02T00:00:00"/>
    <n v="2491"/>
    <m/>
    <m/>
    <x v="2"/>
    <m/>
    <x v="8"/>
  </r>
  <r>
    <s v="Stichting Zwitserse Kamer van Koophandel in Nederland"/>
    <n v="4537.5"/>
    <d v="2022-11-21T00:00:00"/>
    <n v="1284"/>
    <m/>
    <m/>
    <x v="6"/>
    <m/>
    <x v="3"/>
  </r>
  <r>
    <s v="RMA Loodgieter"/>
    <n v="3682.6400000000003"/>
    <d v="2024-07-08T00:00:00"/>
    <n v="689"/>
    <m/>
    <m/>
    <x v="1"/>
    <m/>
    <x v="8"/>
  </r>
  <r>
    <s v="A.J.F. Jansen B.V."/>
    <n v="3646.64"/>
    <d v="2025-02-24T00:00:00"/>
    <n v="458"/>
    <m/>
    <m/>
    <x v="4"/>
    <m/>
    <x v="5"/>
  </r>
  <r>
    <s v="Respublica B.V."/>
    <n v="3584.63"/>
    <d v="2025-10-27T00:00:00"/>
    <n v="213"/>
    <m/>
    <m/>
    <x v="5"/>
    <m/>
    <x v="12"/>
  </r>
  <r>
    <s v="RJD Infra"/>
    <n v="3575.5499999999997"/>
    <d v="2023-05-02T00:00:00"/>
    <n v="1122"/>
    <m/>
    <m/>
    <x v="7"/>
    <m/>
    <x v="8"/>
  </r>
  <r>
    <s v="Moussaten Infra"/>
    <n v="3521.0999999999976"/>
    <d v="2019-08-01T00:00:00"/>
    <n v="2492"/>
    <m/>
    <m/>
    <x v="4"/>
    <m/>
    <x v="3"/>
  </r>
  <r>
    <s v="Plaats22"/>
    <n v="3444.77"/>
    <d v="2026-04-21T00:00:00"/>
    <n v="37"/>
    <m/>
    <m/>
    <x v="1"/>
    <m/>
    <x v="3"/>
  </r>
  <r>
    <s v="Rob Hotting Art &amp; Concept"/>
    <n v="3251.27"/>
    <d v="2023-05-02T00:00:00"/>
    <n v="1122"/>
    <m/>
    <m/>
    <x v="1"/>
    <m/>
    <x v="3"/>
  </r>
  <r>
    <s v="MBE Invest B.V."/>
    <n v="3194.4000000000005"/>
    <d v="2025-12-02T00:00:00"/>
    <n v="177"/>
    <m/>
    <m/>
    <x v="1"/>
    <m/>
    <x v="3"/>
  </r>
  <r>
    <s v="Yepmedia B.V."/>
    <n v="3156.59"/>
    <d v="2024-11-04T00:00:00"/>
    <n v="570"/>
    <m/>
    <m/>
    <x v="1"/>
    <m/>
    <x v="3"/>
  </r>
  <r>
    <s v="Grefet Limited"/>
    <n v="3138.43"/>
    <d v="2024-04-29T00:00:00"/>
    <n v="759"/>
    <m/>
    <m/>
    <x v="6"/>
    <m/>
    <x v="3"/>
  </r>
  <r>
    <s v="By Lauyaju"/>
    <n v="3064.93"/>
    <d v="2018-11-01T00:00:00"/>
    <n v="2765"/>
    <m/>
    <m/>
    <x v="4"/>
    <m/>
    <x v="8"/>
  </r>
  <r>
    <s v="Z &amp; S Sales and Marketing B.V."/>
    <n v="2571.33"/>
    <d v="2017-08-01T00:00:00"/>
    <n v="3222"/>
    <m/>
    <m/>
    <x v="8"/>
    <m/>
    <x v="8"/>
  </r>
  <r>
    <s v="B. Jeddi"/>
    <n v="2518.5200000000004"/>
    <d v="2023-08-15T00:00:00"/>
    <n v="1017"/>
    <m/>
    <m/>
    <x v="8"/>
    <m/>
    <x v="8"/>
  </r>
  <r>
    <s v="Korswill NL"/>
    <n v="2450.25"/>
    <d v="2025-08-04T00:00:00"/>
    <n v="297"/>
    <m/>
    <m/>
    <x v="1"/>
    <m/>
    <x v="3"/>
  </r>
  <r>
    <s v="M.P. Harten"/>
    <n v="2402.94"/>
    <d v="2025-03-10T00:00:00"/>
    <n v="444"/>
    <m/>
    <m/>
    <x v="5"/>
    <m/>
    <x v="3"/>
  </r>
  <r>
    <s v="Mavi infra"/>
    <n v="2263.9099999999989"/>
    <d v="2019-06-05T00:00:00"/>
    <n v="2549"/>
    <m/>
    <m/>
    <x v="4"/>
    <m/>
    <x v="8"/>
  </r>
  <r>
    <s v="Deelman Holding B.V."/>
    <n v="3935.5299999999997"/>
    <d v="2025-05-05T00:00:00"/>
    <n v="388"/>
    <m/>
    <m/>
    <x v="1"/>
    <m/>
    <x v="3"/>
  </r>
  <r>
    <s v="Eye Tech International B.V."/>
    <n v="2128.11"/>
    <d v="2018-12-06T00:00:00"/>
    <n v="2730"/>
    <m/>
    <m/>
    <x v="8"/>
    <m/>
    <x v="8"/>
  </r>
  <r>
    <s v="M.O. Multiservice"/>
    <n v="2078.4299999999998"/>
    <d v="2019-11-05T00:00:00"/>
    <n v="2396"/>
    <m/>
    <m/>
    <x v="4"/>
    <m/>
    <x v="12"/>
  </r>
  <r>
    <s v="Van Bergen 1795 B.V."/>
    <n v="1969.88"/>
    <d v="2026-01-08T00:00:00"/>
    <n v="140"/>
    <m/>
    <m/>
    <x v="5"/>
    <m/>
    <x v="3"/>
  </r>
  <r>
    <s v="Rick Sandee Riooltechniek"/>
    <n v="1887.6"/>
    <d v="2025-03-10T00:00:00"/>
    <n v="444"/>
    <m/>
    <m/>
    <x v="1"/>
    <m/>
    <x v="3"/>
  </r>
  <r>
    <s v="Stichting Antarctica Foundation"/>
    <n v="1815"/>
    <d v="2023-05-01T00:00:00"/>
    <n v="1123"/>
    <m/>
    <m/>
    <x v="5"/>
    <m/>
    <x v="3"/>
  </r>
  <r>
    <s v="Kraskino Consultants Ltd."/>
    <n v="1725.26"/>
    <d v="2022-08-23T00:00:00"/>
    <n v="1374"/>
    <m/>
    <m/>
    <x v="4"/>
    <m/>
    <x v="3"/>
  </r>
  <r>
    <s v="DreamersInc"/>
    <n v="1724.25"/>
    <d v="2025-05-02T00:00:00"/>
    <n v="391"/>
    <m/>
    <m/>
    <x v="5"/>
    <m/>
    <x v="3"/>
  </r>
  <r>
    <s v="Year 2024"/>
    <n v="1627.45"/>
    <d v="2024-12-02T00:00:00"/>
    <n v="542"/>
    <m/>
    <m/>
    <x v="1"/>
    <m/>
    <x v="8"/>
  </r>
  <r>
    <s v="Hooimani El M'Barki Real Estate B.V."/>
    <n v="1615.35"/>
    <d v="2025-11-05T00:00:00"/>
    <n v="204"/>
    <m/>
    <m/>
    <x v="1"/>
    <m/>
    <x v="3"/>
  </r>
  <r>
    <s v="FTOU B.V."/>
    <n v="1599.01"/>
    <d v="2020-10-06T00:00:00"/>
    <n v="2060"/>
    <m/>
    <m/>
    <x v="4"/>
    <m/>
    <x v="8"/>
  </r>
  <r>
    <s v="Zorlu Infra"/>
    <n v="1544.4299999999998"/>
    <d v="2020-02-04T00:00:00"/>
    <n v="2305"/>
    <m/>
    <m/>
    <x v="4"/>
    <m/>
    <x v="8"/>
  </r>
  <r>
    <s v="Willems WorkShop"/>
    <n v="1474.71"/>
    <d v="2018-05-01T00:00:00"/>
    <n v="2949"/>
    <m/>
    <m/>
    <x v="8"/>
    <m/>
    <x v="3"/>
  </r>
  <r>
    <s v="Rijks Invest B.V."/>
    <n v="1452"/>
    <d v="2023-04-17T00:00:00"/>
    <n v="1137"/>
    <m/>
    <m/>
    <x v="5"/>
    <m/>
    <x v="8"/>
  </r>
  <r>
    <s v="Lelie Engineering"/>
    <n v="1403.6"/>
    <d v="2026-01-08T00:00:00"/>
    <n v="140"/>
    <m/>
    <m/>
    <x v="1"/>
    <m/>
    <x v="3"/>
  </r>
  <r>
    <s v="Bense Bouw B.V."/>
    <n v="1276.8699999999999"/>
    <d v="2019-12-31T00:00:00"/>
    <n v="2340"/>
    <m/>
    <m/>
    <x v="4"/>
    <m/>
    <x v="3"/>
  </r>
  <r>
    <s v="Manfred Spaargaren Confiserie"/>
    <n v="1210"/>
    <d v="2017-11-03T00:00:00"/>
    <n v="3128"/>
    <m/>
    <m/>
    <x v="8"/>
    <m/>
    <x v="3"/>
  </r>
  <r>
    <s v="Happy B.V."/>
    <n v="1210"/>
    <d v="2025-03-10T00:00:00"/>
    <n v="444"/>
    <m/>
    <m/>
    <x v="6"/>
    <m/>
    <x v="3"/>
  </r>
  <r>
    <s v="Van Gils Onroerend Goed B.V."/>
    <n v="1151.9199999999998"/>
    <d v="2026-01-08T00:00:00"/>
    <n v="140"/>
    <m/>
    <m/>
    <x v="4"/>
    <m/>
    <x v="3"/>
  </r>
  <r>
    <s v="Stichting Werken Op Maat."/>
    <n v="1084.1600000000001"/>
    <d v="2026-01-09T00:00:00"/>
    <n v="139"/>
    <m/>
    <m/>
    <x v="6"/>
    <m/>
    <x v="3"/>
  </r>
  <r>
    <s v="Zentrex Capital B.V."/>
    <n v="1070.8499999999999"/>
    <d v="2026-02-02T00:00:00"/>
    <n v="115"/>
    <m/>
    <m/>
    <x v="5"/>
    <m/>
    <x v="3"/>
  </r>
  <r>
    <s v="Meat &amp; Chicken Forepark B.V."/>
    <n v="1017.91"/>
    <d v="2020-04-30T00:00:00"/>
    <n v="2219"/>
    <m/>
    <m/>
    <x v="5"/>
    <m/>
    <x v="8"/>
  </r>
  <r>
    <s v="VOF T.H. Thio en T.H. Thio-Ong"/>
    <n v="998.25"/>
    <d v="2026-03-13T00:00:00"/>
    <n v="76"/>
    <m/>
    <m/>
    <x v="4"/>
    <m/>
    <x v="3"/>
  </r>
  <r>
    <s v="FCKLCK.STUDIO B.V."/>
    <n v="907.5"/>
    <d v="2026-01-08T00:00:00"/>
    <n v="140"/>
    <m/>
    <m/>
    <x v="1"/>
    <m/>
    <x v="3"/>
  </r>
  <r>
    <s v="Hashtag Holding B.V."/>
    <n v="895.40000000000009"/>
    <d v="2019-12-19T00:00:00"/>
    <n v="2352"/>
    <m/>
    <m/>
    <x v="6"/>
    <m/>
    <x v="3"/>
  </r>
  <r>
    <s v="Payslip Ltd."/>
    <n v="848.52"/>
    <d v="2021-02-22T00:00:00"/>
    <n v="1921"/>
    <m/>
    <m/>
    <x v="5"/>
    <m/>
    <x v="3"/>
  </r>
  <r>
    <s v="TelePlusGSM Retail B.V."/>
    <n v="830.06"/>
    <d v="2020-04-28T00:00:00"/>
    <n v="2221"/>
    <m/>
    <m/>
    <x v="4"/>
    <m/>
    <x v="8"/>
  </r>
  <r>
    <s v="Zengin Oglanlar Holding B.V."/>
    <n v="757.6"/>
    <d v="2020-02-04T00:00:00"/>
    <n v="2305"/>
    <m/>
    <m/>
    <x v="4"/>
    <m/>
    <x v="8"/>
  </r>
  <r>
    <s v="Bladi shop"/>
    <n v="756.25"/>
    <d v="2023-06-05T00:00:00"/>
    <n v="1088"/>
    <m/>
    <m/>
    <x v="4"/>
    <m/>
    <x v="8"/>
  </r>
  <r>
    <s v="Gaoui Beheer B.V."/>
    <n v="726"/>
    <d v="2020-10-05T00:00:00"/>
    <n v="2061"/>
    <m/>
    <m/>
    <x v="4"/>
    <m/>
    <x v="8"/>
  </r>
  <r>
    <s v="Van Gils Holding B.V."/>
    <n v="715.11"/>
    <d v="2026-04-06T00:00:00"/>
    <n v="52"/>
    <m/>
    <m/>
    <x v="4"/>
    <m/>
    <x v="3"/>
  </r>
  <r>
    <s v="Korput Consultancy B.V."/>
    <n v="574.75"/>
    <d v="2026-04-06T00:00:00"/>
    <n v="52"/>
    <m/>
    <m/>
    <x v="1"/>
    <m/>
    <x v="3"/>
  </r>
  <r>
    <s v="Patrick van Gils Beheer B.V."/>
    <n v="563.86"/>
    <d v="2026-04-06T00:00:00"/>
    <n v="52"/>
    <m/>
    <m/>
    <x v="4"/>
    <m/>
    <x v="3"/>
  </r>
  <r>
    <s v="Vindure B.V."/>
    <n v="0"/>
    <d v="2026-04-07T00:00:00"/>
    <n v="51"/>
    <m/>
    <m/>
    <x v="6"/>
    <m/>
    <x v="3"/>
  </r>
  <r>
    <s v="Paragon 28 Medical Devices Trading Limited"/>
    <n v="527"/>
    <d v="2022-01-12T00:00:00"/>
    <n v="1597"/>
    <m/>
    <m/>
    <x v="6"/>
    <m/>
    <x v="3"/>
  </r>
  <r>
    <s v="Kipcentrum Forepark B.V."/>
    <n v="517.28"/>
    <d v="2022-10-06T00:00:00"/>
    <n v="1330"/>
    <m/>
    <m/>
    <x v="5"/>
    <m/>
    <x v="3"/>
  </r>
  <r>
    <s v="Tradeplus24 Nederland B.V."/>
    <n v="484"/>
    <d v="2026-02-09T00:00:00"/>
    <n v="108"/>
    <m/>
    <m/>
    <x v="5"/>
    <m/>
    <x v="3"/>
  </r>
  <r>
    <s v="Einhaus Holding B.V."/>
    <n v="484"/>
    <d v="2025-10-06T00:00:00"/>
    <n v="234"/>
    <m/>
    <m/>
    <x v="1"/>
    <m/>
    <x v="3"/>
  </r>
  <r>
    <s v="NL Working Capital B.V."/>
    <n v="484"/>
    <d v="2026-02-09T00:00:00"/>
    <n v="108"/>
    <m/>
    <m/>
    <x v="5"/>
    <m/>
    <x v="3"/>
  </r>
  <r>
    <s v="Valet Parkeer Service"/>
    <n v="453.75"/>
    <d v="2023-03-27T00:00:00"/>
    <n v="1158"/>
    <m/>
    <m/>
    <x v="6"/>
    <m/>
    <x v="8"/>
  </r>
  <r>
    <s v="Looqa B.V."/>
    <n v="445.65"/>
    <d v="2025-12-02T00:00:00"/>
    <n v="177"/>
    <m/>
    <m/>
    <x v="1"/>
    <m/>
    <x v="3"/>
  </r>
  <r>
    <s v="Knowdis B.V."/>
    <n v="415.94"/>
    <d v="2026-01-08T00:00:00"/>
    <n v="140"/>
    <m/>
    <m/>
    <x v="1"/>
    <m/>
    <x v="3"/>
  </r>
  <r>
    <s v="Bats"/>
    <n v="363"/>
    <d v="2025-02-03T00:00:00"/>
    <n v="479"/>
    <m/>
    <m/>
    <x v="1"/>
    <m/>
    <x v="3"/>
  </r>
  <r>
    <s v="New Learning Factory B.V."/>
    <n v="363"/>
    <d v="2025-10-06T00:00:00"/>
    <n v="234"/>
    <m/>
    <m/>
    <x v="1"/>
    <m/>
    <x v="3"/>
  </r>
  <r>
    <s v="NEVE Trans B.V."/>
    <n v="361.77"/>
    <d v="2025-10-21T00:00:00"/>
    <n v="219"/>
    <m/>
    <m/>
    <x v="9"/>
    <m/>
    <x v="3"/>
  </r>
  <r>
    <s v="Morpho Holding B.V."/>
    <n v="356.95"/>
    <d v="2026-04-06T00:00:00"/>
    <n v="52"/>
    <m/>
    <m/>
    <x v="6"/>
    <m/>
    <x v="3"/>
  </r>
  <r>
    <s v="Morpho AGRI I B.V."/>
    <n v="356.95"/>
    <d v="2026-04-06T00:00:00"/>
    <n v="52"/>
    <m/>
    <m/>
    <x v="6"/>
    <m/>
    <x v="3"/>
  </r>
  <r>
    <s v="Deel 2"/>
    <n v="338.8"/>
    <d v="2019-02-06T00:00:00"/>
    <n v="2668"/>
    <m/>
    <m/>
    <x v="8"/>
    <m/>
    <x v="8"/>
  </r>
  <r>
    <s v="FYMH B.V."/>
    <n v="319.44"/>
    <d v="2026-01-22T00:00:00"/>
    <n v="126"/>
    <m/>
    <m/>
    <x v="8"/>
    <m/>
    <x v="3"/>
  </r>
  <r>
    <s v="Intelligence Group B.V."/>
    <n v="302.5"/>
    <d v="2026-04-06T00:00:00"/>
    <n v="52"/>
    <m/>
    <m/>
    <x v="1"/>
    <m/>
    <x v="3"/>
  </r>
  <r>
    <s v="Zapateros B.V."/>
    <n v="272.25"/>
    <d v="2026-05-07T00:00:00"/>
    <n v="21"/>
    <m/>
    <m/>
    <x v="6"/>
    <m/>
    <x v="3"/>
  </r>
  <r>
    <s v="C. Gray"/>
    <n v="261.66000000000003"/>
    <d v="2022-06-09T00:00:00"/>
    <n v="1449"/>
    <m/>
    <m/>
    <x v="8"/>
    <m/>
    <x v="3"/>
  </r>
  <r>
    <s v="L. van Schaik Holding B.V."/>
    <n v="249.56"/>
    <d v="2024-08-07T00:00:00"/>
    <n v="659"/>
    <m/>
    <m/>
    <x v="1"/>
    <m/>
    <x v="3"/>
  </r>
  <r>
    <s v="Werken op Maat B.V."/>
    <n v="242"/>
    <d v="2025-01-15T00:00:00"/>
    <n v="498"/>
    <m/>
    <m/>
    <x v="4"/>
    <m/>
    <x v="3"/>
  </r>
  <r>
    <s v="Work Secure Uitzendbureau"/>
    <n v="181.5"/>
    <d v="2020-04-01T00:00:00"/>
    <n v="2248"/>
    <m/>
    <m/>
    <x v="2"/>
    <m/>
    <x v="8"/>
  </r>
  <r>
    <s v="Ultramar Agency LTD"/>
    <n v="181.5"/>
    <d v="2026-04-06T00:00:00"/>
    <n v="52"/>
    <m/>
    <m/>
    <x v="6"/>
    <m/>
    <x v="3"/>
  </r>
  <r>
    <s v="Einhaus Beheer B.V."/>
    <n v="121"/>
    <d v="2026-01-08T00:00:00"/>
    <n v="140"/>
    <m/>
    <m/>
    <x v="1"/>
    <m/>
    <x v="3"/>
  </r>
  <r>
    <s v="Rwsolarclean"/>
    <n v="114"/>
    <d v="2022-04-07T00:00:00"/>
    <n v="1512"/>
    <m/>
    <m/>
    <x v="5"/>
    <m/>
    <x v="3"/>
  </r>
  <r>
    <s v="Van Schaik Vleesverwerking"/>
    <n v="75.63"/>
    <d v="2024-08-07T00:00:00"/>
    <n v="659"/>
    <m/>
    <m/>
    <x v="5"/>
    <m/>
    <x v="3"/>
  </r>
  <r>
    <s v="Vereniging Young Professionals van de Stichting Studeren &amp; Werken op Maat"/>
    <n v="42.35"/>
    <d v="2026-04-06T00:00:00"/>
    <n v="52"/>
    <m/>
    <m/>
    <x v="4"/>
    <m/>
    <x v="3"/>
  </r>
  <r>
    <s v="Stöcklin B.V."/>
    <n v="0.26"/>
    <d v="2025-03-20T00:00:00"/>
    <n v="434"/>
    <m/>
    <m/>
    <x v="1"/>
    <m/>
    <x v="3"/>
  </r>
  <r>
    <s v="Kumkol Restructuring B.V."/>
    <n v="0"/>
    <d v="2024-10-07T00:00:00"/>
    <n v="598"/>
    <m/>
    <m/>
    <x v="6"/>
    <m/>
    <x v="3"/>
  </r>
  <r>
    <s v="Limits-Consulting B.V."/>
    <n v="0"/>
    <d v="2026-01-29T00:00:00"/>
    <n v="119"/>
    <m/>
    <m/>
    <x v="6"/>
    <m/>
    <x v="3"/>
  </r>
  <r>
    <s v="Elm Finance B.V."/>
    <n v="0"/>
    <d v="2024-07-15T00:00:00"/>
    <n v="682"/>
    <m/>
    <m/>
    <x v="5"/>
    <m/>
    <x v="3"/>
  </r>
  <r>
    <s v="H. van der  Waal"/>
    <n v="0"/>
    <d v="2024-12-31T00:00:00"/>
    <n v="513"/>
    <m/>
    <m/>
    <x v="8"/>
    <m/>
    <x v="3"/>
  </r>
  <r>
    <s v="Fair Audit"/>
    <n v="0"/>
    <d v="2026-02-19T00:00:00"/>
    <n v="98"/>
    <m/>
    <m/>
    <x v="6"/>
    <m/>
    <x v="3"/>
  </r>
  <r>
    <s v="Troodos Services International B.V."/>
    <n v="0"/>
    <d v="2024-10-07T00:00:00"/>
    <n v="598"/>
    <m/>
    <m/>
    <x v="6"/>
    <m/>
    <x v="3"/>
  </r>
  <r>
    <s v="Sollors &amp; Co. (GmbH) &amp; Co. KG)"/>
    <n v="0"/>
    <d v="2026-03-23T00:00:00"/>
    <n v="66"/>
    <m/>
    <m/>
    <x v="5"/>
    <m/>
    <x v="3"/>
  </r>
  <r>
    <s v="STUUR!"/>
    <n v="-847"/>
    <d v="2026-02-10T00:00:00"/>
    <n v="107"/>
    <m/>
    <m/>
    <x v="5"/>
    <m/>
    <x v="3"/>
  </r>
  <r>
    <s v="Coffeeshop Dizzy Duck B.V."/>
    <n v="-1028.5"/>
    <d v="2024-01-04T00:00:00"/>
    <n v="875"/>
    <m/>
    <m/>
    <x v="5"/>
    <m/>
    <x v="3"/>
  </r>
  <r>
    <s v="Du Cap"/>
    <n v="-4250"/>
    <d v="2024-12-31T00:00:00"/>
    <n v="513"/>
    <m/>
    <m/>
    <x v="8"/>
    <m/>
    <x v="8"/>
  </r>
  <r>
    <s v="Stichting Micu Zuidwest Nederland"/>
    <n v="-36905"/>
    <d v="2025-06-30T00:00:00"/>
    <n v="332"/>
    <m/>
    <m/>
    <x v="10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9845B-B6E7-4DD9-8D36-EE07486F8089}" name="PivotTable1" cacheId="8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A1:I1192" firstHeaderRow="1" firstDataRow="2" firstDataCol="4"/>
  <pivotFields count="19"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21">
        <item x="20"/>
        <item x="72"/>
        <item x="36"/>
        <item x="95"/>
        <item x="80"/>
        <item x="105"/>
        <item x="4"/>
        <item x="32"/>
        <item x="50"/>
        <item x="44"/>
        <item x="23"/>
        <item x="30"/>
        <item x="107"/>
        <item x="78"/>
        <item x="84"/>
        <item x="37"/>
        <item x="82"/>
        <item x="81"/>
        <item x="106"/>
        <item x="51"/>
        <item x="79"/>
        <item x="26"/>
        <item x="25"/>
        <item x="67"/>
        <item x="60"/>
        <item x="33"/>
        <item x="112"/>
        <item x="71"/>
        <item x="52"/>
        <item x="42"/>
        <item x="22"/>
        <item x="114"/>
        <item x="113"/>
        <item x="116"/>
        <item x="74"/>
        <item x="15"/>
        <item x="94"/>
        <item x="96"/>
        <item x="91"/>
        <item x="39"/>
        <item x="2"/>
        <item x="93"/>
        <item x="28"/>
        <item x="19"/>
        <item x="100"/>
        <item x="9"/>
        <item x="70"/>
        <item x="110"/>
        <item x="75"/>
        <item x="66"/>
        <item x="89"/>
        <item x="111"/>
        <item x="12"/>
        <item x="68"/>
        <item x="21"/>
        <item x="43"/>
        <item x="35"/>
        <item x="45"/>
        <item x="24"/>
        <item x="88"/>
        <item x="92"/>
        <item x="59"/>
        <item x="98"/>
        <item x="97"/>
        <item x="41"/>
        <item x="8"/>
        <item x="27"/>
        <item x="65"/>
        <item x="49"/>
        <item x="7"/>
        <item x="48"/>
        <item x="3"/>
        <item x="108"/>
        <item x="38"/>
        <item x="54"/>
        <item x="73"/>
        <item x="31"/>
        <item x="83"/>
        <item x="109"/>
        <item x="46"/>
        <item x="104"/>
        <item x="55"/>
        <item x="16"/>
        <item x="57"/>
        <item m="1" x="118"/>
        <item x="99"/>
        <item x="63"/>
        <item x="10"/>
        <item x="11"/>
        <item x="115"/>
        <item x="85"/>
        <item x="103"/>
        <item x="34"/>
        <item x="29"/>
        <item x="64"/>
        <item x="69"/>
        <item x="76"/>
        <item x="61"/>
        <item x="86"/>
        <item x="6"/>
        <item x="5"/>
        <item x="1"/>
        <item x="0"/>
        <item m="1" x="117"/>
        <item x="101"/>
        <item x="13"/>
        <item x="90"/>
        <item m="1" x="119"/>
        <item x="62"/>
        <item x="77"/>
        <item x="18"/>
        <item x="47"/>
        <item x="102"/>
        <item x="56"/>
        <item x="53"/>
        <item x="17"/>
        <item x="58"/>
        <item x="87"/>
        <item x="40"/>
        <item x="14"/>
        <item t="default"/>
      </items>
    </pivotField>
    <pivotField compact="0" outline="0" showAll="0" includeNewItemsInFilter="1"/>
    <pivotField compact="0" numFmtId="14" outline="0" showAll="0" includeNewItemsInFilter="1"/>
    <pivotField axis="axisRow" compact="0" numFmtId="14" outline="0" showAll="0" includeNewItemsInFilter="1" defaultSubtotal="0">
      <items count="393">
        <item x="310"/>
        <item x="311"/>
        <item x="312"/>
        <item x="313"/>
        <item x="314"/>
        <item x="315"/>
        <item x="316"/>
        <item x="317"/>
        <item x="318"/>
        <item x="319"/>
        <item x="321"/>
        <item x="320"/>
        <item x="303"/>
        <item x="210"/>
        <item x="304"/>
        <item x="284"/>
        <item x="285"/>
        <item x="299"/>
        <item x="211"/>
        <item x="286"/>
        <item x="287"/>
        <item x="288"/>
        <item x="289"/>
        <item x="290"/>
        <item x="227"/>
        <item x="228"/>
        <item x="291"/>
        <item x="305"/>
        <item x="229"/>
        <item x="292"/>
        <item x="328"/>
        <item x="230"/>
        <item x="2"/>
        <item x="231"/>
        <item x="293"/>
        <item x="3"/>
        <item x="294"/>
        <item x="232"/>
        <item x="233"/>
        <item x="4"/>
        <item x="213"/>
        <item x="5"/>
        <item x="208"/>
        <item x="6"/>
        <item x="7"/>
        <item x="307"/>
        <item x="234"/>
        <item x="235"/>
        <item x="8"/>
        <item x="236"/>
        <item x="308"/>
        <item x="295"/>
        <item x="9"/>
        <item x="237"/>
        <item x="238"/>
        <item x="10"/>
        <item x="239"/>
        <item x="300"/>
        <item x="301"/>
        <item x="240"/>
        <item x="331"/>
        <item x="356"/>
        <item x="11"/>
        <item x="12"/>
        <item x="241"/>
        <item x="13"/>
        <item x="242"/>
        <item x="14"/>
        <item x="243"/>
        <item x="15"/>
        <item x="244"/>
        <item x="16"/>
        <item x="216"/>
        <item x="217"/>
        <item x="17"/>
        <item x="218"/>
        <item x="18"/>
        <item x="219"/>
        <item x="306"/>
        <item x="19"/>
        <item x="20"/>
        <item x="220"/>
        <item x="21"/>
        <item x="221"/>
        <item x="222"/>
        <item x="22"/>
        <item x="323"/>
        <item x="214"/>
        <item x="23"/>
        <item x="215"/>
        <item x="309"/>
        <item x="24"/>
        <item x="25"/>
        <item x="26"/>
        <item x="327"/>
        <item x="365"/>
        <item x="27"/>
        <item x="366"/>
        <item x="28"/>
        <item x="367"/>
        <item x="29"/>
        <item x="368"/>
        <item x="30"/>
        <item x="31"/>
        <item x="369"/>
        <item x="32"/>
        <item x="370"/>
        <item x="33"/>
        <item x="392"/>
        <item x="371"/>
        <item x="34"/>
        <item x="372"/>
        <item x="35"/>
        <item x="373"/>
        <item x="36"/>
        <item x="374"/>
        <item x="37"/>
        <item x="375"/>
        <item x="38"/>
        <item x="376"/>
        <item x="39"/>
        <item x="364"/>
        <item x="40"/>
        <item x="302"/>
        <item x="377"/>
        <item x="41"/>
        <item x="378"/>
        <item x="42"/>
        <item x="209"/>
        <item x="201"/>
        <item x="43"/>
        <item x="379"/>
        <item x="0"/>
        <item x="44"/>
        <item x="357"/>
        <item x="349"/>
        <item x="380"/>
        <item x="45"/>
        <item x="46"/>
        <item x="381"/>
        <item x="47"/>
        <item x="391"/>
        <item x="48"/>
        <item x="248"/>
        <item x="247"/>
        <item x="49"/>
        <item x="99"/>
        <item x="249"/>
        <item x="382"/>
        <item x="50"/>
        <item x="350"/>
        <item x="250"/>
        <item x="51"/>
        <item x="383"/>
        <item x="251"/>
        <item x="333"/>
        <item x="351"/>
        <item x="52"/>
        <item x="53"/>
        <item x="252"/>
        <item x="341"/>
        <item x="360"/>
        <item x="54"/>
        <item x="223"/>
        <item x="1"/>
        <item x="55"/>
        <item x="224"/>
        <item x="56"/>
        <item x="225"/>
        <item x="226"/>
        <item x="57"/>
        <item x="298"/>
        <item x="253"/>
        <item x="384"/>
        <item x="58"/>
        <item x="254"/>
        <item x="59"/>
        <item x="255"/>
        <item x="60"/>
        <item x="256"/>
        <item x="61"/>
        <item x="257"/>
        <item x="62"/>
        <item x="63"/>
        <item x="258"/>
        <item x="64"/>
        <item x="339"/>
        <item x="338"/>
        <item x="259"/>
        <item x="352"/>
        <item x="65"/>
        <item x="66"/>
        <item x="260"/>
        <item x="385"/>
        <item x="67"/>
        <item x="322"/>
        <item x="261"/>
        <item x="68"/>
        <item x="389"/>
        <item x="69"/>
        <item x="262"/>
        <item x="390"/>
        <item x="70"/>
        <item x="105"/>
        <item x="345"/>
        <item x="353"/>
        <item x="71"/>
        <item x="263"/>
        <item x="106"/>
        <item x="107"/>
        <item x="72"/>
        <item x="108"/>
        <item x="336"/>
        <item x="354"/>
        <item x="264"/>
        <item x="109"/>
        <item x="73"/>
        <item x="361"/>
        <item x="110"/>
        <item x="265"/>
        <item x="111"/>
        <item x="112"/>
        <item x="74"/>
        <item x="113"/>
        <item x="75"/>
        <item x="114"/>
        <item x="340"/>
        <item x="115"/>
        <item x="358"/>
        <item x="266"/>
        <item x="116"/>
        <item x="76"/>
        <item x="117"/>
        <item x="267"/>
        <item x="118"/>
        <item x="119"/>
        <item x="120"/>
        <item x="77"/>
        <item x="121"/>
        <item x="122"/>
        <item x="123"/>
        <item x="268"/>
        <item x="124"/>
        <item x="78"/>
        <item x="125"/>
        <item x="126"/>
        <item x="127"/>
        <item x="128"/>
        <item x="129"/>
        <item x="130"/>
        <item x="131"/>
        <item x="132"/>
        <item x="355"/>
        <item x="133"/>
        <item x="79"/>
        <item x="346"/>
        <item x="269"/>
        <item x="134"/>
        <item x="135"/>
        <item x="197"/>
        <item x="136"/>
        <item x="80"/>
        <item x="137"/>
        <item x="138"/>
        <item x="202"/>
        <item x="139"/>
        <item x="270"/>
        <item x="140"/>
        <item x="81"/>
        <item x="296"/>
        <item x="212"/>
        <item x="82"/>
        <item x="141"/>
        <item x="332"/>
        <item x="142"/>
        <item x="271"/>
        <item x="83"/>
        <item x="343"/>
        <item x="143"/>
        <item x="144"/>
        <item x="84"/>
        <item x="145"/>
        <item x="272"/>
        <item x="146"/>
        <item x="363"/>
        <item x="85"/>
        <item x="147"/>
        <item x="342"/>
        <item x="148"/>
        <item x="273"/>
        <item x="149"/>
        <item x="150"/>
        <item x="86"/>
        <item x="151"/>
        <item x="274"/>
        <item sd="0" x="152"/>
        <item x="153"/>
        <item x="154"/>
        <item x="103"/>
        <item x="334"/>
        <item x="87"/>
        <item x="155"/>
        <item x="275"/>
        <item x="88"/>
        <item x="156"/>
        <item x="157"/>
        <item x="158"/>
        <item x="276"/>
        <item x="89"/>
        <item x="159"/>
        <item x="101"/>
        <item x="160"/>
        <item x="161"/>
        <item x="277"/>
        <item x="162"/>
        <item x="90"/>
        <item x="163"/>
        <item x="164"/>
        <item x="165"/>
        <item x="166"/>
        <item x="278"/>
        <item x="200"/>
        <item x="167"/>
        <item x="168"/>
        <item x="169"/>
        <item x="91"/>
        <item x="170"/>
        <item x="171"/>
        <item x="172"/>
        <item x="279"/>
        <item x="173"/>
        <item x="174"/>
        <item x="175"/>
        <item x="104"/>
        <item x="176"/>
        <item x="92"/>
        <item x="177"/>
        <item x="245"/>
        <item x="178"/>
        <item x="337"/>
        <item x="179"/>
        <item x="207"/>
        <item x="326"/>
        <item x="180"/>
        <item x="93"/>
        <item x="204"/>
        <item x="205"/>
        <item x="94"/>
        <item x="386"/>
        <item x="344"/>
        <item x="280"/>
        <item x="181"/>
        <item x="182"/>
        <item x="183"/>
        <item x="95"/>
        <item x="184"/>
        <item x="362"/>
        <item x="206"/>
        <item x="387"/>
        <item x="281"/>
        <item x="388"/>
        <item x="185"/>
        <item x="186"/>
        <item x="203"/>
        <item x="96"/>
        <item x="330"/>
        <item x="246"/>
        <item x="347"/>
        <item x="329"/>
        <item x="187"/>
        <item x="100"/>
        <item x="102"/>
        <item x="188"/>
        <item x="282"/>
        <item x="198"/>
        <item x="189"/>
        <item x="297"/>
        <item x="190"/>
        <item x="191"/>
        <item x="359"/>
        <item x="97"/>
        <item x="324"/>
        <item x="199"/>
        <item x="192"/>
        <item x="98"/>
        <item x="325"/>
        <item x="193"/>
        <item x="335"/>
        <item x="348"/>
        <item x="194"/>
        <item x="195"/>
        <item x="283"/>
        <item x="196"/>
      </items>
    </pivotField>
    <pivotField axis="axisRow" compact="0" outline="0" showAll="0" includeNewItemsInFilter="1" defaultSubtotal="0">
      <items count="1065">
        <item x="0"/>
        <item x="181"/>
        <item x="998"/>
        <item x="928"/>
        <item x="927"/>
        <item x="429"/>
        <item x="744"/>
        <item x="397"/>
        <item x="899"/>
        <item x="926"/>
        <item x="663"/>
        <item x="735"/>
        <item x="900"/>
        <item x="103"/>
        <item x="182"/>
        <item x="759"/>
        <item x="929"/>
        <item x="183"/>
        <item x="184"/>
        <item x="185"/>
        <item x="808"/>
        <item x="930"/>
        <item x="736"/>
        <item x="745"/>
        <item x="664"/>
        <item x="430"/>
        <item x="901"/>
        <item x="398"/>
        <item x="931"/>
        <item x="809"/>
        <item x="932"/>
        <item x="810"/>
        <item x="902"/>
        <item x="104"/>
        <item x="186"/>
        <item x="709"/>
        <item x="187"/>
        <item x="188"/>
        <item x="935"/>
        <item x="812"/>
        <item x="934"/>
        <item x="431"/>
        <item x="399"/>
        <item x="746"/>
        <item x="903"/>
        <item x="665"/>
        <item x="933"/>
        <item x="730"/>
        <item x="737"/>
        <item x="811"/>
        <item x="904"/>
        <item x="813"/>
        <item x="105"/>
        <item x="190"/>
        <item x="191"/>
        <item x="997"/>
        <item x="120"/>
        <item x="815"/>
        <item x="938"/>
        <item x="747"/>
        <item x="738"/>
        <item x="666"/>
        <item x="937"/>
        <item x="936"/>
        <item x="974"/>
        <item x="814"/>
        <item x="432"/>
        <item x="400"/>
        <item x="905"/>
        <item x="816"/>
        <item x="106"/>
        <item x="906"/>
        <item x="189"/>
        <item x="192"/>
        <item x="818"/>
        <item x="817"/>
        <item x="939"/>
        <item x="748"/>
        <item x="739"/>
        <item x="667"/>
        <item x="975"/>
        <item x="433"/>
        <item x="907"/>
        <item x="401"/>
        <item x="941"/>
        <item x="940"/>
        <item x="819"/>
        <item x="107"/>
        <item x="908"/>
        <item x="195"/>
        <item x="256"/>
        <item x="255"/>
        <item x="196"/>
        <item x="197"/>
        <item x="193"/>
        <item x="198"/>
        <item x="194"/>
        <item x="821"/>
        <item x="944"/>
        <item x="731"/>
        <item x="749"/>
        <item x="740"/>
        <item x="363"/>
        <item x="668"/>
        <item x="943"/>
        <item x="942"/>
        <item x="976"/>
        <item x="820"/>
        <item x="366"/>
        <item x="434"/>
        <item x="402"/>
        <item x="909"/>
        <item x="822"/>
        <item x="108"/>
        <item x="910"/>
        <item x="199"/>
        <item x="200"/>
        <item x="201"/>
        <item x="202"/>
        <item x="203"/>
        <item x="204"/>
        <item x="205"/>
        <item x="206"/>
        <item x="207"/>
        <item x="699"/>
        <item x="208"/>
        <item x="268"/>
        <item x="824"/>
        <item x="947"/>
        <item x="750"/>
        <item x="741"/>
        <item x="669"/>
        <item x="946"/>
        <item x="945"/>
        <item x="965"/>
        <item x="977"/>
        <item x="823"/>
        <item x="435"/>
        <item x="403"/>
        <item x="911"/>
        <item x="825"/>
        <item x="109"/>
        <item x="912"/>
        <item x="209"/>
        <item x="210"/>
        <item x="211"/>
        <item x="212"/>
        <item x="213"/>
        <item x="214"/>
        <item x="216"/>
        <item x="215"/>
        <item x="217"/>
        <item x="218"/>
        <item x="219"/>
        <item x="220"/>
        <item x="221"/>
        <item x="949"/>
        <item x="826"/>
        <item x="436"/>
        <item x="948"/>
        <item x="281"/>
        <item x="751"/>
        <item x="404"/>
        <item x="913"/>
        <item x="966"/>
        <item x="950"/>
        <item x="670"/>
        <item x="978"/>
        <item x="742"/>
        <item x="827"/>
        <item x="770"/>
        <item x="914"/>
        <item x="828"/>
        <item x="110"/>
        <item x="223"/>
        <item x="224"/>
        <item x="222"/>
        <item x="225"/>
        <item x="687"/>
        <item x="688"/>
        <item x="690"/>
        <item x="683"/>
        <item x="684"/>
        <item x="226"/>
        <item x="227"/>
        <item x="1053"/>
        <item x="979"/>
        <item x="732"/>
        <item x="829"/>
        <item x="953"/>
        <item x="752"/>
        <item x="743"/>
        <item x="365"/>
        <item x="364"/>
        <item x="671"/>
        <item x="691"/>
        <item x="952"/>
        <item x="951"/>
        <item x="967"/>
        <item x="368"/>
        <item x="702"/>
        <item x="771"/>
        <item x="367"/>
        <item x="437"/>
        <item x="405"/>
        <item x="761"/>
        <item x="259"/>
        <item x="915"/>
        <item x="916"/>
        <item x="260"/>
        <item x="111"/>
        <item x="273"/>
        <item x="1054"/>
        <item x="274"/>
        <item x="917"/>
        <item x="918"/>
        <item x="112"/>
        <item x="762"/>
        <item x="228"/>
        <item x="229"/>
        <item x="230"/>
        <item x="1038"/>
        <item x="1037"/>
        <item x="1040"/>
        <item x="1039"/>
        <item x="231"/>
        <item x="763"/>
        <item x="767"/>
        <item x="406"/>
        <item x="275"/>
        <item x="438"/>
        <item x="772"/>
        <item x="703"/>
        <item x="980"/>
        <item x="968"/>
        <item x="956"/>
        <item x="955"/>
        <item x="692"/>
        <item x="672"/>
        <item x="954"/>
        <item x="830"/>
        <item x="276"/>
        <item x="113"/>
        <item x="232"/>
        <item x="233"/>
        <item x="680"/>
        <item x="679"/>
        <item x="987"/>
        <item x="277"/>
        <item x="278"/>
        <item x="1042"/>
        <item x="1041"/>
        <item x="1043"/>
        <item x="1044"/>
        <item x="269"/>
        <item x="234"/>
        <item x="235"/>
        <item x="236"/>
        <item m="1" x="1059"/>
        <item m="1" x="1060"/>
        <item x="237"/>
        <item x="764"/>
        <item x="768"/>
        <item x="407"/>
        <item x="439"/>
        <item x="773"/>
        <item x="704"/>
        <item x="981"/>
        <item x="969"/>
        <item x="959"/>
        <item x="958"/>
        <item x="693"/>
        <item x="673"/>
        <item x="957"/>
        <item x="831"/>
        <item x="114"/>
        <item x="832"/>
        <item x="833"/>
        <item x="677"/>
        <item x="678"/>
        <item x="238"/>
        <item x="119"/>
        <item x="239"/>
        <item x="696"/>
        <item x="733"/>
        <item x="257"/>
        <item x="710"/>
        <item x="701"/>
        <item x="834"/>
        <item x="574"/>
        <item x="597"/>
        <item x="636"/>
        <item x="919"/>
        <item x="632"/>
        <item x="637"/>
        <item x="240"/>
        <item x="241"/>
        <item x="242"/>
        <item x="627"/>
        <item x="634"/>
        <item x="633"/>
        <item x="243"/>
        <item x="115"/>
        <item x="598"/>
        <item x="600"/>
        <item x="258"/>
        <item x="270"/>
        <item x="244"/>
        <item x="272"/>
        <item x="765"/>
        <item x="734"/>
        <item x="962"/>
        <item x="920"/>
        <item x="835"/>
        <item x="283"/>
        <item x="408"/>
        <item x="282"/>
        <item x="640"/>
        <item x="961"/>
        <item x="982"/>
        <item x="960"/>
        <item x="674"/>
        <item x="279"/>
        <item x="970"/>
        <item x="774"/>
        <item x="639"/>
        <item x="705"/>
        <item x="265"/>
        <item x="306"/>
        <item x="706"/>
        <item x="263"/>
        <item x="261"/>
        <item x="284"/>
        <item x="769"/>
        <item x="638"/>
        <item x="697"/>
        <item x="971"/>
        <item x="972"/>
        <item x="116"/>
        <item x="262"/>
        <item x="264"/>
        <item x="280"/>
        <item x="641"/>
        <item x="266"/>
        <item x="766"/>
        <item x="601"/>
        <item x="602"/>
        <item m="1" x="1064"/>
        <item x="245"/>
        <item x="440"/>
        <item x="836"/>
        <item x="681"/>
        <item x="964"/>
        <item x="837"/>
        <item x="838"/>
        <item x="839"/>
        <item x="246"/>
        <item x="271"/>
        <item x="247"/>
        <item x="248"/>
        <item x="249"/>
        <item x="1000"/>
        <item m="1" x="1061"/>
        <item x="250"/>
        <item m="1" x="1062"/>
        <item m="1" x="1063"/>
        <item x="409"/>
        <item x="441"/>
        <item x="675"/>
        <item x="698"/>
        <item x="1045"/>
        <item x="1046"/>
        <item x="302"/>
        <item x="1047"/>
        <item x="1048"/>
        <item x="1049"/>
        <item x="1050"/>
        <item x="489"/>
        <item x="576"/>
        <item x="424"/>
        <item x="310"/>
        <item x="463"/>
        <item x="347"/>
        <item x="651"/>
        <item x="532"/>
        <item x="510"/>
        <item x="20"/>
        <item x="490"/>
        <item x="577"/>
        <item x="652"/>
        <item x="642"/>
        <item x="425"/>
        <item x="348"/>
        <item x="533"/>
        <item x="464"/>
        <item x="311"/>
        <item x="21"/>
        <item x="643"/>
        <item x="511"/>
        <item x="349"/>
        <item sd="0" x="491"/>
        <item x="653"/>
        <item x="644"/>
        <item x="426"/>
        <item x="512"/>
        <item x="350"/>
        <item x="534"/>
        <item x="465"/>
        <item x="312"/>
        <item x="22"/>
        <item x="578"/>
        <item x="513"/>
        <item x="645"/>
        <item x="579"/>
        <item x="351"/>
        <item x="590"/>
        <item x="492"/>
        <item x="646"/>
        <item x="654"/>
        <item x="514"/>
        <item x="535"/>
        <item x="352"/>
        <item x="466"/>
        <item x="313"/>
        <item x="23"/>
        <item x="655"/>
        <item x="591"/>
        <item x="580"/>
        <item x="515"/>
        <item x="445"/>
        <item x="353"/>
        <item x="24"/>
        <item x="446"/>
        <item x="447"/>
        <item x="921"/>
        <item x="26"/>
        <item x="25"/>
        <item x="493"/>
        <item x="516"/>
        <item x="536"/>
        <item x="354"/>
        <item x="467"/>
        <item x="314"/>
        <item x="494"/>
        <item x="537"/>
        <item x="517"/>
        <item x="355"/>
        <item x="468"/>
        <item x="315"/>
        <item x="27"/>
        <item x="495"/>
        <item x="356"/>
        <item x="518"/>
        <item x="538"/>
        <item x="469"/>
        <item x="316"/>
        <item x="28"/>
        <item x="29"/>
        <item x="496"/>
        <item x="357"/>
        <item x="519"/>
        <item x="539"/>
        <item x="470"/>
        <item x="317"/>
        <item x="30"/>
        <item x="497"/>
        <item x="520"/>
        <item x="540"/>
        <item x="358"/>
        <item x="471"/>
        <item x="318"/>
        <item x="31"/>
        <item x="327"/>
        <item x="498"/>
        <item x="604"/>
        <item x="521"/>
        <item x="359"/>
        <item x="541"/>
        <item x="472"/>
        <item x="319"/>
        <item x="328"/>
        <item x="32"/>
        <item x="592"/>
        <item x="360"/>
        <item x="499"/>
        <item x="605"/>
        <item x="361"/>
        <item x="522"/>
        <item x="542"/>
        <item x="473"/>
        <item x="320"/>
        <item x="329"/>
        <item x="33"/>
        <item x="330"/>
        <item x="448"/>
        <item x="523"/>
        <item x="593"/>
        <item x="572"/>
        <item x="508"/>
        <item x="321"/>
        <item x="331"/>
        <item x="474"/>
        <item x="606"/>
        <item x="524"/>
        <item x="500"/>
        <item x="543"/>
        <item x="34"/>
        <item x="449"/>
        <item x="362"/>
        <item x="594"/>
        <item x="581"/>
        <item x="525"/>
        <item x="647"/>
        <item x="35"/>
        <item x="501"/>
        <item x="607"/>
        <item x="332"/>
        <item x="322"/>
        <item x="475"/>
        <item x="544"/>
        <item x="526"/>
        <item x="287"/>
        <item x="36"/>
        <item x="608"/>
        <item x="333"/>
        <item x="323"/>
        <item x="545"/>
        <item x="37"/>
        <item x="596"/>
        <item x="324"/>
        <item x="334"/>
        <item x="609"/>
        <item x="325"/>
        <item x="546"/>
        <item x="38"/>
        <item x="595"/>
        <item x="582"/>
        <item x="335"/>
        <item x="450"/>
        <item x="326"/>
        <item x="610"/>
        <item x="547"/>
        <item x="39"/>
        <item x="548"/>
        <item x="40"/>
        <item x="549"/>
        <item x="41"/>
        <item x="611"/>
        <item x="550"/>
        <item x="1001"/>
        <item x="288"/>
        <item x="42"/>
        <item x="1002"/>
        <item x="551"/>
        <item x="43"/>
        <item x="840"/>
        <item x="1003"/>
        <item x="552"/>
        <item x="44"/>
        <item x="553"/>
        <item x="1004"/>
        <item x="289"/>
        <item x="45"/>
        <item x="46"/>
        <item x="554"/>
        <item x="1005"/>
        <item x="47"/>
        <item x="555"/>
        <item x="1006"/>
        <item x="48"/>
        <item x="1058"/>
        <item x="1007"/>
        <item x="556"/>
        <item x="290"/>
        <item x="49"/>
        <item x="599"/>
        <item x="1008"/>
        <item x="50"/>
        <item x="1009"/>
        <item x="51"/>
        <item x="1010"/>
        <item x="300"/>
        <item x="52"/>
        <item x="1011"/>
        <item x="53"/>
        <item x="1012"/>
        <item x="54"/>
        <item x="999"/>
        <item x="55"/>
        <item x="56"/>
        <item x="502"/>
        <item x="476"/>
        <item x="841"/>
        <item x="1013"/>
        <item x="291"/>
        <item x="57"/>
        <item x="1014"/>
        <item x="58"/>
        <item x="301"/>
        <item x="267"/>
        <item x="1015"/>
        <item x="59"/>
        <item x="1016"/>
        <item x="292"/>
        <item x="60"/>
        <item x="922"/>
        <item x="842"/>
        <item x="1017"/>
        <item x="843"/>
        <item x="61"/>
        <item x="62"/>
        <item x="64"/>
        <item x="63"/>
        <item x="1057"/>
        <item x="1018"/>
        <item x="65"/>
        <item x="1019"/>
        <item x="369"/>
        <item x="66"/>
        <item x="293"/>
        <item x="117"/>
        <item x="1020"/>
        <item x="370"/>
        <item x="67"/>
        <item x="844"/>
        <item x="1021"/>
        <item x="371"/>
        <item x="1022"/>
        <item x="68"/>
        <item x="676"/>
        <item x="1023"/>
        <item x="845"/>
        <item x="372"/>
        <item x="1024"/>
        <item x="294"/>
        <item x="69"/>
        <item x="70"/>
        <item x="118"/>
        <item x="758"/>
        <item x="973"/>
        <item x="373"/>
        <item x="1025"/>
        <item x="846"/>
        <item x="614"/>
        <item x="584"/>
        <item x="847"/>
        <item x="71"/>
        <item x="374"/>
        <item x="1026"/>
        <item x="848"/>
        <item x="615"/>
        <item x="336"/>
        <item x="849"/>
        <item x="72"/>
        <item x="337"/>
        <item x="616"/>
        <item x="850"/>
        <item x="375"/>
        <item x="1027"/>
        <item x="73"/>
        <item x="295"/>
        <item x="851"/>
        <item x="338"/>
        <item x="617"/>
        <item x="852"/>
        <item x="376"/>
        <item x="1028"/>
        <item x="74"/>
        <item x="853"/>
        <item x="339"/>
        <item x="442"/>
        <item x="443"/>
        <item x="1029"/>
        <item x="377"/>
        <item x="854"/>
        <item x="618"/>
        <item x="855"/>
        <item x="75"/>
        <item x="1030"/>
        <item x="1031"/>
        <item x="619"/>
        <item x="378"/>
        <item x="856"/>
        <item x="296"/>
        <item x="76"/>
        <item x="857"/>
        <item x="711"/>
        <item x="1032"/>
        <item x="379"/>
        <item x="858"/>
        <item x="77"/>
        <item x="859"/>
        <item x="712"/>
        <item x="1033"/>
        <item x="380"/>
        <item x="860"/>
        <item x="78"/>
        <item x="861"/>
        <item x="862"/>
        <item x="585"/>
        <item x="620"/>
        <item x="713"/>
        <item x="381"/>
        <item x="863"/>
        <item x="297"/>
        <item x="79"/>
        <item x="80"/>
        <item x="714"/>
        <item x="382"/>
        <item x="865"/>
        <item x="586"/>
        <item x="864"/>
        <item x="81"/>
        <item x="694"/>
        <item x="866"/>
        <item x="715"/>
        <item x="587"/>
        <item x="383"/>
        <item x="867"/>
        <item x="82"/>
        <item x="868"/>
        <item x="83"/>
        <item x="588"/>
        <item x="869"/>
        <item x="716"/>
        <item x="621"/>
        <item x="384"/>
        <item x="870"/>
        <item x="298"/>
        <item x="84"/>
        <item x="1034"/>
        <item x="1035"/>
        <item x="85"/>
        <item x="589"/>
        <item x="717"/>
        <item x="622"/>
        <item x="385"/>
        <item x="871"/>
        <item x="86"/>
        <item x="872"/>
        <item x="1056"/>
        <item x="1055"/>
        <item x="718"/>
        <item x="623"/>
        <item x="386"/>
        <item x="873"/>
        <item x="87"/>
        <item x="874"/>
        <item x="775"/>
        <item x="875"/>
        <item x="88"/>
        <item x="121"/>
        <item x="122"/>
        <item x="123"/>
        <item x="776"/>
        <item x="719"/>
        <item x="777"/>
        <item x="988"/>
        <item x="387"/>
        <item x="876"/>
        <item x="89"/>
        <item x="299"/>
        <item x="778"/>
        <item x="779"/>
        <item x="877"/>
        <item x="124"/>
        <item x="125"/>
        <item x="682"/>
        <item x="878"/>
        <item x="126"/>
        <item x="127"/>
        <item x="128"/>
        <item x="781"/>
        <item x="720"/>
        <item x="780"/>
        <item x="989"/>
        <item x="388"/>
        <item x="879"/>
        <item x="782"/>
        <item x="783"/>
        <item x="880"/>
        <item x="90"/>
        <item x="983"/>
        <item x="1036"/>
        <item x="129"/>
        <item x="131"/>
        <item x="130"/>
        <item x="132"/>
        <item x="785"/>
        <item x="721"/>
        <item x="784"/>
        <item x="990"/>
        <item x="389"/>
        <item x="881"/>
        <item x="91"/>
        <item x="787"/>
        <item x="786"/>
        <item x="882"/>
        <item x="133"/>
        <item x="93"/>
        <item x="92"/>
        <item x="134"/>
        <item x="135"/>
        <item x="722"/>
        <item x="136"/>
        <item x="137"/>
        <item x="138"/>
        <item x="685"/>
        <item x="686"/>
        <item x="789"/>
        <item x="723"/>
        <item x="788"/>
        <item x="991"/>
        <item x="624"/>
        <item x="390"/>
        <item x="883"/>
        <item x="94"/>
        <item x="790"/>
        <item x="791"/>
        <item x="884"/>
        <item x="963"/>
        <item x="689"/>
        <item x="140"/>
        <item x="141"/>
        <item x="142"/>
        <item x="143"/>
        <item x="144"/>
        <item x="145"/>
        <item x="793"/>
        <item x="724"/>
        <item x="792"/>
        <item x="992"/>
        <item x="625"/>
        <item x="391"/>
        <item x="885"/>
        <item x="628"/>
        <item x="993"/>
        <item x="95"/>
        <item x="886"/>
        <item x="795"/>
        <item x="794"/>
        <item x="146"/>
        <item x="139"/>
        <item x="147"/>
        <item x="148"/>
        <item x="149"/>
        <item x="150"/>
        <item x="151"/>
        <item x="796"/>
        <item x="725"/>
        <item x="797"/>
        <item x="994"/>
        <item x="626"/>
        <item x="392"/>
        <item x="887"/>
        <item x="984"/>
        <item x="629"/>
        <item x="96"/>
        <item x="798"/>
        <item x="799"/>
        <item x="888"/>
        <item x="152"/>
        <item x="153"/>
        <item x="154"/>
        <item x="155"/>
        <item x="156"/>
        <item x="157"/>
        <item x="159"/>
        <item x="158"/>
        <item x="160"/>
        <item x="161"/>
        <item x="985"/>
        <item x="1051"/>
        <item x="889"/>
        <item x="1052"/>
        <item x="162"/>
        <item x="800"/>
        <item x="801"/>
        <item x="923"/>
        <item x="924"/>
        <item x="925"/>
        <item x="890"/>
        <item x="707"/>
        <item x="726"/>
        <item x="393"/>
        <item x="995"/>
        <item x="97"/>
        <item x="891"/>
        <item x="802"/>
        <item x="803"/>
        <item x="630"/>
        <item x="986"/>
        <item x="164"/>
        <item x="163"/>
        <item x="165"/>
        <item x="251"/>
        <item x="252"/>
        <item x="253"/>
        <item x="254"/>
        <item x="166"/>
        <item x="805"/>
        <item x="727"/>
        <item x="603"/>
        <item x="656"/>
        <item x="804"/>
        <item x="394"/>
        <item x="892"/>
        <item x="806"/>
        <item x="893"/>
        <item x="98"/>
        <item x="167"/>
        <item x="996"/>
        <item x="168"/>
        <item x="169"/>
        <item x="170"/>
        <item x="171"/>
        <item x="99"/>
        <item x="307"/>
        <item x="657"/>
        <item x="658"/>
        <item x="659"/>
        <item x="660"/>
        <item x="894"/>
        <item x="728"/>
        <item x="395"/>
        <item x="895"/>
        <item x="100"/>
        <item x="172"/>
        <item x="173"/>
        <item x="695"/>
        <item x="708"/>
        <item x="700"/>
        <item x="807"/>
        <item x="573"/>
        <item x="427"/>
        <item x="635"/>
        <item x="896"/>
        <item x="631"/>
        <item x="174"/>
        <item x="175"/>
        <item x="101"/>
        <item x="176"/>
        <item x="177"/>
        <item x="760"/>
        <item x="178"/>
        <item x="661"/>
        <item x="179"/>
        <item x="662"/>
        <item x="897"/>
        <item x="729"/>
        <item x="396"/>
        <item x="898"/>
        <item x="102"/>
        <item x="428"/>
        <item x="180"/>
        <item x="557"/>
        <item x="558"/>
        <item x="559"/>
        <item x="560"/>
        <item x="561"/>
        <item x="562"/>
        <item x="563"/>
        <item x="612"/>
        <item x="564"/>
        <item x="565"/>
        <item x="566"/>
        <item x="583"/>
        <item x="567"/>
        <item x="568"/>
        <item x="569"/>
        <item x="504"/>
        <item x="505"/>
        <item x="303"/>
        <item x="304"/>
        <item x="506"/>
        <item x="570"/>
        <item x="410"/>
        <item x="411"/>
        <item x="444"/>
        <item x="305"/>
        <item x="412"/>
        <item x="477"/>
        <item x="451"/>
        <item x="413"/>
        <item x="503"/>
        <item x="478"/>
        <item x="452"/>
        <item x="414"/>
        <item x="479"/>
        <item x="453"/>
        <item x="286"/>
        <item x="415"/>
        <item x="480"/>
        <item x="454"/>
        <item x="416"/>
        <item x="481"/>
        <item x="455"/>
        <item x="417"/>
        <item x="482"/>
        <item x="456"/>
        <item x="340"/>
        <item x="571"/>
        <item x="507"/>
        <item x="418"/>
        <item x="483"/>
        <item x="457"/>
        <item x="341"/>
        <item x="419"/>
        <item x="484"/>
        <item x="458"/>
        <item x="342"/>
        <item x="527"/>
        <item x="613"/>
        <item x="2"/>
        <item x="1"/>
        <item x="3"/>
        <item x="343"/>
        <item x="528"/>
        <item x="485"/>
        <item x="459"/>
        <item x="420"/>
        <item x="6"/>
        <item x="4"/>
        <item x="5"/>
        <item x="486"/>
        <item x="421"/>
        <item x="460"/>
        <item x="529"/>
        <item x="344"/>
        <item x="487"/>
        <item x="461"/>
        <item x="345"/>
        <item x="530"/>
        <item x="648"/>
        <item x="308"/>
        <item x="422"/>
        <item x="7"/>
        <item x="8"/>
        <item x="9"/>
        <item x="11"/>
        <item x="10"/>
        <item x="12"/>
        <item x="488"/>
        <item x="462"/>
        <item x="346"/>
        <item x="531"/>
        <item x="649"/>
        <item x="309"/>
        <item x="423"/>
        <item x="13"/>
        <item x="14"/>
        <item x="15"/>
        <item x="16"/>
        <item x="509"/>
        <item x="17"/>
        <item x="18"/>
        <item x="575"/>
        <item x="650"/>
        <item x="19"/>
        <item x="285"/>
        <item x="753"/>
        <item x="754"/>
        <item x="755"/>
        <item x="756"/>
        <item x="757"/>
      </items>
    </pivotField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axis="axisRow" compact="0" outline="0" showAll="0" includeNewItemsInFilter="1">
      <items count="722">
        <item m="1" x="485"/>
        <item m="1" x="632"/>
        <item m="1" x="554"/>
        <item x="196"/>
        <item x="283"/>
        <item m="1" x="673"/>
        <item x="194"/>
        <item x="335"/>
        <item m="1" x="483"/>
        <item m="1" x="553"/>
        <item x="325"/>
        <item x="98"/>
        <item m="1" x="482"/>
        <item m="1" x="690"/>
        <item x="192"/>
        <item x="199"/>
        <item x="324"/>
        <item x="97"/>
        <item x="359"/>
        <item x="191"/>
        <item x="190"/>
        <item x="198"/>
        <item m="1" x="484"/>
        <item m="1" x="552"/>
        <item x="102"/>
        <item x="100"/>
        <item m="1" x="597"/>
        <item x="187"/>
        <item x="347"/>
        <item m="1" x="557"/>
        <item m="1" x="551"/>
        <item m="1" x="393"/>
        <item m="1" x="717"/>
        <item m="1" x="631"/>
        <item m="1" x="716"/>
        <item m="1" x="560"/>
        <item x="281"/>
        <item m="1" x="550"/>
        <item m="1" x="481"/>
        <item x="95"/>
        <item m="1" x="549"/>
        <item m="1" x="548"/>
        <item m="1" x="630"/>
        <item x="182"/>
        <item m="1" x="715"/>
        <item x="181"/>
        <item m="1" x="559"/>
        <item m="1" x="558"/>
        <item x="386"/>
        <item x="205"/>
        <item x="180"/>
        <item m="1" x="629"/>
        <item m="1" x="547"/>
        <item m="1" x="675"/>
        <item x="337"/>
        <item m="1" x="596"/>
        <item m="1" x="546"/>
        <item m="1" x="480"/>
        <item m="1" x="545"/>
        <item x="177"/>
        <item m="1" x="544"/>
        <item m="1" x="543"/>
        <item m="1" x="542"/>
        <item m="1" x="628"/>
        <item x="279"/>
        <item m="1" x="541"/>
        <item m="1" x="540"/>
        <item m="1" x="479"/>
        <item m="1" x="539"/>
        <item m="1" x="538"/>
        <item m="1" x="537"/>
        <item x="168"/>
        <item m="1" x="627"/>
        <item x="167"/>
        <item m="1" x="536"/>
        <item m="1" x="535"/>
        <item m="1" x="534"/>
        <item m="1" x="478"/>
        <item m="1" x="533"/>
        <item x="162"/>
        <item m="1" x="532"/>
        <item m="1" x="531"/>
        <item m="1" x="486"/>
        <item m="1" x="530"/>
        <item m="1" x="477"/>
        <item m="1" x="626"/>
        <item m="1" x="529"/>
        <item m="1" x="528"/>
        <item m="1" x="527"/>
        <item m="1" x="476"/>
        <item m="1" x="625"/>
        <item m="1" x="526"/>
        <item m="1" x="475"/>
        <item m="1" x="672"/>
        <item m="1" x="487"/>
        <item m="1" x="525"/>
        <item m="1" x="524"/>
        <item m="1" x="523"/>
        <item m="1" x="624"/>
        <item m="1" x="522"/>
        <item m="1" x="474"/>
        <item m="1" x="521"/>
        <item m="1" x="520"/>
        <item m="1" x="623"/>
        <item m="1" x="519"/>
        <item m="1" x="680"/>
        <item x="342"/>
        <item m="1" x="473"/>
        <item m="1" x="693"/>
        <item m="1" x="518"/>
        <item m="1" x="622"/>
        <item x="146"/>
        <item m="1" x="472"/>
        <item m="1" x="517"/>
        <item m="1" x="516"/>
        <item x="143"/>
        <item m="1" x="471"/>
        <item m="1" x="621"/>
        <item m="1" x="515"/>
        <item m="1" x="670"/>
        <item m="1" x="514"/>
        <item m="1" x="470"/>
        <item m="1" x="565"/>
        <item m="1" x="643"/>
        <item m="1" x="469"/>
        <item x="212"/>
        <item m="1" x="620"/>
        <item x="81"/>
        <item x="270"/>
        <item m="1" x="513"/>
        <item x="138"/>
        <item m="1" x="468"/>
        <item m="1" x="512"/>
        <item m="1" x="555"/>
        <item x="197"/>
        <item m="1" x="511"/>
        <item m="1" x="619"/>
        <item m="1" x="681"/>
        <item x="135"/>
        <item m="1" x="510"/>
        <item m="1" x="687"/>
        <item x="355"/>
        <item m="1" x="509"/>
        <item m="1" x="508"/>
        <item m="1" x="507"/>
        <item m="1" x="506"/>
        <item m="1" x="505"/>
        <item m="1" x="504"/>
        <item m="1" x="503"/>
        <item m="1" x="467"/>
        <item m="1" x="502"/>
        <item m="1" x="618"/>
        <item m="1" x="501"/>
        <item m="1" x="500"/>
        <item x="123"/>
        <item m="1" x="466"/>
        <item m="1" x="499"/>
        <item m="1" x="498"/>
        <item m="1" x="497"/>
        <item x="119"/>
        <item m="1" x="496"/>
        <item m="1" x="465"/>
        <item m="1" x="495"/>
        <item m="1" x="617"/>
        <item m="1" x="689"/>
        <item m="1" x="494"/>
        <item m="1" x="678"/>
        <item x="340"/>
        <item m="1" x="464"/>
        <item m="1" x="493"/>
        <item m="1" x="463"/>
        <item x="113"/>
        <item m="1" x="492"/>
        <item m="1" x="616"/>
        <item m="1" x="491"/>
        <item m="1" x="692"/>
        <item m="1" x="462"/>
        <item m="1" x="490"/>
        <item m="1" x="615"/>
        <item m="1" x="686"/>
        <item m="1" x="674"/>
        <item x="336"/>
        <item m="1" x="461"/>
        <item x="72"/>
        <item m="1" x="489"/>
        <item m="1" x="614"/>
        <item m="1" x="460"/>
        <item m="1" x="685"/>
        <item x="353"/>
        <item m="1" x="488"/>
        <item m="1" x="459"/>
        <item x="70"/>
        <item m="1" x="613"/>
        <item m="1" x="458"/>
        <item m="1" x="718"/>
        <item m="1" x="457"/>
        <item m="1" x="612"/>
        <item x="261"/>
        <item m="1" x="456"/>
        <item m="1" x="714"/>
        <item m="1" x="611"/>
        <item m="1" x="455"/>
        <item x="66"/>
        <item m="1" x="684"/>
        <item m="1" x="610"/>
        <item m="1" x="676"/>
        <item m="1" x="677"/>
        <item m="1" x="454"/>
        <item m="1" x="609"/>
        <item m="1" x="453"/>
        <item m="1" x="452"/>
        <item m="1" x="608"/>
        <item m="1" x="451"/>
        <item m="1" x="607"/>
        <item m="1" x="450"/>
        <item m="1" x="606"/>
        <item m="1" x="449"/>
        <item m="1" x="605"/>
        <item m="1" x="448"/>
        <item m="1" x="713"/>
        <item m="1" x="604"/>
        <item m="1" x="644"/>
        <item m="1" x="447"/>
        <item m="1" x="579"/>
        <item m="1" x="578"/>
        <item m="1" x="446"/>
        <item m="1" x="577"/>
        <item m="1" x="445"/>
        <item m="1" x="395"/>
        <item m="1" x="576"/>
        <item m="1" x="444"/>
        <item m="1" x="691"/>
        <item m="1" x="679"/>
        <item m="1" x="603"/>
        <item m="1" x="443"/>
        <item m="1" x="442"/>
        <item x="53"/>
        <item m="1" x="671"/>
        <item m="1" x="602"/>
        <item m="1" x="712"/>
        <item x="383"/>
        <item m="1" x="601"/>
        <item m="1" x="683"/>
        <item m="1" x="441"/>
        <item m="1" x="711"/>
        <item m="1" x="600"/>
        <item x="249"/>
        <item m="1" x="440"/>
        <item m="1" x="598"/>
        <item m="1" x="599"/>
        <item m="1" x="439"/>
        <item m="1" x="719"/>
        <item m="1" x="438"/>
        <item x="391"/>
        <item m="1" x="437"/>
        <item m="1" x="436"/>
        <item m="1" x="710"/>
        <item m="1" x="682"/>
        <item m="1" x="688"/>
        <item m="1" x="435"/>
        <item m="1" x="394"/>
        <item m="1" x="709"/>
        <item m="1" x="434"/>
        <item m="1" x="556"/>
        <item m="1" x="562"/>
        <item m="1" x="433"/>
        <item m="1" x="708"/>
        <item m="1" x="432"/>
        <item m="1" x="707"/>
        <item m="1" x="647"/>
        <item x="377"/>
        <item m="1" x="694"/>
        <item m="1" x="431"/>
        <item m="1" x="706"/>
        <item m="1" x="430"/>
        <item m="1" x="705"/>
        <item m="1" x="429"/>
        <item m="1" x="704"/>
        <item m="1" x="428"/>
        <item m="1" x="703"/>
        <item m="1" x="427"/>
        <item m="1" x="702"/>
        <item m="1" x="426"/>
        <item m="1" x="701"/>
        <item m="1" x="720"/>
        <item m="1" x="425"/>
        <item m="1" x="700"/>
        <item m="1" x="424"/>
        <item m="1" x="699"/>
        <item m="1" x="423"/>
        <item m="1" x="422"/>
        <item m="1" x="698"/>
        <item x="368"/>
        <item m="1" x="697"/>
        <item m="1" x="421"/>
        <item m="1" x="696"/>
        <item m="1" x="420"/>
        <item m="1" x="695"/>
        <item m="1" x="667"/>
        <item m="1" x="419"/>
        <item m="1" x="418"/>
        <item m="1" x="417"/>
        <item m="1" x="653"/>
        <item m="1" x="568"/>
        <item m="1" x="416"/>
        <item m="1" x="567"/>
        <item m="1" x="666"/>
        <item x="323"/>
        <item m="1" x="575"/>
        <item m="1" x="574"/>
        <item m="1" x="415"/>
        <item m="1" x="573"/>
        <item m="1" x="414"/>
        <item m="1" x="413"/>
        <item x="20"/>
        <item m="1" x="572"/>
        <item m="1" x="412"/>
        <item m="1" x="571"/>
        <item m="1" x="411"/>
        <item m="1" x="570"/>
        <item m="1" x="569"/>
        <item m="1" x="410"/>
        <item m="1" x="595"/>
        <item m="1" x="409"/>
        <item m="1" x="594"/>
        <item m="1" x="408"/>
        <item m="1" x="593"/>
        <item m="1" x="407"/>
        <item m="1" x="592"/>
        <item m="1" x="406"/>
        <item m="1" x="405"/>
        <item x="12"/>
        <item m="1" x="669"/>
        <item m="1" x="591"/>
        <item m="1" x="646"/>
        <item x="240"/>
        <item m="1" x="590"/>
        <item m="1" x="404"/>
        <item m="1" x="589"/>
        <item x="238"/>
        <item m="1" x="403"/>
        <item m="1" x="642"/>
        <item m="1" x="652"/>
        <item x="308"/>
        <item m="1" x="402"/>
        <item m="1" x="588"/>
        <item m="1" x="587"/>
        <item m="1" x="651"/>
        <item m="1" x="401"/>
        <item m="1" x="400"/>
        <item m="1" x="561"/>
        <item m="1" x="399"/>
        <item m="1" x="566"/>
        <item m="1" x="398"/>
        <item m="1" x="586"/>
        <item m="1" x="585"/>
        <item m="1" x="641"/>
        <item m="1" x="397"/>
        <item m="1" x="640"/>
        <item m="1" x="584"/>
        <item m="1" x="396"/>
        <item m="1" x="583"/>
        <item m="1" x="668"/>
        <item m="1" x="639"/>
        <item m="1" x="582"/>
        <item m="1" x="650"/>
        <item x="305"/>
        <item m="1" x="581"/>
        <item m="1" x="580"/>
        <item m="1" x="638"/>
        <item m="1" x="637"/>
        <item m="1" x="636"/>
        <item m="1" x="635"/>
        <item m="1" x="634"/>
        <item m="1" x="564"/>
        <item m="1" x="645"/>
        <item x="211"/>
        <item m="1" x="633"/>
        <item m="1" x="649"/>
        <item m="1" x="563"/>
        <item m="1" x="648"/>
        <item m="1" x="664"/>
        <item m="1" x="665"/>
        <item m="1" x="663"/>
        <item m="1" x="662"/>
        <item m="1" x="661"/>
        <item m="1" x="660"/>
        <item m="1" x="659"/>
        <item m="1" x="658"/>
        <item m="1" x="657"/>
        <item m="1" x="656"/>
        <item m="1" x="655"/>
        <item m="1" x="65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7"/>
        <item x="68"/>
        <item x="69"/>
        <item x="71"/>
        <item x="73"/>
        <item x="74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9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6"/>
        <item x="117"/>
        <item x="118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7"/>
        <item x="139"/>
        <item x="140"/>
        <item x="141"/>
        <item x="142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9"/>
        <item x="170"/>
        <item x="171"/>
        <item x="172"/>
        <item x="173"/>
        <item x="174"/>
        <item x="175"/>
        <item x="176"/>
        <item x="178"/>
        <item x="179"/>
        <item x="183"/>
        <item x="184"/>
        <item x="185"/>
        <item x="186"/>
        <item x="188"/>
        <item x="189"/>
        <item x="193"/>
        <item x="195"/>
        <item x="200"/>
        <item x="201"/>
        <item x="202"/>
        <item x="203"/>
        <item x="204"/>
        <item x="206"/>
        <item x="207"/>
        <item x="208"/>
        <item x="209"/>
        <item x="210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9"/>
        <item x="241"/>
        <item x="242"/>
        <item x="243"/>
        <item x="244"/>
        <item x="245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2"/>
        <item x="263"/>
        <item x="264"/>
        <item x="265"/>
        <item x="266"/>
        <item x="267"/>
        <item x="268"/>
        <item x="269"/>
        <item x="271"/>
        <item x="272"/>
        <item x="273"/>
        <item x="274"/>
        <item x="275"/>
        <item x="276"/>
        <item x="277"/>
        <item x="278"/>
        <item x="280"/>
        <item x="282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6"/>
        <item x="307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6"/>
        <item x="327"/>
        <item x="328"/>
        <item x="329"/>
        <item x="330"/>
        <item x="331"/>
        <item x="332"/>
        <item x="333"/>
        <item x="334"/>
        <item x="338"/>
        <item x="339"/>
        <item x="341"/>
        <item x="343"/>
        <item x="344"/>
        <item x="345"/>
        <item x="346"/>
        <item x="348"/>
        <item x="349"/>
        <item x="350"/>
        <item x="351"/>
        <item x="352"/>
        <item x="354"/>
        <item x="356"/>
        <item x="357"/>
        <item x="358"/>
        <item x="360"/>
        <item x="361"/>
        <item x="362"/>
        <item x="363"/>
        <item x="364"/>
        <item x="365"/>
        <item x="366"/>
        <item x="367"/>
        <item x="369"/>
        <item x="370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4"/>
        <item x="385"/>
        <item x="387"/>
        <item x="388"/>
        <item x="389"/>
        <item x="390"/>
        <item x="392"/>
        <item t="default"/>
      </items>
    </pivotField>
    <pivotField compact="0" outline="0" showAll="0" includeNewItemsInFilter="1"/>
    <pivotField compact="0" outline="0" subtotalTop="0" showAll="0" includeNewItemsInFilter="1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ubtotalTop="0" showAll="0" includeNewItemsInFilter="1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ubtotalTop="0" showAll="0" includeNewItemsInFilter="1" defaultSubtota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</items>
    </pivotField>
  </pivotFields>
  <rowFields count="4">
    <field x="3"/>
    <field x="7"/>
    <field x="6"/>
    <field x="14"/>
  </rowFields>
  <rowItems count="1190">
    <i>
      <x/>
      <x v="917"/>
      <x v="270"/>
      <x v="125"/>
    </i>
    <i t="default">
      <x/>
    </i>
    <i>
      <x v="1"/>
      <x v="283"/>
      <x v="365"/>
      <x v="672"/>
    </i>
    <i r="1">
      <x v="335"/>
      <x v="373"/>
      <x v="630"/>
    </i>
    <i r="1">
      <x v="369"/>
      <x v="391"/>
      <x v="4"/>
    </i>
    <i r="1">
      <x v="713"/>
      <x v="187"/>
      <x v="677"/>
    </i>
    <i r="1">
      <x v="929"/>
      <x v="269"/>
      <x v="643"/>
    </i>
    <i t="default">
      <x v="1"/>
    </i>
    <i>
      <x v="2"/>
      <x v="377"/>
      <x v="48"/>
      <x v="401"/>
    </i>
    <i r="1">
      <x v="387"/>
      <x v="48"/>
      <x v="401"/>
    </i>
    <i r="1">
      <x v="400"/>
    </i>
    <i r="1">
      <x v="416"/>
      <x v="55"/>
      <x v="403"/>
    </i>
    <i r="1">
      <x v="437"/>
      <x v="63"/>
      <x v="331"/>
    </i>
    <i r="1">
      <x v="443"/>
      <x v="65"/>
      <x v="405"/>
    </i>
    <i r="1">
      <x v="450"/>
      <x v="67"/>
      <x v="406"/>
    </i>
    <i r="1">
      <x v="458"/>
      <x v="69"/>
      <x v="407"/>
    </i>
    <i r="1">
      <x v="465"/>
      <x v="71"/>
      <x v="408"/>
    </i>
    <i r="1">
      <x v="473"/>
      <x v="74"/>
      <x v="409"/>
    </i>
    <i r="1">
      <x v="484"/>
      <x v="76"/>
      <x v="410"/>
    </i>
    <i r="1">
      <x v="504"/>
      <x v="79"/>
      <x v="411"/>
    </i>
    <i r="1">
      <x v="514"/>
      <x v="82"/>
      <x v="412"/>
    </i>
    <i r="1">
      <x v="590"/>
      <x v="123"/>
      <x v="649"/>
    </i>
    <i r="1">
      <x v="981"/>
      <x v="19"/>
      <x v="633"/>
    </i>
    <i r="1">
      <x v="985"/>
      <x v="20"/>
      <x v="634"/>
    </i>
    <i r="1">
      <x v="988"/>
      <x v="21"/>
      <x v="635"/>
    </i>
    <i r="1">
      <x v="992"/>
      <x v="22"/>
      <x v="636"/>
    </i>
    <i r="1">
      <x v="995"/>
      <x v="23"/>
      <x v="637"/>
    </i>
    <i r="1">
      <x v="998"/>
      <x v="26"/>
      <x v="638"/>
    </i>
    <i r="1">
      <x v="1004"/>
      <x v="28"/>
      <x v="584"/>
    </i>
    <i r="1">
      <x v="1008"/>
      <x v="29"/>
      <x v="639"/>
    </i>
    <i r="1">
      <x v="1018"/>
      <x v="34"/>
      <x v="640"/>
    </i>
    <i r="1">
      <x v="1024"/>
      <x v="36"/>
      <x v="641"/>
    </i>
    <i r="1">
      <x v="1029"/>
      <x v="39"/>
      <x v="397"/>
    </i>
    <i r="1">
      <x v="1042"/>
      <x v="40"/>
      <x v="568"/>
    </i>
    <i t="default">
      <x v="2"/>
    </i>
    <i>
      <x v="3"/>
      <x v="352"/>
      <x v="379"/>
      <x v="18"/>
    </i>
    <i r="1">
      <x v="820"/>
      <x v="228"/>
      <x v="692"/>
    </i>
    <i t="default">
      <x v="3"/>
    </i>
    <i>
      <x v="4"/>
      <x v="47"/>
      <x v="300"/>
      <x v="473"/>
    </i>
    <i r="1">
      <x v="99"/>
      <x v="315"/>
      <x v="476"/>
    </i>
    <i r="1">
      <x v="187"/>
      <x v="344"/>
      <x v="479"/>
    </i>
    <i r="1">
      <x v="284"/>
      <x v="374"/>
      <x v="21"/>
    </i>
    <i r="1">
      <x v="310"/>
      <x v="384"/>
      <x v="11"/>
    </i>
    <i r="1">
      <x v="686"/>
      <x v="178"/>
      <x v="450"/>
    </i>
    <i r="1">
      <x v="692"/>
      <x v="180"/>
      <x v="451"/>
    </i>
    <i r="1">
      <x v="701"/>
      <x v="182"/>
      <x v="452"/>
    </i>
    <i r="1">
      <x v="707"/>
      <x v="185"/>
      <x v="454"/>
    </i>
    <i r="1">
      <x v="715"/>
      <x v="190"/>
      <x v="455"/>
    </i>
    <i r="1">
      <x v="724"/>
      <x v="194"/>
      <x v="456"/>
    </i>
    <i r="1">
      <x v="734"/>
      <x v="199"/>
      <x v="458"/>
    </i>
    <i r="1">
      <x v="742"/>
      <x v="202"/>
      <x v="191"/>
    </i>
    <i r="1">
      <x v="755"/>
      <x v="210"/>
      <x v="183"/>
    </i>
    <i r="1">
      <x v="773"/>
      <x v="216"/>
      <x v="460"/>
    </i>
    <i r="1">
      <x v="789"/>
      <x v="222"/>
      <x v="461"/>
    </i>
    <i r="1">
      <x v="803"/>
      <x v="226"/>
      <x v="167"/>
    </i>
    <i r="1">
      <x v="810"/>
      <x v="231"/>
      <x v="463"/>
    </i>
    <i r="1">
      <x v="829"/>
      <x v="237"/>
      <x v="464"/>
    </i>
    <i r="1">
      <x v="849"/>
      <x v="243"/>
      <x v="465"/>
    </i>
    <i r="1">
      <x v="883"/>
      <x v="254"/>
      <x v="466"/>
    </i>
    <i r="1">
      <x v="901"/>
      <x v="261"/>
      <x v="467"/>
    </i>
    <i r="1">
      <x v="923"/>
      <x v="271"/>
      <x v="468"/>
    </i>
    <i r="1">
      <x v="949"/>
      <x v="280"/>
      <x v="470"/>
    </i>
    <i t="default">
      <x v="4"/>
    </i>
    <i>
      <x v="5"/>
      <x v="55"/>
      <x v="301"/>
      <x v="529"/>
    </i>
    <i t="default">
      <x v="5"/>
    </i>
    <i>
      <x v="6"/>
      <x v="285"/>
      <x v="374"/>
      <x v="21"/>
    </i>
    <i r="1">
      <x v="305"/>
      <x v="382"/>
      <x v="15"/>
    </i>
    <i t="default">
      <x v="6"/>
    </i>
    <i>
      <x v="7"/>
      <x v="670"/>
      <x v="171"/>
      <x v="645"/>
    </i>
    <i r="1">
      <x v="671"/>
      <x v="171"/>
      <x v="645"/>
    </i>
    <i t="default">
      <x v="7"/>
    </i>
    <i>
      <x v="8"/>
      <x v="902"/>
      <x v="256"/>
      <x v="620"/>
    </i>
    <i t="default">
      <x v="8"/>
    </i>
    <i>
      <x v="9"/>
      <x v="378"/>
      <x v="46"/>
      <x v="589"/>
    </i>
    <i r="1">
      <x v="388"/>
      <x v="46"/>
      <x v="589"/>
    </i>
    <i r="1">
      <x v="410"/>
      <x v="50"/>
      <x v="343"/>
    </i>
    <i r="1">
      <x v="413"/>
      <x v="53"/>
      <x v="592"/>
    </i>
    <i r="1">
      <x v="427"/>
      <x v="56"/>
      <x v="593"/>
    </i>
    <i r="1">
      <x v="510"/>
      <x v="77"/>
      <x v="574"/>
    </i>
    <i r="1">
      <x v="536"/>
      <x v="84"/>
      <x v="577"/>
    </i>
    <i r="1">
      <x v="1056"/>
      <x v="44"/>
      <x v="400"/>
    </i>
    <i t="default">
      <x v="9"/>
    </i>
    <i>
      <x v="10"/>
      <x v="651"/>
      <x v="163"/>
      <x v="578"/>
    </i>
    <i r="1">
      <x v="654"/>
      <x v="166"/>
      <x v="579"/>
    </i>
    <i r="1">
      <x v="662"/>
      <x v="168"/>
      <x v="580"/>
    </i>
    <i r="1">
      <x v="669"/>
      <x v="169"/>
      <x v="581"/>
    </i>
    <i t="default">
      <x v="10"/>
    </i>
    <i>
      <x v="11"/>
      <x v="379"/>
      <x v="48"/>
      <x v="401"/>
    </i>
    <i r="1">
      <x v="391"/>
      <x v="48"/>
      <x v="401"/>
    </i>
    <i r="1">
      <x v="403"/>
      <x v="51"/>
      <x v="642"/>
    </i>
    <i r="1">
      <x v="976"/>
      <x v="15"/>
      <x v="631"/>
    </i>
    <i r="1">
      <x v="977"/>
      <x v="16"/>
      <x v="632"/>
    </i>
    <i r="1">
      <x v="980"/>
      <x v="19"/>
      <x v="633"/>
    </i>
    <i r="1">
      <x v="983"/>
      <x v="20"/>
      <x v="634"/>
    </i>
    <i r="1">
      <x v="987"/>
      <x v="21"/>
      <x v="635"/>
    </i>
    <i r="1">
      <x v="991"/>
      <x v="22"/>
      <x v="636"/>
    </i>
    <i r="1">
      <x v="994"/>
      <x v="23"/>
      <x v="637"/>
    </i>
    <i r="1">
      <x v="997"/>
      <x v="26"/>
      <x v="638"/>
    </i>
    <i r="1">
      <x v="1003"/>
      <x v="28"/>
      <x v="584"/>
    </i>
    <i r="1">
      <x v="1007"/>
      <x v="29"/>
      <x v="639"/>
    </i>
    <i r="1">
      <x v="1020"/>
      <x v="34"/>
      <x v="640"/>
    </i>
    <i r="1">
      <x v="1025"/>
      <x v="36"/>
      <x v="641"/>
    </i>
    <i r="1">
      <x v="1035"/>
      <x v="39"/>
      <x v="397"/>
    </i>
    <i r="1">
      <x v="1048"/>
      <x v="40"/>
      <x v="568"/>
    </i>
    <i t="default">
      <x v="11"/>
    </i>
    <i>
      <x v="12"/>
      <x v="587"/>
      <x v="121"/>
      <x v="697"/>
    </i>
    <i t="default">
      <x v="12"/>
    </i>
    <i>
      <x v="13"/>
      <x/>
      <x v="182"/>
      <x v="452"/>
    </i>
    <i r="2">
      <x v="186"/>
      <x v="678"/>
    </i>
    <i t="default">
      <x v="13"/>
    </i>
    <i>
      <x v="14"/>
      <x v="15"/>
      <x v="287"/>
      <x v="106"/>
    </i>
    <i t="default">
      <x v="14"/>
    </i>
    <i>
      <x v="15"/>
      <x v="984"/>
      <x v="20"/>
      <x v="634"/>
    </i>
    <i t="default">
      <x v="15"/>
    </i>
    <i>
      <x v="16"/>
      <x v="6"/>
      <x v="285"/>
      <x v="471"/>
    </i>
    <i r="1">
      <x v="23"/>
      <x v="292"/>
      <x v="472"/>
    </i>
    <i r="1">
      <x v="43"/>
      <x v="300"/>
      <x v="473"/>
    </i>
    <i r="1">
      <x v="59"/>
      <x v="303"/>
      <x v="474"/>
    </i>
    <i r="1">
      <x v="77"/>
      <x v="308"/>
      <x v="475"/>
    </i>
    <i r="1">
      <x v="100"/>
      <x v="315"/>
      <x v="476"/>
    </i>
    <i r="1">
      <x v="129"/>
      <x v="325"/>
      <x v="477"/>
    </i>
    <i r="1">
      <x v="161"/>
      <x v="335"/>
      <x v="478"/>
    </i>
    <i r="1">
      <x v="190"/>
      <x v="344"/>
      <x v="479"/>
    </i>
    <i r="1">
      <x v="1060"/>
      <x v="350"/>
      <x v="629"/>
    </i>
    <i r="1">
      <x v="1061"/>
      <x v="359"/>
      <x v="36"/>
    </i>
    <i r="1">
      <x v="1062"/>
      <x v="365"/>
      <x v="672"/>
    </i>
    <i r="1">
      <x v="1063"/>
      <x v="373"/>
      <x v="630"/>
    </i>
    <i r="1">
      <x v="1064"/>
      <x v="391"/>
      <x v="4"/>
    </i>
    <i t="default">
      <x v="16"/>
    </i>
    <i>
      <x v="17"/>
      <x v="11"/>
      <x v="285"/>
      <x v="471"/>
    </i>
    <i r="1">
      <x v="22"/>
      <x v="292"/>
      <x v="472"/>
    </i>
    <i r="1">
      <x v="48"/>
      <x v="300"/>
      <x v="473"/>
    </i>
    <i r="1">
      <x v="60"/>
      <x v="303"/>
      <x v="474"/>
    </i>
    <i r="1">
      <x v="78"/>
      <x v="308"/>
      <x v="475"/>
    </i>
    <i r="1">
      <x v="101"/>
      <x v="315"/>
      <x v="476"/>
    </i>
    <i r="1">
      <x v="130"/>
      <x v="325"/>
      <x v="477"/>
    </i>
    <i r="1">
      <x v="168"/>
      <x v="335"/>
      <x v="478"/>
    </i>
    <i r="1">
      <x v="191"/>
      <x v="344"/>
      <x v="479"/>
    </i>
    <i t="default">
      <x v="17"/>
    </i>
    <i>
      <x v="18"/>
      <x v="2"/>
      <x v="284"/>
      <x v="696"/>
    </i>
    <i t="default">
      <x v="18"/>
    </i>
    <i>
      <x v="19"/>
      <x/>
      <x v="251"/>
      <x v="510"/>
    </i>
    <i r="2">
      <x v="342"/>
      <x v="668"/>
    </i>
    <i t="default">
      <x v="19"/>
    </i>
    <i>
      <x v="20"/>
      <x v="35"/>
      <x v="295"/>
    </i>
    <i r="1">
      <x v="286"/>
      <x v="374"/>
      <x v="21"/>
    </i>
    <i r="1">
      <x v="930"/>
      <x v="272"/>
      <x v="517"/>
    </i>
    <i t="default">
      <x v="20"/>
    </i>
    <i>
      <x v="21"/>
      <x v="192"/>
      <x v="366"/>
      <x v="599"/>
    </i>
    <i t="default">
      <x v="21"/>
    </i>
    <i>
      <x v="22"/>
      <x v="102"/>
      <x v="337"/>
      <x v="598"/>
    </i>
    <i r="1">
      <x v="193"/>
      <x v="366"/>
      <x v="599"/>
    </i>
    <i t="default">
      <x v="22"/>
    </i>
    <i>
      <x v="23"/>
      <x v="181"/>
      <x v="339"/>
      <x v="54"/>
    </i>
    <i r="1">
      <x v="767"/>
      <x v="212"/>
      <x v="181"/>
    </i>
    <i t="default">
      <x v="23"/>
    </i>
    <i>
      <x v="24"/>
      <x v="10"/>
      <x v="282"/>
      <x v="622"/>
    </i>
    <i r="1">
      <x v="24"/>
      <x v="289"/>
      <x v="623"/>
    </i>
    <i r="1">
      <x v="45"/>
      <x v="294"/>
      <x v="624"/>
    </i>
    <i r="1">
      <x v="61"/>
      <x v="302"/>
      <x v="625"/>
    </i>
    <i r="1">
      <x v="79"/>
      <x v="307"/>
      <x v="626"/>
    </i>
    <i r="1">
      <x v="103"/>
      <x v="313"/>
      <x v="627"/>
    </i>
    <i r="1">
      <x v="131"/>
      <x v="320"/>
      <x v="628"/>
    </i>
    <i r="1">
      <x v="166"/>
      <x v="329"/>
      <x v="64"/>
    </i>
    <i r="1">
      <x v="194"/>
      <x v="341"/>
      <x v="564"/>
    </i>
    <i r="1">
      <x v="238"/>
      <x v="350"/>
      <x v="629"/>
    </i>
    <i r="1">
      <x v="272"/>
      <x v="359"/>
      <x v="36"/>
    </i>
    <i r="1">
      <x v="321"/>
      <x v="373"/>
      <x v="630"/>
    </i>
    <i r="1">
      <x v="368"/>
      <x v="391"/>
      <x v="4"/>
    </i>
    <i r="1">
      <x v="903"/>
      <x v="256"/>
      <x v="620"/>
    </i>
    <i r="1">
      <x v="918"/>
      <x v="264"/>
      <x v="560"/>
    </i>
    <i r="1">
      <x v="919"/>
      <x v="264"/>
      <x v="560"/>
    </i>
    <i r="1">
      <x v="920"/>
      <x v="264"/>
      <x v="560"/>
    </i>
    <i r="1">
      <x v="921"/>
      <x v="266"/>
      <x v="128"/>
    </i>
    <i r="1">
      <x v="945"/>
      <x v="273"/>
      <x v="674"/>
    </i>
    <i r="1">
      <x v="947"/>
      <x v="275"/>
      <x v="621"/>
    </i>
    <i t="default">
      <x v="24"/>
    </i>
    <i>
      <x v="25"/>
      <x v="978"/>
      <x v="17"/>
      <x v="646"/>
    </i>
    <i t="default">
      <x v="25"/>
    </i>
    <i>
      <x v="26"/>
      <x v="370"/>
      <x v="360"/>
      <x v="717"/>
    </i>
    <i r="1">
      <x v="371"/>
      <x v="360"/>
      <x v="717"/>
    </i>
    <i r="1">
      <x v="373"/>
      <x v="360"/>
      <x v="717"/>
    </i>
    <i r="1">
      <x v="374"/>
      <x v="360"/>
      <x v="717"/>
    </i>
    <i r="1">
      <x v="375"/>
      <x v="360"/>
      <x v="717"/>
    </i>
    <i r="1">
      <x v="376"/>
      <x v="360"/>
      <x v="717"/>
    </i>
    <i t="default">
      <x v="26"/>
    </i>
    <i>
      <x v="27"/>
      <x v="195"/>
      <x v="344"/>
      <x v="479"/>
    </i>
    <i r="1">
      <x v="237"/>
      <x v="354"/>
      <x v="39"/>
    </i>
    <i r="1">
      <x v="271"/>
      <x v="364"/>
      <x v="481"/>
    </i>
    <i t="default">
      <x v="27"/>
    </i>
    <i>
      <x v="28"/>
      <x v="474"/>
      <x v="74"/>
      <x v="409"/>
    </i>
    <i r="1">
      <x v="485"/>
      <x v="76"/>
      <x v="410"/>
    </i>
    <i r="1">
      <x v="502"/>
      <x v="79"/>
      <x v="411"/>
    </i>
    <i r="1">
      <x v="515"/>
      <x v="82"/>
      <x v="412"/>
    </i>
    <i r="1">
      <x v="523"/>
      <x v="85"/>
      <x v="413"/>
    </i>
    <i r="1">
      <x v="531"/>
      <x v="88"/>
      <x v="414"/>
    </i>
    <i r="1">
      <x v="540"/>
      <x v="90"/>
      <x v="654"/>
    </i>
    <i r="1">
      <x v="547"/>
      <x v="94"/>
      <x v="669"/>
    </i>
    <i t="default">
      <x v="28"/>
    </i>
    <i>
      <x v="29"/>
      <x v="497"/>
      <x v="78"/>
      <x v="652"/>
    </i>
    <i r="1">
      <x v="955"/>
      <x/>
      <x v="655"/>
    </i>
    <i r="1">
      <x v="956"/>
      <x v="1"/>
      <x v="656"/>
    </i>
    <i r="1">
      <x v="957"/>
      <x v="2"/>
      <x v="657"/>
    </i>
    <i r="1">
      <x v="958"/>
      <x v="3"/>
      <x v="658"/>
    </i>
    <i r="1">
      <x v="959"/>
      <x v="4"/>
      <x v="659"/>
    </i>
    <i r="1">
      <x v="960"/>
      <x v="5"/>
      <x v="660"/>
    </i>
    <i r="1">
      <x v="961"/>
      <x v="6"/>
      <x v="661"/>
    </i>
    <i r="1">
      <x v="963"/>
      <x v="7"/>
      <x v="662"/>
    </i>
    <i r="1">
      <x v="964"/>
      <x v="8"/>
      <x v="663"/>
    </i>
    <i r="1">
      <x v="965"/>
      <x v="9"/>
      <x v="664"/>
    </i>
    <i r="1">
      <x v="967"/>
      <x v="11"/>
      <x v="665"/>
    </i>
    <i r="1">
      <x v="968"/>
      <x v="12"/>
      <x v="650"/>
    </i>
    <i r="1">
      <x v="969"/>
      <x v="12"/>
      <x v="650"/>
    </i>
    <i r="1">
      <x v="975"/>
      <x v="14"/>
      <x v="651"/>
    </i>
    <i r="1">
      <x v="1001"/>
      <x v="27"/>
      <x v="366"/>
    </i>
    <i t="default">
      <x v="29"/>
    </i>
    <i>
      <x v="30"/>
      <x v="472"/>
      <x v="72"/>
      <x v="571"/>
    </i>
    <i r="1">
      <x v="480"/>
      <x v="73"/>
      <x v="572"/>
    </i>
    <i r="1">
      <x v="491"/>
      <x v="75"/>
      <x v="573"/>
    </i>
    <i r="1">
      <x v="493"/>
      <x v="75"/>
      <x v="573"/>
    </i>
    <i r="1">
      <x v="500"/>
      <x v="77"/>
      <x v="574"/>
    </i>
    <i r="1">
      <x v="516"/>
      <x v="81"/>
      <x v="575"/>
    </i>
    <i r="1">
      <x v="524"/>
      <x v="83"/>
      <x v="576"/>
    </i>
    <i r="1">
      <x v="530"/>
      <x v="84"/>
      <x v="577"/>
    </i>
    <i r="1">
      <x v="537"/>
      <x v="84"/>
      <x v="577"/>
    </i>
    <i t="default">
      <x v="30"/>
    </i>
    <i>
      <x v="31"/>
      <x v="740"/>
      <x v="201"/>
      <x v="719"/>
    </i>
    <i r="1">
      <x v="741"/>
      <x v="198"/>
      <x v="718"/>
    </i>
    <i t="default">
      <x v="31"/>
    </i>
    <i>
      <x v="32"/>
      <x v="185"/>
      <x v="344"/>
      <x v="479"/>
    </i>
    <i r="1">
      <x v="212"/>
      <x v="346"/>
      <x v="49"/>
    </i>
    <i r="1">
      <x v="872"/>
      <x v="251"/>
      <x v="510"/>
    </i>
    <i r="1">
      <x v="874"/>
      <x v="252"/>
      <x v="141"/>
    </i>
    <i t="default">
      <x v="32"/>
    </i>
    <i>
      <x v="33"/>
      <x v="570"/>
      <x v="108"/>
      <x v="720"/>
    </i>
    <i t="default">
      <x v="33"/>
    </i>
    <i>
      <x v="34"/>
      <x v="287"/>
      <x v="374"/>
      <x v="21"/>
    </i>
    <i r="1">
      <x v="931"/>
      <x v="272"/>
      <x v="517"/>
    </i>
    <i t="default">
      <x v="34"/>
    </i>
    <i>
      <x v="35"/>
      <x v="521"/>
      <x v="82"/>
      <x v="412"/>
    </i>
    <i r="1">
      <x v="550"/>
      <x v="96"/>
      <x v="418"/>
    </i>
    <i r="1">
      <x v="561"/>
      <x v="102"/>
      <x v="421"/>
    </i>
    <i r="1">
      <x v="573"/>
      <x v="110"/>
      <x v="425"/>
    </i>
    <i r="1">
      <x v="594"/>
      <x v="125"/>
      <x v="432"/>
    </i>
    <i r="1">
      <x v="603"/>
      <x v="133"/>
      <x v="435"/>
    </i>
    <i r="1">
      <x v="619"/>
      <x v="145"/>
      <x v="440"/>
    </i>
    <i r="1">
      <x v="634"/>
      <x v="157"/>
      <x v="443"/>
    </i>
    <i r="1">
      <x v="660"/>
      <x v="167"/>
      <x v="446"/>
    </i>
    <i r="1">
      <x v="683"/>
      <x v="176"/>
      <x v="449"/>
    </i>
    <i r="1">
      <x v="704"/>
      <x v="182"/>
      <x v="452"/>
    </i>
    <i r="1">
      <x v="728"/>
      <x v="194"/>
      <x v="456"/>
    </i>
    <i r="1">
      <x v="761"/>
      <x v="210"/>
      <x v="183"/>
    </i>
    <i r="1">
      <x v="990"/>
      <x v="42"/>
      <x v="565"/>
    </i>
    <i t="default">
      <x v="35"/>
    </i>
    <i>
      <x v="36"/>
      <x v="3"/>
      <x v="285"/>
      <x v="471"/>
    </i>
    <i r="1">
      <x v="4"/>
      <x v="285"/>
      <x v="471"/>
    </i>
    <i r="1">
      <x v="9"/>
      <x v="285"/>
      <x v="471"/>
    </i>
    <i r="1">
      <x v="16"/>
      <x v="287"/>
      <x v="106"/>
    </i>
    <i r="1">
      <x v="21"/>
      <x v="292"/>
      <x v="472"/>
    </i>
    <i r="1">
      <x v="28"/>
      <x v="292"/>
      <x v="472"/>
    </i>
    <i r="1">
      <x v="30"/>
      <x v="292"/>
      <x v="472"/>
    </i>
    <i r="1">
      <x v="38"/>
      <x v="300"/>
      <x v="473"/>
    </i>
    <i r="1">
      <x v="40"/>
      <x v="300"/>
      <x v="473"/>
    </i>
    <i r="1">
      <x v="46"/>
      <x v="300"/>
      <x v="473"/>
    </i>
    <i r="1">
      <x v="58"/>
      <x v="303"/>
      <x v="474"/>
    </i>
    <i r="1">
      <x v="62"/>
      <x v="303"/>
      <x v="474"/>
    </i>
    <i r="1">
      <x v="63"/>
      <x v="303"/>
      <x v="474"/>
    </i>
    <i r="1">
      <x v="76"/>
      <x v="308"/>
      <x v="475"/>
    </i>
    <i r="1">
      <x v="84"/>
      <x v="308"/>
      <x v="475"/>
    </i>
    <i r="1">
      <x v="85"/>
      <x v="308"/>
      <x v="475"/>
    </i>
    <i r="1">
      <x v="98"/>
      <x v="315"/>
      <x v="476"/>
    </i>
    <i r="1">
      <x v="104"/>
      <x v="315"/>
      <x v="476"/>
    </i>
    <i r="1">
      <x v="105"/>
      <x v="315"/>
      <x v="476"/>
    </i>
    <i r="1">
      <x v="128"/>
      <x v="325"/>
      <x v="477"/>
    </i>
    <i r="1">
      <x v="132"/>
      <x v="325"/>
      <x v="477"/>
    </i>
    <i r="1">
      <x v="133"/>
      <x v="325"/>
      <x v="477"/>
    </i>
    <i r="1">
      <x v="156"/>
      <x v="335"/>
      <x v="478"/>
    </i>
    <i r="1">
      <x v="159"/>
      <x v="335"/>
      <x v="478"/>
    </i>
    <i r="1">
      <x v="165"/>
      <x v="335"/>
      <x v="478"/>
    </i>
    <i r="1">
      <x v="189"/>
      <x v="344"/>
      <x v="479"/>
    </i>
    <i r="1">
      <x v="196"/>
      <x v="344"/>
      <x v="479"/>
    </i>
    <i r="1">
      <x v="197"/>
      <x v="344"/>
      <x v="479"/>
    </i>
    <i r="1">
      <x v="235"/>
      <x v="354"/>
      <x v="39"/>
    </i>
    <i r="1">
      <x v="236"/>
      <x v="354"/>
      <x v="39"/>
    </i>
    <i r="1">
      <x v="239"/>
      <x v="354"/>
      <x v="39"/>
    </i>
    <i r="1">
      <x v="269"/>
      <x v="364"/>
      <x v="481"/>
    </i>
    <i r="1">
      <x v="270"/>
      <x v="364"/>
      <x v="481"/>
    </i>
    <i r="1">
      <x v="273"/>
      <x v="364"/>
      <x v="481"/>
    </i>
    <i r="1">
      <x v="311"/>
      <x v="384"/>
      <x v="11"/>
    </i>
    <i r="1">
      <x v="318"/>
      <x v="384"/>
      <x v="11"/>
    </i>
    <i r="1">
      <x v="320"/>
      <x v="384"/>
      <x v="11"/>
    </i>
    <i r="1">
      <x v="878"/>
      <x v="254"/>
      <x v="466"/>
    </i>
    <i r="1">
      <x v="879"/>
      <x v="254"/>
      <x v="466"/>
    </i>
    <i r="1">
      <x v="880"/>
      <x v="254"/>
      <x v="466"/>
    </i>
    <i t="default">
      <x v="36"/>
    </i>
    <i>
      <x v="37"/>
      <x v="134"/>
      <x v="325"/>
      <x v="477"/>
    </i>
    <i r="1">
      <x v="164"/>
      <x v="335"/>
      <x v="478"/>
    </i>
    <i r="1">
      <x v="198"/>
      <x v="344"/>
      <x v="479"/>
    </i>
    <i r="1">
      <x v="234"/>
      <x v="354"/>
      <x v="39"/>
    </i>
    <i r="1">
      <x v="268"/>
      <x v="364"/>
      <x v="481"/>
    </i>
    <i r="1">
      <x v="323"/>
      <x v="384"/>
      <x v="11"/>
    </i>
    <i t="default">
      <x v="37"/>
    </i>
    <i>
      <x v="38"/>
      <x v="312"/>
      <x v="384"/>
      <x v="11"/>
    </i>
    <i t="default">
      <x v="38"/>
    </i>
    <i>
      <x v="39"/>
      <x v="1053"/>
      <x v="45"/>
      <x v="653"/>
    </i>
    <i t="default">
      <x v="39"/>
    </i>
    <i>
      <x v="40"/>
      <x/>
      <x v="298"/>
      <x v="484"/>
    </i>
    <i r="2">
      <x v="310"/>
      <x v="483"/>
    </i>
    <i r="2">
      <x v="333"/>
      <x v="485"/>
    </i>
    <i r="2">
      <x v="371"/>
      <x v="24"/>
    </i>
    <i r="1">
      <x v="1"/>
      <x v="283"/>
      <x v="111"/>
    </i>
    <i r="1">
      <x v="14"/>
      <x v="286"/>
      <x v="521"/>
    </i>
    <i r="1">
      <x v="17"/>
      <x v="288"/>
      <x v="522"/>
    </i>
    <i r="1">
      <x v="18"/>
      <x v="290"/>
      <x v="523"/>
    </i>
    <i r="1">
      <x v="19"/>
      <x v="291"/>
      <x v="524"/>
    </i>
    <i r="1">
      <x v="34"/>
      <x v="293"/>
      <x v="525"/>
    </i>
    <i r="1">
      <x v="36"/>
      <x v="295"/>
    </i>
    <i r="1">
      <x v="37"/>
      <x v="296"/>
      <x v="527"/>
    </i>
    <i r="1">
      <x v="53"/>
      <x v="300"/>
      <x v="473"/>
    </i>
    <i r="1">
      <x v="54"/>
      <x v="301"/>
      <x v="529"/>
    </i>
    <i r="1">
      <x v="56"/>
      <x v="203"/>
      <x v="486"/>
    </i>
    <i r="1">
      <x v="72"/>
      <x v="297"/>
      <x v="528"/>
    </i>
    <i r="1">
      <x v="73"/>
      <x v="304"/>
      <x v="530"/>
    </i>
    <i r="1">
      <x v="89"/>
      <x v="309"/>
      <x v="533"/>
    </i>
    <i r="1">
      <x v="92"/>
      <x v="311"/>
      <x v="534"/>
    </i>
    <i r="1">
      <x v="93"/>
      <x v="312"/>
      <x v="535"/>
    </i>
    <i r="1">
      <x v="94"/>
      <x v="305"/>
      <x v="531"/>
    </i>
    <i r="1">
      <x v="95"/>
      <x v="314"/>
      <x v="79"/>
    </i>
    <i r="1">
      <x v="96"/>
      <x v="306"/>
      <x v="532"/>
    </i>
    <i r="1">
      <x v="115"/>
      <x v="315"/>
      <x v="476"/>
    </i>
    <i r="1">
      <x v="116"/>
      <x v="316"/>
      <x v="536"/>
    </i>
    <i r="1">
      <x v="117"/>
      <x v="317"/>
      <x v="537"/>
    </i>
    <i r="1">
      <x v="118"/>
      <x v="318"/>
      <x v="538"/>
    </i>
    <i r="1">
      <x v="119"/>
      <x v="318"/>
      <x v="538"/>
    </i>
    <i r="1">
      <x v="120"/>
      <x v="319"/>
      <x v="539"/>
    </i>
    <i r="1">
      <x v="121"/>
      <x v="319"/>
      <x v="539"/>
    </i>
    <i r="1">
      <x v="122"/>
      <x v="322"/>
      <x v="73"/>
    </i>
    <i r="1">
      <x v="123"/>
      <x v="323"/>
      <x v="71"/>
    </i>
    <i r="1">
      <x v="125"/>
      <x v="324"/>
      <x v="540"/>
    </i>
    <i r="1">
      <x v="143"/>
      <x v="326"/>
      <x v="541"/>
    </i>
    <i r="1">
      <x v="144"/>
      <x v="326"/>
      <x v="541"/>
    </i>
    <i r="1">
      <x v="145"/>
      <x v="327"/>
      <x v="542"/>
    </i>
    <i r="1">
      <x v="146"/>
      <x v="328"/>
      <x v="543"/>
    </i>
    <i r="1">
      <x v="147"/>
      <x v="330"/>
      <x v="544"/>
    </i>
    <i r="1">
      <x v="148"/>
      <x v="330"/>
      <x v="544"/>
    </i>
    <i r="1">
      <x v="149"/>
      <x v="331"/>
      <x v="545"/>
    </i>
    <i r="1">
      <x v="150"/>
      <x v="331"/>
      <x v="545"/>
    </i>
    <i r="1">
      <x v="151"/>
      <x v="332"/>
      <x v="546"/>
    </i>
    <i r="1">
      <x v="152"/>
      <x v="332"/>
      <x v="546"/>
    </i>
    <i r="1">
      <x v="153"/>
      <x v="333"/>
      <x v="485"/>
    </i>
    <i r="1">
      <x v="154"/>
      <x v="334"/>
      <x v="547"/>
    </i>
    <i r="1">
      <x v="155"/>
      <x v="334"/>
      <x v="547"/>
    </i>
    <i r="1">
      <x v="174"/>
      <x v="336"/>
      <x v="59"/>
    </i>
    <i r="1">
      <x v="175"/>
      <x v="336"/>
      <x v="59"/>
    </i>
    <i r="1">
      <x v="176"/>
      <x v="334"/>
      <x v="547"/>
    </i>
    <i r="1">
      <x v="177"/>
      <x v="338"/>
      <x v="548"/>
    </i>
    <i r="1">
      <x v="183"/>
      <x v="340"/>
      <x v="549"/>
    </i>
    <i r="1">
      <x v="184"/>
      <x v="343"/>
      <x v="50"/>
    </i>
    <i r="1">
      <x v="218"/>
      <x v="351"/>
      <x v="45"/>
    </i>
    <i r="1">
      <x v="219"/>
      <x v="352"/>
      <x v="43"/>
    </i>
    <i r="1">
      <x v="220"/>
      <x v="353"/>
      <x v="550"/>
    </i>
    <i r="1">
      <x v="225"/>
      <x v="354"/>
      <x v="39"/>
    </i>
    <i r="1">
      <x v="243"/>
      <x v="355"/>
      <x v="551"/>
    </i>
    <i r="1">
      <x v="244"/>
      <x v="355"/>
      <x v="551"/>
    </i>
    <i r="1">
      <x v="255"/>
      <x v="361"/>
      <x v="552"/>
    </i>
    <i r="1">
      <x v="256"/>
      <x v="361"/>
      <x v="552"/>
    </i>
    <i r="1">
      <x v="257"/>
      <x v="361"/>
      <x v="552"/>
    </i>
    <i r="1">
      <x v="260"/>
      <x v="362"/>
      <x v="553"/>
    </i>
    <i r="1">
      <x v="280"/>
      <x v="369"/>
      <x v="27"/>
    </i>
    <i r="1">
      <x v="282"/>
      <x v="372"/>
      <x v="554"/>
    </i>
    <i r="1">
      <x v="295"/>
      <x v="375"/>
      <x v="555"/>
    </i>
    <i r="1">
      <x v="296"/>
      <x v="375"/>
      <x v="555"/>
    </i>
    <i r="1">
      <x v="297"/>
      <x v="377"/>
      <x v="20"/>
    </i>
    <i r="1">
      <x v="301"/>
      <x v="378"/>
      <x v="19"/>
    </i>
    <i r="1">
      <x v="307"/>
      <x v="383"/>
      <x v="14"/>
    </i>
    <i r="1">
      <x v="348"/>
      <x v="386"/>
      <x v="556"/>
    </i>
    <i r="1">
      <x v="356"/>
      <x v="389"/>
      <x v="6"/>
    </i>
    <i r="1">
      <x v="358"/>
      <x v="390"/>
      <x v="557"/>
    </i>
    <i r="1">
      <x v="359"/>
      <x v="390"/>
      <x v="557"/>
    </i>
    <i r="1">
      <x v="360"/>
      <x v="392"/>
      <x v="3"/>
    </i>
    <i r="1">
      <x v="363"/>
      <x v="392"/>
      <x v="3"/>
    </i>
    <i r="1">
      <x v="751"/>
      <x v="206"/>
      <x v="459"/>
    </i>
    <i r="1">
      <x v="752"/>
      <x v="208"/>
      <x v="487"/>
    </i>
    <i r="1">
      <x v="753"/>
      <x v="209"/>
      <x v="488"/>
    </i>
    <i r="1">
      <x v="765"/>
      <x v="211"/>
      <x v="489"/>
    </i>
    <i r="1">
      <x v="766"/>
      <x v="211"/>
      <x v="489"/>
    </i>
    <i r="1">
      <x v="769"/>
      <x v="215"/>
      <x v="490"/>
    </i>
    <i r="1">
      <x v="770"/>
      <x v="216"/>
      <x v="460"/>
    </i>
    <i r="1">
      <x v="771"/>
      <x v="216"/>
      <x v="460"/>
    </i>
    <i r="1">
      <x v="784"/>
      <x v="218"/>
      <x v="491"/>
    </i>
    <i r="1">
      <x v="785"/>
      <x v="220"/>
      <x v="492"/>
    </i>
    <i r="1">
      <x v="786"/>
      <x v="220"/>
      <x v="492"/>
    </i>
    <i r="1">
      <x v="787"/>
      <x v="221"/>
      <x v="493"/>
    </i>
    <i r="1">
      <x v="798"/>
      <x v="223"/>
      <x v="171"/>
    </i>
    <i r="1">
      <x v="801"/>
      <x v="224"/>
      <x v="462"/>
    </i>
    <i r="1">
      <x v="802"/>
      <x v="225"/>
      <x v="494"/>
    </i>
    <i r="1">
      <x v="804"/>
      <x v="227"/>
      <x v="495"/>
    </i>
    <i r="1">
      <x v="805"/>
      <x v="230"/>
      <x v="496"/>
    </i>
    <i r="1">
      <x v="806"/>
      <x v="230"/>
      <x v="496"/>
    </i>
    <i r="1">
      <x v="822"/>
      <x v="232"/>
      <x v="497"/>
    </i>
    <i r="1">
      <x v="823"/>
      <x v="234"/>
      <x v="498"/>
    </i>
    <i r="1">
      <x v="824"/>
      <x v="234"/>
      <x v="498"/>
    </i>
    <i r="1">
      <x v="825"/>
      <x v="235"/>
      <x v="159"/>
    </i>
    <i r="1">
      <x v="826"/>
      <x v="236"/>
      <x v="499"/>
    </i>
    <i r="1">
      <x v="827"/>
      <x v="237"/>
      <x v="464"/>
    </i>
    <i r="1">
      <x v="841"/>
      <x v="238"/>
      <x v="500"/>
    </i>
    <i r="1">
      <x v="842"/>
      <x v="230"/>
      <x v="496"/>
    </i>
    <i r="1">
      <x v="843"/>
      <x v="239"/>
      <x v="501"/>
    </i>
    <i r="1">
      <x v="844"/>
      <x v="240"/>
      <x v="154"/>
    </i>
    <i r="1">
      <x v="845"/>
      <x v="240"/>
      <x v="154"/>
    </i>
    <i r="1">
      <x v="846"/>
      <x v="240"/>
      <x v="154"/>
    </i>
    <i r="1">
      <x v="847"/>
      <x v="242"/>
      <x v="502"/>
    </i>
    <i r="1">
      <x v="861"/>
      <x v="244"/>
      <x v="503"/>
    </i>
    <i r="1">
      <x v="862"/>
      <x v="245"/>
      <x v="504"/>
    </i>
    <i r="1">
      <x v="863"/>
      <x v="246"/>
      <x v="505"/>
    </i>
    <i r="1">
      <x v="864"/>
      <x v="247"/>
      <x v="506"/>
    </i>
    <i r="1">
      <x v="865"/>
      <x v="248"/>
      <x v="507"/>
    </i>
    <i r="1">
      <x v="866"/>
      <x v="248"/>
      <x v="507"/>
    </i>
    <i r="1">
      <x v="867"/>
      <x v="249"/>
      <x v="508"/>
    </i>
    <i r="1">
      <x v="868"/>
      <x v="249"/>
      <x v="508"/>
    </i>
    <i r="1">
      <x v="869"/>
      <x v="250"/>
      <x v="509"/>
    </i>
    <i r="1">
      <x v="870"/>
      <x v="251"/>
      <x v="510"/>
    </i>
    <i r="1">
      <x v="875"/>
      <x v="253"/>
      <x v="511"/>
    </i>
    <i r="1">
      <x v="892"/>
      <x v="257"/>
      <x v="512"/>
    </i>
    <i r="1">
      <x v="893"/>
      <x v="257"/>
      <x v="512"/>
    </i>
    <i r="1">
      <x v="894"/>
      <x v="258"/>
      <x v="138"/>
    </i>
    <i r="1">
      <x v="899"/>
      <x v="260"/>
      <x v="513"/>
    </i>
    <i r="1">
      <x v="910"/>
      <x v="262"/>
      <x v="514"/>
    </i>
    <i r="1">
      <x v="912"/>
      <x v="262"/>
      <x v="514"/>
    </i>
    <i r="1">
      <x v="913"/>
      <x v="263"/>
      <x v="130"/>
    </i>
    <i r="1">
      <x v="914"/>
      <x v="265"/>
      <x v="515"/>
    </i>
    <i r="1">
      <x v="915"/>
      <x v="267"/>
      <x v="516"/>
    </i>
    <i r="1">
      <x v="927"/>
      <x v="272"/>
      <x v="517"/>
    </i>
    <i r="1">
      <x v="928"/>
      <x v="272"/>
      <x v="517"/>
    </i>
    <i r="1">
      <x v="938"/>
      <x v="274"/>
      <x v="518"/>
    </i>
    <i r="1">
      <x v="939"/>
      <x v="274"/>
      <x v="518"/>
    </i>
    <i r="1">
      <x v="941"/>
      <x v="276"/>
      <x v="469"/>
    </i>
    <i r="1">
      <x v="942"/>
      <x v="276"/>
      <x v="469"/>
    </i>
    <i r="1">
      <x v="944"/>
      <x v="278"/>
      <x v="115"/>
    </i>
    <i r="1">
      <x v="946"/>
      <x v="279"/>
      <x v="519"/>
    </i>
    <i r="1">
      <x v="954"/>
      <x v="281"/>
      <x v="520"/>
    </i>
    <i t="default">
      <x v="40"/>
    </i>
    <i>
      <x v="41"/>
      <x v="605"/>
      <x v="134"/>
      <x v="691"/>
    </i>
    <i t="default">
      <x v="41"/>
    </i>
    <i>
      <x v="42"/>
      <x v="199"/>
      <x v="366"/>
      <x v="599"/>
    </i>
    <i t="default">
      <x v="42"/>
    </i>
    <i>
      <x v="43"/>
      <x v="328"/>
      <x v="384"/>
      <x v="11"/>
    </i>
    <i t="default">
      <x v="43"/>
    </i>
    <i>
      <x v="44"/>
      <x v="64"/>
      <x v="303"/>
      <x v="474"/>
    </i>
    <i r="1">
      <x v="80"/>
      <x v="308"/>
      <x v="475"/>
    </i>
    <i r="1">
      <x v="106"/>
      <x v="315"/>
      <x v="476"/>
    </i>
    <i r="1">
      <x v="135"/>
      <x v="325"/>
      <x v="477"/>
    </i>
    <i r="1">
      <x v="167"/>
      <x v="335"/>
      <x v="478"/>
    </i>
    <i r="1">
      <x v="186"/>
      <x v="344"/>
      <x v="479"/>
    </i>
    <i r="1">
      <x v="233"/>
      <x v="354"/>
      <x v="39"/>
    </i>
    <i r="1">
      <x v="267"/>
      <x v="364"/>
      <x v="481"/>
    </i>
    <i r="1">
      <x v="319"/>
      <x v="384"/>
      <x v="11"/>
    </i>
    <i t="default">
      <x v="44"/>
    </i>
    <i>
      <x v="45"/>
      <x v="599"/>
      <x v="129"/>
      <x v="559"/>
    </i>
    <i t="default">
      <x v="45"/>
    </i>
    <i>
      <x v="46"/>
      <x v="180"/>
      <x v="339"/>
      <x v="54"/>
    </i>
    <i r="1">
      <x v="821"/>
      <x v="231"/>
      <x v="463"/>
    </i>
    <i t="default">
      <x v="46"/>
    </i>
    <i>
      <x v="47"/>
      <x v="783"/>
      <x v="217"/>
      <x v="694"/>
    </i>
    <i t="default">
      <x v="47"/>
    </i>
    <i>
      <x v="48"/>
      <x v="200"/>
      <x v="344"/>
      <x v="479"/>
    </i>
    <i r="1">
      <x v="232"/>
      <x v="354"/>
      <x v="39"/>
    </i>
    <i r="1">
      <x v="266"/>
      <x v="364"/>
      <x v="481"/>
    </i>
    <i r="1">
      <x v="326"/>
      <x v="384"/>
      <x v="11"/>
    </i>
    <i t="default">
      <x v="48"/>
    </i>
    <i>
      <x v="49"/>
      <x v="351"/>
      <x v="387"/>
      <x v="7"/>
    </i>
    <i t="default">
      <x v="49"/>
    </i>
    <i>
      <x v="50"/>
      <x v="20"/>
      <x v="292"/>
      <x v="472"/>
    </i>
    <i r="1">
      <x v="29"/>
      <x v="292"/>
      <x v="472"/>
    </i>
    <i r="1">
      <x v="31"/>
      <x v="292"/>
      <x v="472"/>
    </i>
    <i r="1">
      <x v="39"/>
      <x v="300"/>
      <x v="473"/>
    </i>
    <i r="1">
      <x v="49"/>
      <x v="300"/>
      <x v="473"/>
    </i>
    <i r="1">
      <x v="51"/>
      <x v="300"/>
      <x v="473"/>
    </i>
    <i r="1">
      <x v="57"/>
      <x v="303"/>
      <x v="474"/>
    </i>
    <i r="1">
      <x v="65"/>
      <x v="303"/>
      <x v="474"/>
    </i>
    <i r="1">
      <x v="69"/>
      <x v="303"/>
      <x v="474"/>
    </i>
    <i r="1">
      <x v="74"/>
      <x v="308"/>
      <x v="475"/>
    </i>
    <i r="1">
      <x v="75"/>
      <x v="308"/>
      <x v="475"/>
    </i>
    <i r="1">
      <x v="86"/>
      <x v="308"/>
      <x v="475"/>
    </i>
    <i r="1">
      <x v="97"/>
      <x v="315"/>
      <x v="476"/>
    </i>
    <i r="1">
      <x v="107"/>
      <x v="315"/>
      <x v="476"/>
    </i>
    <i r="1">
      <x v="112"/>
      <x v="315"/>
      <x v="476"/>
    </i>
    <i r="1">
      <x v="127"/>
      <x v="325"/>
      <x v="477"/>
    </i>
    <i r="1">
      <x v="136"/>
      <x v="325"/>
      <x v="477"/>
    </i>
    <i r="1">
      <x v="140"/>
      <x v="325"/>
      <x v="477"/>
    </i>
    <i r="1">
      <x v="157"/>
      <x v="335"/>
      <x v="478"/>
    </i>
    <i r="1">
      <x v="169"/>
      <x v="335"/>
      <x v="478"/>
    </i>
    <i r="1">
      <x v="172"/>
      <x v="335"/>
      <x v="478"/>
    </i>
    <i r="1">
      <x v="188"/>
      <x v="344"/>
      <x v="479"/>
    </i>
    <i r="1">
      <x v="240"/>
      <x v="354"/>
      <x v="39"/>
    </i>
    <i r="1">
      <x v="274"/>
      <x v="364"/>
      <x v="481"/>
    </i>
    <i r="1">
      <x v="276"/>
      <x v="367"/>
      <x v="28"/>
    </i>
    <i r="1">
      <x v="277"/>
      <x v="367"/>
      <x v="28"/>
    </i>
    <i r="1">
      <x v="288"/>
      <x v="374"/>
      <x v="21"/>
    </i>
    <i r="1">
      <x v="313"/>
      <x v="384"/>
      <x v="11"/>
    </i>
    <i r="1">
      <x v="350"/>
      <x v="387"/>
      <x v="7"/>
    </i>
    <i r="1">
      <x v="353"/>
      <x v="388"/>
      <x v="684"/>
    </i>
    <i r="1">
      <x v="354"/>
      <x v="388"/>
      <x v="684"/>
    </i>
    <i r="1">
      <x v="355"/>
      <x v="388"/>
      <x v="684"/>
    </i>
    <i r="1">
      <x v="748"/>
      <x v="204"/>
      <x v="682"/>
    </i>
    <i r="1">
      <x v="754"/>
      <x v="210"/>
      <x v="183"/>
    </i>
    <i r="1">
      <x v="756"/>
      <x v="210"/>
      <x v="183"/>
    </i>
    <i r="1">
      <x v="762"/>
      <x v="210"/>
      <x v="183"/>
    </i>
    <i r="1">
      <x v="763"/>
      <x v="210"/>
      <x v="183"/>
    </i>
    <i r="1">
      <x v="772"/>
      <x v="216"/>
      <x v="460"/>
    </i>
    <i r="1">
      <x v="774"/>
      <x v="216"/>
      <x v="460"/>
    </i>
    <i r="1">
      <x v="778"/>
      <x v="216"/>
      <x v="460"/>
    </i>
    <i r="1">
      <x v="779"/>
      <x v="216"/>
      <x v="460"/>
    </i>
    <i r="1">
      <x v="788"/>
      <x v="222"/>
      <x v="461"/>
    </i>
    <i r="1">
      <x v="790"/>
      <x v="222"/>
      <x v="461"/>
    </i>
    <i r="1">
      <x v="795"/>
      <x v="222"/>
      <x v="461"/>
    </i>
    <i r="1">
      <x v="796"/>
      <x v="222"/>
      <x v="461"/>
    </i>
    <i r="1">
      <x v="809"/>
      <x v="231"/>
      <x v="463"/>
    </i>
    <i r="1">
      <x v="811"/>
      <x v="231"/>
      <x v="463"/>
    </i>
    <i r="1">
      <x v="817"/>
      <x v="231"/>
      <x v="463"/>
    </i>
    <i r="1">
      <x v="818"/>
      <x v="231"/>
      <x v="463"/>
    </i>
    <i r="1">
      <x v="828"/>
      <x v="237"/>
      <x v="464"/>
    </i>
    <i r="1">
      <x v="830"/>
      <x v="237"/>
      <x v="464"/>
    </i>
    <i r="1">
      <x v="839"/>
      <x v="237"/>
      <x v="464"/>
    </i>
    <i r="1">
      <x v="840"/>
      <x v="237"/>
      <x v="464"/>
    </i>
    <i r="1">
      <x v="848"/>
      <x v="243"/>
      <x v="465"/>
    </i>
    <i r="1">
      <x v="850"/>
      <x v="243"/>
      <x v="465"/>
    </i>
    <i r="1">
      <x v="858"/>
      <x v="243"/>
      <x v="465"/>
    </i>
    <i r="1">
      <x v="859"/>
      <x v="243"/>
      <x v="465"/>
    </i>
    <i r="1">
      <x v="876"/>
      <x v="254"/>
      <x v="466"/>
    </i>
    <i r="1">
      <x v="877"/>
      <x v="254"/>
      <x v="466"/>
    </i>
    <i r="1">
      <x v="888"/>
      <x v="255"/>
      <x v="683"/>
    </i>
    <i r="1">
      <x v="889"/>
      <x v="255"/>
      <x v="683"/>
    </i>
    <i r="1">
      <x v="900"/>
      <x v="261"/>
      <x v="467"/>
    </i>
    <i r="1">
      <x v="904"/>
      <x v="261"/>
      <x v="467"/>
    </i>
    <i r="1">
      <x v="907"/>
      <x v="261"/>
      <x v="467"/>
    </i>
    <i r="1">
      <x v="932"/>
      <x v="272"/>
      <x v="517"/>
    </i>
    <i t="default">
      <x v="50"/>
    </i>
    <i>
      <x v="51"/>
      <x v="221"/>
      <x v="348"/>
      <x v="48"/>
    </i>
    <i r="1">
      <x v="222"/>
      <x v="347"/>
      <x v="480"/>
    </i>
    <i r="1">
      <x v="223"/>
      <x v="350"/>
      <x v="629"/>
    </i>
    <i r="1">
      <x v="224"/>
      <x v="354"/>
      <x v="39"/>
    </i>
    <i r="1">
      <x v="250"/>
      <x v="353"/>
      <x v="550"/>
    </i>
    <i r="1">
      <x v="251"/>
      <x v="358"/>
      <x v="716"/>
    </i>
    <i r="1">
      <x v="252"/>
      <x v="353"/>
      <x v="550"/>
    </i>
    <i r="1">
      <x v="253"/>
      <x v="353"/>
      <x v="550"/>
    </i>
    <i t="default">
      <x v="51"/>
    </i>
    <i>
      <x v="52"/>
      <x v="160"/>
      <x v="335"/>
      <x v="478"/>
    </i>
    <i r="1">
      <x v="314"/>
      <x v="384"/>
      <x v="11"/>
    </i>
    <i r="1">
      <x v="316"/>
      <x v="384"/>
      <x v="11"/>
    </i>
    <i t="default">
      <x v="52"/>
    </i>
    <i>
      <x v="53"/>
      <x v="182"/>
      <x v="339"/>
      <x v="54"/>
    </i>
    <i t="default">
      <x v="53"/>
    </i>
    <i>
      <x v="54"/>
      <x v="380"/>
      <x v="48"/>
      <x v="401"/>
    </i>
    <i r="1">
      <x v="395"/>
      <x v="48"/>
      <x v="401"/>
    </i>
    <i r="1">
      <x v="408"/>
      <x v="52"/>
      <x v="402"/>
    </i>
    <i r="1">
      <x v="423"/>
      <x v="55"/>
      <x v="403"/>
    </i>
    <i r="1">
      <x v="442"/>
      <x v="63"/>
      <x v="331"/>
    </i>
    <i r="1">
      <x v="448"/>
      <x v="65"/>
      <x v="405"/>
    </i>
    <i r="1">
      <x v="455"/>
      <x v="67"/>
      <x v="406"/>
    </i>
    <i r="1">
      <x v="463"/>
      <x v="69"/>
      <x v="407"/>
    </i>
    <i r="1">
      <x v="470"/>
      <x v="71"/>
      <x v="408"/>
    </i>
    <i r="1">
      <x v="479"/>
      <x v="74"/>
      <x v="409"/>
    </i>
    <i r="1">
      <x v="490"/>
      <x v="76"/>
      <x v="410"/>
    </i>
    <i r="1">
      <x v="499"/>
      <x v="79"/>
      <x v="411"/>
    </i>
    <i r="1">
      <x v="517"/>
      <x v="82"/>
      <x v="412"/>
    </i>
    <i r="1">
      <x v="525"/>
      <x v="85"/>
      <x v="413"/>
    </i>
    <i r="1">
      <x v="529"/>
      <x v="87"/>
      <x v="569"/>
    </i>
    <i r="1">
      <x v="532"/>
      <x v="88"/>
      <x v="414"/>
    </i>
    <i r="1">
      <x v="539"/>
      <x v="89"/>
      <x v="570"/>
    </i>
    <i r="1">
      <x v="1034"/>
      <x v="39"/>
      <x v="397"/>
    </i>
    <i r="1">
      <x v="1047"/>
      <x v="40"/>
      <x v="568"/>
    </i>
    <i t="default">
      <x v="54"/>
    </i>
    <i>
      <x v="55"/>
      <x v="289"/>
      <x v="374"/>
      <x v="21"/>
    </i>
    <i r="1">
      <x v="933"/>
      <x v="272"/>
      <x v="517"/>
    </i>
    <i t="default">
      <x v="55"/>
    </i>
    <i>
      <x v="56"/>
      <x v="381"/>
      <x v="48"/>
      <x v="401"/>
    </i>
    <i r="1">
      <x v="394"/>
      <x v="48"/>
      <x v="401"/>
    </i>
    <i r="1">
      <x v="407"/>
      <x v="52"/>
      <x v="402"/>
    </i>
    <i r="1">
      <x v="422"/>
      <x v="55"/>
      <x v="403"/>
    </i>
    <i r="1">
      <x v="441"/>
      <x v="63"/>
      <x v="331"/>
    </i>
    <i r="1">
      <x v="447"/>
      <x v="65"/>
      <x v="405"/>
    </i>
    <i r="1">
      <x v="454"/>
      <x v="67"/>
      <x v="406"/>
    </i>
    <i r="1">
      <x v="462"/>
      <x v="69"/>
      <x v="407"/>
    </i>
    <i r="1">
      <x v="469"/>
      <x v="71"/>
      <x v="408"/>
    </i>
    <i r="1">
      <x v="478"/>
      <x v="74"/>
      <x v="409"/>
    </i>
    <i r="1">
      <x v="489"/>
      <x v="76"/>
      <x v="410"/>
    </i>
    <i r="1">
      <x v="501"/>
      <x v="79"/>
      <x v="411"/>
    </i>
    <i r="1">
      <x v="518"/>
      <x v="82"/>
      <x v="412"/>
    </i>
    <i r="1">
      <x v="591"/>
      <x v="123"/>
      <x v="649"/>
    </i>
    <i r="1">
      <x v="982"/>
      <x v="19"/>
      <x v="633"/>
    </i>
    <i r="1">
      <x v="986"/>
      <x v="20"/>
      <x v="634"/>
    </i>
    <i r="1">
      <x v="989"/>
      <x v="21"/>
      <x v="635"/>
    </i>
    <i r="1">
      <x v="993"/>
      <x v="22"/>
      <x v="636"/>
    </i>
    <i r="1">
      <x v="996"/>
      <x v="23"/>
      <x v="637"/>
    </i>
    <i r="1">
      <x v="999"/>
      <x v="26"/>
      <x v="638"/>
    </i>
    <i r="1">
      <x v="1005"/>
      <x v="28"/>
      <x v="584"/>
    </i>
    <i r="1">
      <x v="1009"/>
      <x v="29"/>
      <x v="639"/>
    </i>
    <i r="1">
      <x v="1019"/>
      <x v="34"/>
      <x v="640"/>
    </i>
    <i r="1">
      <x v="1026"/>
      <x v="36"/>
      <x v="641"/>
    </i>
    <i r="1">
      <x v="1030"/>
      <x v="39"/>
      <x v="397"/>
    </i>
    <i r="1">
      <x v="1043"/>
      <x v="40"/>
      <x v="568"/>
    </i>
    <i t="default">
      <x v="56"/>
    </i>
    <i>
      <x v="57"/>
      <x v="966"/>
      <x v="10"/>
      <x v="666"/>
    </i>
    <i t="default">
      <x v="57"/>
    </i>
    <i>
      <x v="58"/>
      <x v="382"/>
      <x v="46"/>
      <x v="589"/>
    </i>
    <i r="1">
      <x v="392"/>
      <x v="46"/>
      <x v="589"/>
    </i>
    <i r="1">
      <x v="399"/>
      <x v="47"/>
      <x v="590"/>
    </i>
    <i r="1">
      <x v="405"/>
      <x v="49"/>
      <x v="591"/>
    </i>
    <i r="1">
      <x v="414"/>
      <x v="53"/>
      <x v="592"/>
    </i>
    <i r="1">
      <x v="421"/>
      <x v="54"/>
      <x v="339"/>
    </i>
    <i r="1">
      <x v="430"/>
      <x v="56"/>
      <x v="593"/>
    </i>
    <i r="1">
      <x v="440"/>
      <x v="59"/>
      <x v="335"/>
    </i>
    <i r="1">
      <x v="446"/>
      <x v="64"/>
      <x v="594"/>
    </i>
    <i r="1">
      <x v="451"/>
      <x v="66"/>
      <x v="595"/>
    </i>
    <i r="1">
      <x v="459"/>
      <x v="68"/>
      <x v="596"/>
    </i>
    <i r="1">
      <x v="468"/>
      <x v="70"/>
      <x v="597"/>
    </i>
    <i r="1">
      <x v="476"/>
      <x v="73"/>
      <x v="572"/>
    </i>
    <i r="1">
      <x v="483"/>
      <x v="73"/>
      <x v="572"/>
    </i>
    <i r="1">
      <x v="486"/>
      <x v="75"/>
      <x v="573"/>
    </i>
    <i r="1">
      <x v="508"/>
      <x v="77"/>
      <x v="574"/>
    </i>
    <i r="1">
      <x v="1000"/>
      <x v="24"/>
      <x v="582"/>
    </i>
    <i r="1">
      <x v="1006"/>
      <x v="25"/>
      <x v="583"/>
    </i>
    <i r="1">
      <x v="1010"/>
      <x v="28"/>
      <x v="584"/>
    </i>
    <i r="1">
      <x v="1016"/>
      <x v="31"/>
      <x v="585"/>
    </i>
    <i r="1">
      <x v="1028"/>
      <x v="33"/>
      <x v="586"/>
    </i>
    <i r="1">
      <x v="1031"/>
      <x v="37"/>
      <x v="587"/>
    </i>
    <i r="1">
      <x v="1044"/>
      <x v="38"/>
      <x v="588"/>
    </i>
    <i t="default">
      <x v="58"/>
    </i>
    <i>
      <x v="59"/>
      <x v="170"/>
      <x v="335"/>
      <x v="478"/>
    </i>
    <i r="1">
      <x v="201"/>
      <x v="344"/>
      <x v="479"/>
    </i>
    <i r="1">
      <x v="231"/>
      <x v="354"/>
      <x v="39"/>
    </i>
    <i r="1">
      <x v="265"/>
      <x v="364"/>
      <x v="481"/>
    </i>
    <i r="1">
      <x v="324"/>
      <x v="384"/>
      <x v="11"/>
    </i>
    <i t="default">
      <x v="59"/>
    </i>
    <i>
      <x v="60"/>
      <x v="434"/>
      <x v="61"/>
      <x v="690"/>
    </i>
    <i t="default">
      <x v="60"/>
    </i>
    <i>
      <x v="61"/>
      <x v="383"/>
      <x v="48"/>
      <x v="401"/>
    </i>
    <i r="1">
      <x v="389"/>
      <x v="48"/>
      <x v="401"/>
    </i>
    <i r="1">
      <x v="401"/>
      <x v="52"/>
      <x v="402"/>
    </i>
    <i r="1">
      <x v="418"/>
      <x v="55"/>
      <x v="403"/>
    </i>
    <i r="1">
      <x v="425"/>
      <x v="60"/>
      <x v="673"/>
    </i>
    <i r="1">
      <x v="1033"/>
      <x v="37"/>
      <x v="587"/>
    </i>
    <i r="1">
      <x v="1046"/>
      <x v="38"/>
      <x v="588"/>
    </i>
    <i r="1">
      <x v="1057"/>
      <x v="44"/>
      <x v="400"/>
    </i>
    <i t="default">
      <x v="61"/>
    </i>
    <i>
      <x v="62"/>
      <x v="337"/>
      <x v="384"/>
      <x v="11"/>
    </i>
    <i t="default">
      <x v="62"/>
    </i>
    <i>
      <x v="63"/>
      <x v="336"/>
      <x v="384"/>
      <x v="11"/>
    </i>
    <i t="default">
      <x v="63"/>
    </i>
    <i>
      <x v="64"/>
      <x v="384"/>
      <x v="48"/>
      <x v="401"/>
    </i>
    <i r="1">
      <x v="393"/>
      <x v="48"/>
      <x v="401"/>
    </i>
    <i r="1">
      <x v="406"/>
      <x v="52"/>
      <x v="402"/>
    </i>
    <i r="1">
      <x v="420"/>
      <x v="55"/>
      <x v="403"/>
    </i>
    <i r="1">
      <x v="439"/>
      <x v="63"/>
      <x v="331"/>
    </i>
    <i r="1">
      <x v="444"/>
      <x v="65"/>
      <x v="405"/>
    </i>
    <i r="1">
      <x v="453"/>
      <x v="67"/>
      <x v="406"/>
    </i>
    <i r="1">
      <x v="461"/>
      <x v="69"/>
      <x v="407"/>
    </i>
    <i r="1">
      <x v="467"/>
      <x v="71"/>
      <x v="408"/>
    </i>
    <i r="1">
      <x v="477"/>
      <x v="74"/>
      <x v="409"/>
    </i>
    <i r="1">
      <x v="488"/>
      <x v="76"/>
      <x v="410"/>
    </i>
    <i r="1">
      <x v="505"/>
      <x v="79"/>
      <x v="411"/>
    </i>
    <i r="1">
      <x v="519"/>
      <x v="82"/>
      <x v="412"/>
    </i>
    <i r="1">
      <x v="526"/>
      <x v="85"/>
      <x v="413"/>
    </i>
    <i r="1">
      <x v="533"/>
      <x v="88"/>
      <x v="414"/>
    </i>
    <i r="1">
      <x v="541"/>
      <x v="90"/>
      <x v="654"/>
    </i>
    <i r="1">
      <x v="543"/>
      <x v="92"/>
      <x v="416"/>
    </i>
    <i r="1">
      <x v="545"/>
      <x v="93"/>
      <x v="417"/>
    </i>
    <i r="1">
      <x v="548"/>
      <x v="96"/>
      <x v="418"/>
    </i>
    <i r="1">
      <x v="553"/>
      <x v="98"/>
      <x v="419"/>
    </i>
    <i r="1">
      <x v="557"/>
      <x v="100"/>
      <x v="420"/>
    </i>
    <i r="1">
      <x v="559"/>
      <x v="102"/>
      <x v="421"/>
    </i>
    <i r="1">
      <x v="564"/>
      <x v="105"/>
      <x v="423"/>
    </i>
    <i r="1">
      <x v="567"/>
      <x v="107"/>
      <x v="424"/>
    </i>
    <i r="1">
      <x v="572"/>
      <x v="110"/>
      <x v="425"/>
    </i>
    <i r="1">
      <x v="1011"/>
      <x v="28"/>
      <x v="584"/>
    </i>
    <i r="1">
      <x v="1017"/>
      <x v="34"/>
      <x v="640"/>
    </i>
    <i r="1">
      <x v="1027"/>
      <x v="36"/>
      <x v="641"/>
    </i>
    <i r="1">
      <x v="1032"/>
      <x v="39"/>
      <x v="397"/>
    </i>
    <i r="1">
      <x v="1045"/>
      <x v="40"/>
      <x v="568"/>
    </i>
    <i t="default">
      <x v="64"/>
    </i>
    <i>
      <x v="65"/>
      <x/>
      <x v="321"/>
      <x v="558"/>
    </i>
    <i t="default">
      <x v="65"/>
    </i>
    <i>
      <x v="66"/>
      <x v="108"/>
      <x v="337"/>
      <x v="598"/>
    </i>
    <i r="1">
      <x v="202"/>
      <x v="366"/>
      <x v="599"/>
    </i>
    <i t="default">
      <x v="66"/>
    </i>
    <i>
      <x v="67"/>
      <x v="245"/>
      <x v="355"/>
      <x v="551"/>
    </i>
    <i t="default">
      <x v="67"/>
    </i>
    <i>
      <x v="68"/>
      <x v="304"/>
      <x v="381"/>
      <x v="16"/>
    </i>
    <i r="1">
      <x v="345"/>
      <x v="384"/>
      <x v="11"/>
    </i>
    <i r="1">
      <x v="346"/>
      <x v="385"/>
      <x v="10"/>
    </i>
    <i r="1">
      <x v="575"/>
      <x v="110"/>
      <x v="425"/>
    </i>
    <i t="default">
      <x v="68"/>
    </i>
    <i>
      <x v="69"/>
      <x v="327"/>
      <x v="384"/>
      <x v="11"/>
    </i>
    <i r="1">
      <x v="343"/>
      <x v="384"/>
      <x v="11"/>
    </i>
    <i t="default">
      <x v="69"/>
    </i>
    <i>
      <x v="70"/>
      <x v="290"/>
      <x v="374"/>
      <x v="21"/>
    </i>
    <i r="1">
      <x v="303"/>
      <x v="380"/>
      <x v="17"/>
    </i>
    <i r="1">
      <x v="528"/>
      <x v="86"/>
      <x v="307"/>
    </i>
    <i t="default">
      <x v="70"/>
    </i>
    <i>
      <x v="71"/>
      <x v="90"/>
      <x v="309"/>
      <x v="533"/>
    </i>
    <i r="1">
      <x v="91"/>
      <x v="309"/>
      <x v="533"/>
    </i>
    <i r="1">
      <x v="895"/>
      <x v="259"/>
      <x v="134"/>
    </i>
    <i r="1">
      <x v="896"/>
      <x v="259"/>
      <x v="134"/>
    </i>
    <i r="1">
      <x v="897"/>
      <x v="259"/>
      <x v="134"/>
    </i>
    <i r="1">
      <x v="898"/>
      <x v="259"/>
      <x v="134"/>
    </i>
    <i t="default">
      <x v="71"/>
    </i>
    <i>
      <x v="72"/>
      <x v="361"/>
      <x v="392"/>
      <x v="3"/>
    </i>
    <i t="default">
      <x v="72"/>
    </i>
    <i>
      <x v="73"/>
      <x v="498"/>
      <x v="78"/>
      <x v="652"/>
    </i>
    <i r="1">
      <x v="970"/>
      <x v="12"/>
      <x v="650"/>
    </i>
    <i r="1">
      <x v="971"/>
      <x v="12"/>
      <x v="650"/>
    </i>
    <i r="1">
      <x v="974"/>
      <x v="14"/>
      <x v="651"/>
    </i>
    <i r="1">
      <x v="1002"/>
      <x v="27"/>
      <x v="366"/>
    </i>
    <i t="default">
      <x v="73"/>
    </i>
    <i>
      <x v="74"/>
      <x v="1012"/>
      <x v="30"/>
      <x v="670"/>
    </i>
    <i t="default">
      <x v="74"/>
    </i>
    <i>
      <x v="75"/>
      <x v="124"/>
      <x v="323"/>
      <x v="71"/>
    </i>
    <i t="default">
      <x v="75"/>
    </i>
    <i>
      <x v="76"/>
      <x v="5"/>
      <x v="282"/>
      <x v="622"/>
    </i>
    <i r="1">
      <x v="25"/>
      <x v="289"/>
      <x v="623"/>
    </i>
    <i r="1">
      <x v="41"/>
      <x v="294"/>
      <x v="624"/>
    </i>
    <i r="1">
      <x v="66"/>
      <x v="302"/>
      <x v="625"/>
    </i>
    <i r="1">
      <x v="81"/>
      <x v="307"/>
      <x v="626"/>
    </i>
    <i r="1">
      <x v="109"/>
      <x v="313"/>
      <x v="627"/>
    </i>
    <i r="1">
      <x v="137"/>
      <x v="320"/>
      <x v="628"/>
    </i>
    <i r="1">
      <x v="158"/>
      <x v="329"/>
      <x v="64"/>
    </i>
    <i r="1">
      <x v="203"/>
      <x v="341"/>
      <x v="564"/>
    </i>
    <i r="1">
      <x v="230"/>
      <x v="350"/>
      <x v="629"/>
    </i>
    <i r="1">
      <x v="264"/>
      <x v="359"/>
      <x v="36"/>
    </i>
    <i r="1">
      <x v="349"/>
      <x v="376"/>
      <x v="644"/>
    </i>
    <i r="1">
      <x v="367"/>
      <x v="391"/>
      <x v="4"/>
    </i>
    <i r="1">
      <x v="934"/>
      <x v="269"/>
      <x v="643"/>
    </i>
    <i r="1">
      <x v="953"/>
      <x v="275"/>
      <x v="621"/>
    </i>
    <i t="default">
      <x v="76"/>
    </i>
    <i>
      <x v="77"/>
      <x v="638"/>
      <x v="160"/>
      <x v="679"/>
    </i>
    <i t="default">
      <x v="77"/>
    </i>
    <i>
      <x v="78"/>
      <x v="549"/>
      <x v="95"/>
      <x v="698"/>
    </i>
    <i r="1">
      <x v="552"/>
      <x v="97"/>
      <x v="699"/>
    </i>
    <i r="1">
      <x v="556"/>
      <x v="99"/>
      <x v="700"/>
    </i>
    <i r="1">
      <x v="560"/>
      <x v="101"/>
      <x v="292"/>
    </i>
    <i r="1">
      <x v="565"/>
      <x v="104"/>
      <x v="701"/>
    </i>
    <i r="1">
      <x v="568"/>
      <x v="106"/>
      <x v="702"/>
    </i>
    <i r="1">
      <x v="571"/>
      <x v="109"/>
      <x v="703"/>
    </i>
    <i r="1">
      <x v="576"/>
      <x v="111"/>
      <x v="704"/>
    </i>
    <i r="1">
      <x v="578"/>
      <x v="113"/>
      <x v="705"/>
    </i>
    <i r="1">
      <x v="580"/>
      <x v="115"/>
      <x v="706"/>
    </i>
    <i r="1">
      <x v="583"/>
      <x v="117"/>
      <x v="707"/>
    </i>
    <i r="1">
      <x v="585"/>
      <x v="119"/>
      <x v="708"/>
    </i>
    <i r="1">
      <x v="593"/>
      <x v="124"/>
      <x v="270"/>
    </i>
    <i r="1">
      <x v="596"/>
      <x v="126"/>
      <x v="709"/>
    </i>
    <i r="1">
      <x v="600"/>
      <x v="129"/>
      <x v="559"/>
    </i>
    <i r="1">
      <x v="602"/>
      <x v="131"/>
      <x v="710"/>
    </i>
    <i r="1">
      <x v="607"/>
      <x v="136"/>
      <x v="711"/>
    </i>
    <i r="1">
      <x v="614"/>
      <x v="139"/>
      <x v="712"/>
    </i>
    <i r="1">
      <x v="616"/>
      <x v="143"/>
      <x v="601"/>
    </i>
    <i r="1">
      <x v="621"/>
      <x v="147"/>
      <x v="246"/>
    </i>
    <i r="1">
      <x v="625"/>
      <x v="148"/>
      <x v="713"/>
    </i>
    <i r="1">
      <x v="627"/>
      <x v="151"/>
      <x v="602"/>
    </i>
    <i r="1">
      <x v="630"/>
      <x v="153"/>
      <x v="240"/>
    </i>
    <i r="1">
      <x v="633"/>
      <x v="154"/>
      <x v="603"/>
    </i>
    <i r="1">
      <x v="641"/>
      <x v="159"/>
      <x v="604"/>
    </i>
    <i r="1">
      <x v="648"/>
      <x v="163"/>
      <x v="578"/>
    </i>
    <i r="1">
      <x v="658"/>
      <x v="166"/>
      <x v="579"/>
    </i>
    <i r="1">
      <x v="666"/>
      <x v="169"/>
      <x v="581"/>
    </i>
    <i r="1">
      <x v="672"/>
      <x v="172"/>
      <x v="605"/>
    </i>
    <i r="1">
      <x v="678"/>
      <x v="173"/>
      <x v="714"/>
    </i>
    <i r="1">
      <x v="679"/>
      <x v="175"/>
      <x v="606"/>
    </i>
    <i r="1">
      <x v="687"/>
      <x v="177"/>
      <x v="607"/>
    </i>
    <i r="1">
      <x v="693"/>
      <x v="179"/>
      <x v="608"/>
    </i>
    <i r="1">
      <x v="730"/>
      <x v="193"/>
      <x v="715"/>
    </i>
    <i r="1">
      <x v="731"/>
      <x v="193"/>
      <x v="715"/>
    </i>
    <i t="default">
      <x v="78"/>
    </i>
    <i>
      <x v="79"/>
      <x v="644"/>
      <x v="159"/>
      <x v="604"/>
    </i>
    <i r="1">
      <x v="699"/>
      <x v="181"/>
      <x v="609"/>
    </i>
    <i r="1">
      <x v="710"/>
      <x v="184"/>
      <x v="610"/>
    </i>
    <i r="1">
      <x v="716"/>
      <x v="188"/>
      <x v="611"/>
    </i>
    <i r="1">
      <x v="722"/>
      <x v="192"/>
      <x v="612"/>
    </i>
    <i r="1">
      <x v="733"/>
      <x v="195"/>
      <x v="667"/>
    </i>
    <i t="default">
      <x v="79"/>
    </i>
    <i>
      <x v="80"/>
      <x v="757"/>
      <x v="207"/>
      <x v="614"/>
    </i>
    <i r="1">
      <x v="775"/>
      <x v="214"/>
      <x v="615"/>
    </i>
    <i r="1">
      <x v="791"/>
      <x v="219"/>
      <x v="616"/>
    </i>
    <i r="1">
      <x v="812"/>
      <x v="229"/>
      <x v="617"/>
    </i>
    <i r="1">
      <x v="831"/>
      <x v="233"/>
      <x v="618"/>
    </i>
    <i r="1">
      <x v="836"/>
      <x v="233"/>
      <x v="618"/>
    </i>
    <i r="1">
      <x v="851"/>
      <x v="241"/>
      <x v="619"/>
    </i>
    <i r="1">
      <x v="885"/>
      <x v="250"/>
      <x v="509"/>
    </i>
    <i r="1">
      <x v="911"/>
      <x v="262"/>
      <x v="514"/>
    </i>
    <i t="default">
      <x v="80"/>
    </i>
    <i>
      <x v="81"/>
      <x v="298"/>
      <x v="368"/>
      <x v="671"/>
    </i>
    <i r="1">
      <x v="643"/>
      <x v="159"/>
      <x v="604"/>
    </i>
    <i r="1">
      <x v="650"/>
      <x v="163"/>
      <x v="578"/>
    </i>
    <i r="1">
      <x v="655"/>
      <x v="166"/>
      <x v="579"/>
    </i>
    <i r="1">
      <x v="663"/>
      <x v="169"/>
      <x v="581"/>
    </i>
    <i r="1">
      <x v="675"/>
      <x v="172"/>
      <x v="605"/>
    </i>
    <i r="1">
      <x v="680"/>
      <x v="175"/>
      <x v="606"/>
    </i>
    <i r="1">
      <x v="700"/>
      <x v="181"/>
      <x v="609"/>
    </i>
    <i r="1">
      <x v="725"/>
      <x v="192"/>
      <x v="612"/>
    </i>
    <i r="1">
      <x v="735"/>
      <x v="196"/>
      <x v="197"/>
    </i>
    <i r="1">
      <x v="743"/>
      <x v="200"/>
      <x v="613"/>
    </i>
    <i r="1">
      <x v="813"/>
      <x v="229"/>
      <x v="617"/>
    </i>
    <i r="1">
      <x v="832"/>
      <x v="233"/>
      <x v="618"/>
    </i>
    <i r="1">
      <x v="852"/>
      <x v="241"/>
      <x v="619"/>
    </i>
    <i t="default">
      <x v="81"/>
    </i>
    <i>
      <x v="82"/>
      <x v="581"/>
      <x v="116"/>
      <x v="428"/>
    </i>
    <i r="1">
      <x v="598"/>
      <x v="128"/>
      <x v="566"/>
    </i>
    <i t="default">
      <x v="82"/>
    </i>
    <i>
      <x v="83"/>
      <x v="291"/>
      <x v="374"/>
      <x v="21"/>
    </i>
    <i r="1">
      <x v="294"/>
      <x v="374"/>
      <x v="21"/>
    </i>
    <i r="1">
      <x v="317"/>
      <x v="384"/>
      <x v="11"/>
    </i>
    <i r="1">
      <x v="325"/>
      <x v="384"/>
      <x v="11"/>
    </i>
    <i r="1">
      <x v="334"/>
      <x v="384"/>
      <x v="11"/>
    </i>
    <i r="1">
      <x v="342"/>
      <x v="384"/>
      <x v="11"/>
    </i>
    <i r="1">
      <x v="935"/>
      <x v="272"/>
      <x v="517"/>
    </i>
    <i t="default">
      <x v="83"/>
    </i>
    <i>
      <x v="85"/>
      <x v="639"/>
      <x v="161"/>
      <x v="693"/>
    </i>
    <i t="default">
      <x v="85"/>
    </i>
    <i>
      <x v="86"/>
      <x/>
      <x v="299"/>
      <x v="676"/>
    </i>
    <i t="default">
      <x v="86"/>
    </i>
    <i>
      <x v="87"/>
      <x/>
      <x v="264"/>
      <x v="560"/>
    </i>
    <i r="1">
      <x v="126"/>
      <x v="325"/>
      <x v="477"/>
    </i>
    <i r="1">
      <x v="254"/>
      <x v="354"/>
      <x v="39"/>
    </i>
    <i r="1">
      <x v="306"/>
      <x v="363"/>
      <x v="561"/>
    </i>
    <i r="1">
      <x v="308"/>
      <x v="384"/>
      <x v="11"/>
    </i>
    <i r="1">
      <x v="357"/>
      <x v="382"/>
      <x v="15"/>
    </i>
    <i t="default">
      <x v="87"/>
    </i>
    <i>
      <x v="88"/>
      <x v="211"/>
      <x v="345"/>
      <x v="562"/>
    </i>
    <i r="1">
      <x v="213"/>
      <x v="346"/>
      <x v="49"/>
    </i>
    <i r="1">
      <x v="229"/>
      <x v="354"/>
      <x v="39"/>
    </i>
    <i r="1">
      <x v="241"/>
      <x v="354"/>
      <x v="39"/>
    </i>
    <i r="1">
      <x v="248"/>
      <x v="357"/>
      <x v="563"/>
    </i>
    <i r="1">
      <x v="249"/>
      <x v="357"/>
      <x v="563"/>
    </i>
    <i r="1">
      <x v="322"/>
      <x v="384"/>
      <x v="11"/>
    </i>
    <i r="1">
      <x v="341"/>
      <x v="384"/>
      <x v="11"/>
    </i>
    <i t="default">
      <x v="88"/>
    </i>
    <i>
      <x v="89"/>
      <x v="613"/>
      <x v="141"/>
      <x v="253"/>
    </i>
    <i t="default">
      <x v="89"/>
    </i>
    <i>
      <x v="90"/>
      <x v="943"/>
      <x v="277"/>
      <x v="680"/>
    </i>
    <i t="default">
      <x v="90"/>
    </i>
    <i>
      <x v="91"/>
      <x v="247"/>
      <x v="356"/>
      <x v="695"/>
    </i>
    <i t="default">
      <x v="91"/>
    </i>
    <i>
      <x v="92"/>
      <x v="429"/>
      <x v="56"/>
      <x v="593"/>
    </i>
    <i r="1">
      <x v="432"/>
      <x v="57"/>
      <x v="647"/>
    </i>
    <i r="1">
      <x v="433"/>
      <x v="58"/>
      <x v="648"/>
    </i>
    <i r="1">
      <x v="494"/>
      <x v="75"/>
      <x v="573"/>
    </i>
    <i r="1">
      <x v="507"/>
      <x v="77"/>
      <x v="574"/>
    </i>
    <i r="1">
      <x v="538"/>
      <x v="84"/>
      <x v="577"/>
    </i>
    <i t="default">
      <x v="92"/>
    </i>
    <i>
      <x v="93"/>
      <x/>
      <x v="144"/>
      <x v="600"/>
    </i>
    <i r="1">
      <x v="7"/>
      <x v="282"/>
      <x v="622"/>
    </i>
    <i r="1">
      <x v="27"/>
      <x v="289"/>
      <x v="623"/>
    </i>
    <i r="1">
      <x v="42"/>
      <x v="294"/>
      <x v="624"/>
    </i>
    <i r="1">
      <x v="67"/>
      <x v="302"/>
      <x v="625"/>
    </i>
    <i r="1">
      <x v="83"/>
      <x v="307"/>
      <x v="626"/>
    </i>
    <i r="1">
      <x v="110"/>
      <x v="313"/>
      <x v="627"/>
    </i>
    <i r="1">
      <x v="138"/>
      <x v="320"/>
      <x v="628"/>
    </i>
    <i r="1">
      <x v="162"/>
      <x v="329"/>
      <x v="64"/>
    </i>
    <i r="1">
      <x v="204"/>
      <x v="341"/>
      <x v="564"/>
    </i>
    <i r="1">
      <x v="228"/>
      <x v="350"/>
      <x v="629"/>
    </i>
    <i r="1">
      <x v="263"/>
      <x v="359"/>
      <x v="36"/>
    </i>
    <i r="1">
      <x v="315"/>
      <x v="373"/>
      <x v="630"/>
    </i>
    <i r="1">
      <x v="366"/>
      <x v="391"/>
      <x v="4"/>
    </i>
    <i r="1">
      <x v="617"/>
      <x v="143"/>
      <x v="601"/>
    </i>
    <i r="1">
      <x v="622"/>
      <x v="147"/>
      <x v="246"/>
    </i>
    <i r="1">
      <x v="626"/>
      <x v="151"/>
      <x v="602"/>
    </i>
    <i r="1">
      <x v="632"/>
      <x v="154"/>
      <x v="603"/>
    </i>
    <i r="1">
      <x v="640"/>
      <x v="159"/>
      <x v="604"/>
    </i>
    <i r="1">
      <x v="647"/>
      <x v="163"/>
      <x v="578"/>
    </i>
    <i r="1">
      <x v="657"/>
      <x v="166"/>
      <x v="579"/>
    </i>
    <i r="1">
      <x v="665"/>
      <x v="169"/>
      <x v="581"/>
    </i>
    <i r="1">
      <x v="673"/>
      <x v="172"/>
      <x v="605"/>
    </i>
    <i r="1">
      <x v="681"/>
      <x v="175"/>
      <x v="606"/>
    </i>
    <i r="1">
      <x v="688"/>
      <x v="177"/>
      <x v="607"/>
    </i>
    <i r="1">
      <x v="694"/>
      <x v="179"/>
      <x v="608"/>
    </i>
    <i r="1">
      <x v="702"/>
      <x v="181"/>
      <x v="609"/>
    </i>
    <i r="1">
      <x v="708"/>
      <x v="184"/>
      <x v="610"/>
    </i>
    <i r="1">
      <x v="717"/>
      <x v="188"/>
      <x v="611"/>
    </i>
    <i r="1">
      <x v="726"/>
      <x v="192"/>
      <x v="612"/>
    </i>
    <i r="1">
      <x v="736"/>
      <x v="196"/>
      <x v="197"/>
    </i>
    <i r="1">
      <x v="744"/>
      <x v="200"/>
      <x v="613"/>
    </i>
    <i r="1">
      <x v="758"/>
      <x v="207"/>
      <x v="614"/>
    </i>
    <i r="1">
      <x v="776"/>
      <x v="214"/>
      <x v="615"/>
    </i>
    <i r="1">
      <x v="792"/>
      <x v="219"/>
      <x v="616"/>
    </i>
    <i r="1">
      <x v="814"/>
      <x v="229"/>
      <x v="617"/>
    </i>
    <i r="1">
      <x v="833"/>
      <x v="233"/>
      <x v="618"/>
    </i>
    <i r="1">
      <x v="853"/>
      <x v="241"/>
      <x v="619"/>
    </i>
    <i r="1">
      <x v="884"/>
      <x v="250"/>
      <x v="509"/>
    </i>
    <i r="1">
      <x v="905"/>
      <x v="256"/>
      <x v="620"/>
    </i>
    <i r="1">
      <x v="924"/>
      <x v="266"/>
      <x v="128"/>
    </i>
    <i r="1">
      <x v="950"/>
      <x v="275"/>
      <x v="621"/>
    </i>
    <i t="default">
      <x v="93"/>
    </i>
    <i>
      <x v="94"/>
      <x v="246"/>
      <x v="355"/>
      <x v="551"/>
    </i>
    <i t="default">
      <x v="94"/>
    </i>
    <i>
      <x v="95"/>
      <x v="178"/>
      <x v="339"/>
      <x v="54"/>
    </i>
    <i r="1">
      <x v="179"/>
      <x v="339"/>
      <x v="54"/>
    </i>
    <i r="1">
      <x v="807"/>
      <x v="231"/>
      <x v="463"/>
    </i>
    <i r="1">
      <x v="808"/>
      <x v="231"/>
      <x v="463"/>
    </i>
    <i t="default">
      <x v="95"/>
    </i>
    <i>
      <x v="96"/>
      <x v="329"/>
      <x v="384"/>
      <x v="11"/>
    </i>
    <i t="default">
      <x v="96"/>
    </i>
    <i>
      <x v="97"/>
      <x v="629"/>
      <x v="155"/>
      <x v="675"/>
    </i>
    <i t="default">
      <x v="97"/>
    </i>
    <i>
      <x v="98"/>
      <x v="205"/>
      <x v="344"/>
      <x v="479"/>
    </i>
    <i r="1">
      <x v="217"/>
      <x v="349"/>
      <x v="681"/>
    </i>
    <i r="1">
      <x v="226"/>
      <x v="354"/>
      <x v="39"/>
    </i>
    <i r="1">
      <x v="261"/>
      <x v="364"/>
      <x v="481"/>
    </i>
    <i r="1">
      <x v="309"/>
      <x v="384"/>
      <x v="11"/>
    </i>
    <i r="1">
      <x v="344"/>
      <x v="384"/>
      <x v="11"/>
    </i>
    <i t="default">
      <x v="98"/>
    </i>
    <i>
      <x v="99"/>
      <x v="330"/>
      <x v="384"/>
      <x v="11"/>
    </i>
    <i r="1">
      <x v="340"/>
      <x v="384"/>
      <x v="11"/>
    </i>
    <i t="default">
      <x v="99"/>
    </i>
    <i>
      <x v="100"/>
      <x v="206"/>
      <x v="344"/>
      <x v="479"/>
    </i>
    <i r="1">
      <x v="209"/>
      <x v="344"/>
      <x v="479"/>
    </i>
    <i r="1">
      <x v="331"/>
      <x v="384"/>
      <x v="11"/>
    </i>
    <i r="1">
      <x v="339"/>
      <x v="384"/>
      <x v="11"/>
    </i>
    <i t="default">
      <x v="100"/>
    </i>
    <i>
      <x v="101"/>
      <x v="281"/>
      <x v="370"/>
      <x v="25"/>
    </i>
    <i r="1">
      <x v="620"/>
      <x v="146"/>
      <x v="482"/>
    </i>
    <i r="1">
      <x v="637"/>
      <x v="158"/>
      <x v="236"/>
    </i>
    <i t="default">
      <x v="101"/>
    </i>
    <i>
      <x v="102"/>
      <x/>
      <x v="132"/>
      <x v="393"/>
    </i>
    <i r="2">
      <x v="164"/>
      <x v="394"/>
    </i>
    <i r="1">
      <x v="13"/>
      <x v="285"/>
      <x v="471"/>
    </i>
    <i r="1">
      <x v="33"/>
      <x v="292"/>
      <x v="472"/>
    </i>
    <i r="1">
      <x v="52"/>
      <x v="300"/>
      <x v="473"/>
    </i>
    <i r="1">
      <x v="70"/>
      <x v="303"/>
      <x v="474"/>
    </i>
    <i r="1">
      <x v="87"/>
      <x v="308"/>
      <x v="475"/>
    </i>
    <i r="1">
      <x v="113"/>
      <x v="315"/>
      <x v="476"/>
    </i>
    <i r="1">
      <x v="141"/>
      <x v="325"/>
      <x v="477"/>
    </i>
    <i r="1">
      <x v="173"/>
      <x v="335"/>
      <x v="478"/>
    </i>
    <i r="1">
      <x v="210"/>
      <x v="344"/>
      <x v="479"/>
    </i>
    <i r="1">
      <x v="216"/>
      <x v="347"/>
      <x v="480"/>
    </i>
    <i r="1">
      <x v="242"/>
      <x v="354"/>
      <x v="39"/>
    </i>
    <i r="1">
      <x v="275"/>
      <x v="364"/>
      <x v="481"/>
    </i>
    <i r="1">
      <x v="302"/>
      <x v="380"/>
      <x v="17"/>
    </i>
    <i r="1">
      <x v="338"/>
      <x v="384"/>
      <x v="11"/>
    </i>
    <i r="1">
      <x v="386"/>
      <x v="48"/>
      <x v="401"/>
    </i>
    <i r="1">
      <x v="396"/>
      <x v="48"/>
      <x v="401"/>
    </i>
    <i r="1">
      <x v="409"/>
      <x v="52"/>
      <x v="402"/>
    </i>
    <i r="1">
      <x v="424"/>
      <x v="55"/>
      <x v="403"/>
    </i>
    <i r="1">
      <x v="431"/>
      <x v="62"/>
      <x v="404"/>
    </i>
    <i r="1">
      <x v="435"/>
      <x v="63"/>
      <x v="331"/>
    </i>
    <i r="1">
      <x v="436"/>
      <x v="63"/>
      <x v="331"/>
    </i>
    <i r="1">
      <x v="449"/>
      <x v="65"/>
      <x v="405"/>
    </i>
    <i r="1">
      <x v="456"/>
      <x v="67"/>
      <x v="406"/>
    </i>
    <i r="1">
      <x v="457"/>
      <x v="67"/>
      <x v="406"/>
    </i>
    <i r="1">
      <x v="464"/>
      <x v="69"/>
      <x v="407"/>
    </i>
    <i r="1">
      <x v="471"/>
      <x v="71"/>
      <x v="408"/>
    </i>
    <i r="1">
      <x v="481"/>
      <x v="74"/>
      <x v="409"/>
    </i>
    <i r="1">
      <x v="492"/>
      <x v="76"/>
      <x v="410"/>
    </i>
    <i r="1">
      <x v="506"/>
      <x v="79"/>
      <x v="411"/>
    </i>
    <i r="1">
      <x v="513"/>
      <x v="80"/>
      <x v="314"/>
    </i>
    <i r="1">
      <x v="522"/>
      <x v="82"/>
      <x v="412"/>
    </i>
    <i r="1">
      <x v="527"/>
      <x v="85"/>
      <x v="413"/>
    </i>
    <i r="1">
      <x v="534"/>
      <x v="88"/>
      <x v="414"/>
    </i>
    <i r="1">
      <x v="542"/>
      <x v="91"/>
      <x v="415"/>
    </i>
    <i r="1">
      <x v="544"/>
      <x v="92"/>
      <x v="416"/>
    </i>
    <i r="1">
      <x v="546"/>
      <x v="93"/>
      <x v="417"/>
    </i>
    <i r="1">
      <x v="551"/>
      <x v="96"/>
      <x v="418"/>
    </i>
    <i r="1">
      <x v="554"/>
      <x v="98"/>
      <x v="419"/>
    </i>
    <i r="1">
      <x v="558"/>
      <x v="100"/>
      <x v="420"/>
    </i>
    <i r="1">
      <x v="562"/>
      <x v="102"/>
      <x v="421"/>
    </i>
    <i r="1">
      <x v="563"/>
      <x v="103"/>
      <x v="422"/>
    </i>
    <i r="1">
      <x v="566"/>
      <x v="105"/>
      <x v="423"/>
    </i>
    <i r="1">
      <x v="569"/>
      <x v="107"/>
      <x v="424"/>
    </i>
    <i r="1">
      <x v="574"/>
      <x v="110"/>
      <x v="425"/>
    </i>
    <i r="1">
      <x v="577"/>
      <x v="112"/>
      <x v="426"/>
    </i>
    <i r="1">
      <x v="579"/>
      <x v="114"/>
      <x v="427"/>
    </i>
    <i r="1">
      <x v="582"/>
      <x v="116"/>
      <x v="428"/>
    </i>
    <i r="1">
      <x v="584"/>
      <x v="118"/>
      <x v="429"/>
    </i>
    <i r="1">
      <x v="586"/>
      <x v="120"/>
      <x v="430"/>
    </i>
    <i r="1">
      <x v="588"/>
      <x v="122"/>
      <x v="431"/>
    </i>
    <i r="1">
      <x v="589"/>
      <x v="122"/>
      <x v="431"/>
    </i>
    <i r="1">
      <x v="595"/>
      <x v="125"/>
      <x v="432"/>
    </i>
    <i r="1">
      <x v="597"/>
      <x v="127"/>
      <x v="433"/>
    </i>
    <i r="1">
      <x v="601"/>
      <x v="130"/>
      <x v="434"/>
    </i>
    <i r="1">
      <x v="604"/>
      <x v="133"/>
      <x v="435"/>
    </i>
    <i r="1">
      <x v="609"/>
      <x v="137"/>
      <x v="436"/>
    </i>
    <i r="1">
      <x v="610"/>
      <x v="138"/>
      <x v="437"/>
    </i>
    <i r="1">
      <x v="611"/>
      <x v="140"/>
      <x v="438"/>
    </i>
    <i r="1">
      <x v="612"/>
      <x v="140"/>
      <x v="438"/>
    </i>
    <i r="1">
      <x v="615"/>
      <x v="142"/>
      <x v="439"/>
    </i>
    <i r="1">
      <x v="618"/>
      <x v="145"/>
      <x v="440"/>
    </i>
    <i r="1">
      <x v="623"/>
      <x v="149"/>
      <x v="441"/>
    </i>
    <i r="1">
      <x v="628"/>
      <x v="152"/>
      <x v="442"/>
    </i>
    <i r="1">
      <x v="635"/>
      <x v="157"/>
      <x v="443"/>
    </i>
    <i r="1">
      <x v="636"/>
      <x v="158"/>
      <x v="236"/>
    </i>
    <i r="1">
      <x v="646"/>
      <x v="162"/>
      <x v="444"/>
    </i>
    <i r="1">
      <x v="653"/>
      <x v="165"/>
      <x v="445"/>
    </i>
    <i r="1">
      <x v="659"/>
      <x v="167"/>
      <x v="446"/>
    </i>
    <i r="1">
      <x v="667"/>
      <x v="170"/>
      <x v="447"/>
    </i>
    <i r="1">
      <x v="677"/>
      <x v="174"/>
      <x v="448"/>
    </i>
    <i r="1">
      <x v="684"/>
      <x v="176"/>
      <x v="449"/>
    </i>
    <i r="1">
      <x v="690"/>
      <x v="178"/>
      <x v="450"/>
    </i>
    <i r="1">
      <x v="696"/>
      <x v="180"/>
      <x v="451"/>
    </i>
    <i r="1">
      <x v="705"/>
      <x v="182"/>
      <x v="452"/>
    </i>
    <i r="1">
      <x v="706"/>
      <x v="183"/>
      <x v="453"/>
    </i>
    <i r="1">
      <x v="712"/>
      <x v="185"/>
      <x v="454"/>
    </i>
    <i r="1">
      <x v="719"/>
      <x v="190"/>
      <x v="455"/>
    </i>
    <i r="1">
      <x v="721"/>
      <x v="191"/>
      <x v="202"/>
    </i>
    <i r="1">
      <x v="729"/>
      <x v="194"/>
      <x v="456"/>
    </i>
    <i r="1">
      <x v="732"/>
      <x v="197"/>
      <x v="457"/>
    </i>
    <i r="1">
      <x v="738"/>
      <x v="199"/>
      <x v="458"/>
    </i>
    <i r="1">
      <x v="746"/>
      <x v="202"/>
      <x v="191"/>
    </i>
    <i r="1">
      <x v="750"/>
      <x v="206"/>
      <x v="459"/>
    </i>
    <i r="1">
      <x v="760"/>
      <x v="210"/>
      <x v="183"/>
    </i>
    <i r="1">
      <x v="781"/>
      <x v="216"/>
      <x v="460"/>
    </i>
    <i r="1">
      <x v="794"/>
      <x v="222"/>
      <x v="461"/>
    </i>
    <i r="1">
      <x v="799"/>
      <x v="224"/>
      <x v="462"/>
    </i>
    <i r="1">
      <x v="800"/>
      <x v="224"/>
      <x v="462"/>
    </i>
    <i r="1">
      <x v="816"/>
      <x v="231"/>
      <x v="463"/>
    </i>
    <i r="1">
      <x v="837"/>
      <x v="237"/>
      <x v="464"/>
    </i>
    <i r="1">
      <x v="857"/>
      <x v="243"/>
      <x v="465"/>
    </i>
    <i r="1">
      <x v="886"/>
      <x v="254"/>
      <x v="466"/>
    </i>
    <i r="1">
      <x v="909"/>
      <x v="261"/>
      <x v="467"/>
    </i>
    <i r="1">
      <x v="916"/>
      <x v="268"/>
      <x v="127"/>
    </i>
    <i r="1">
      <x v="926"/>
      <x v="271"/>
      <x v="468"/>
    </i>
    <i r="1">
      <x v="940"/>
      <x v="276"/>
      <x v="469"/>
    </i>
    <i r="1">
      <x v="952"/>
      <x v="280"/>
      <x v="470"/>
    </i>
    <i r="1">
      <x v="1013"/>
      <x v="32"/>
      <x v="395"/>
    </i>
    <i r="1">
      <x v="1014"/>
      <x v="32"/>
      <x v="395"/>
    </i>
    <i r="1">
      <x v="1015"/>
      <x v="32"/>
      <x v="395"/>
    </i>
    <i r="1">
      <x v="1021"/>
      <x v="35"/>
      <x v="396"/>
    </i>
    <i r="1">
      <x v="1022"/>
      <x v="35"/>
      <x v="396"/>
    </i>
    <i r="1">
      <x v="1023"/>
      <x v="35"/>
      <x v="396"/>
    </i>
    <i r="1">
      <x v="1036"/>
      <x v="39"/>
      <x v="397"/>
    </i>
    <i r="1">
      <x v="1037"/>
      <x v="39"/>
      <x v="397"/>
    </i>
    <i r="1">
      <x v="1038"/>
      <x v="39"/>
      <x v="397"/>
    </i>
    <i r="1">
      <x v="1039"/>
      <x v="39"/>
      <x v="397"/>
    </i>
    <i r="1">
      <x v="1040"/>
      <x v="39"/>
      <x v="397"/>
    </i>
    <i r="1">
      <x v="1041"/>
      <x v="39"/>
      <x v="397"/>
    </i>
    <i r="1">
      <x v="1049"/>
      <x v="41"/>
      <x v="398"/>
    </i>
    <i r="1">
      <x v="1050"/>
      <x v="41"/>
      <x v="398"/>
    </i>
    <i r="1">
      <x v="1051"/>
      <x v="41"/>
      <x v="398"/>
    </i>
    <i r="1">
      <x v="1052"/>
      <x v="43"/>
      <x v="399"/>
    </i>
    <i r="1">
      <x v="1054"/>
      <x v="44"/>
      <x v="400"/>
    </i>
    <i r="1">
      <x v="1055"/>
      <x v="44"/>
      <x v="400"/>
    </i>
    <i r="1">
      <x v="1058"/>
      <x v="44"/>
      <x v="400"/>
    </i>
    <i t="default">
      <x v="102"/>
    </i>
    <i>
      <x v="104"/>
      <x v="782"/>
      <x v="217"/>
      <x v="694"/>
    </i>
    <i t="default">
      <x v="104"/>
    </i>
    <i>
      <x v="105"/>
      <x v="332"/>
      <x v="384"/>
      <x v="11"/>
    </i>
    <i t="default">
      <x v="105"/>
    </i>
    <i>
      <x v="106"/>
      <x v="8"/>
      <x v="285"/>
      <x v="471"/>
    </i>
    <i r="1">
      <x v="12"/>
      <x v="285"/>
      <x v="471"/>
    </i>
    <i r="1">
      <x v="26"/>
      <x v="292"/>
      <x v="472"/>
    </i>
    <i r="1">
      <x v="32"/>
      <x v="292"/>
      <x v="472"/>
    </i>
    <i r="1">
      <x v="44"/>
      <x v="300"/>
      <x v="473"/>
    </i>
    <i r="1">
      <x v="50"/>
      <x v="300"/>
      <x v="473"/>
    </i>
    <i r="1">
      <x v="68"/>
      <x v="303"/>
      <x v="474"/>
    </i>
    <i r="1">
      <x v="71"/>
      <x v="303"/>
      <x v="474"/>
    </i>
    <i r="1">
      <x v="82"/>
      <x v="308"/>
      <x v="475"/>
    </i>
    <i r="1">
      <x v="88"/>
      <x v="308"/>
      <x v="475"/>
    </i>
    <i r="1">
      <x v="111"/>
      <x v="315"/>
      <x v="476"/>
    </i>
    <i r="1">
      <x v="114"/>
      <x v="315"/>
      <x v="476"/>
    </i>
    <i r="1">
      <x v="139"/>
      <x v="325"/>
      <x v="477"/>
    </i>
    <i r="1">
      <x v="142"/>
      <x v="325"/>
      <x v="477"/>
    </i>
    <i r="1">
      <x v="163"/>
      <x v="335"/>
      <x v="478"/>
    </i>
    <i r="1">
      <x v="171"/>
      <x v="335"/>
      <x v="478"/>
    </i>
    <i r="1">
      <x v="207"/>
      <x v="344"/>
      <x v="479"/>
    </i>
    <i r="1">
      <x v="208"/>
      <x v="344"/>
      <x v="479"/>
    </i>
    <i r="1">
      <x v="214"/>
      <x v="347"/>
      <x v="480"/>
    </i>
    <i r="1">
      <x v="215"/>
      <x v="347"/>
      <x v="480"/>
    </i>
    <i r="1">
      <x v="292"/>
      <x v="374"/>
      <x v="21"/>
    </i>
    <i r="1">
      <x v="555"/>
      <x v="98"/>
      <x v="419"/>
    </i>
    <i r="1">
      <x v="592"/>
      <x v="125"/>
      <x v="432"/>
    </i>
    <i r="1">
      <x v="606"/>
      <x v="135"/>
      <x v="685"/>
    </i>
    <i r="1">
      <x v="608"/>
      <x v="137"/>
      <x v="436"/>
    </i>
    <i r="1">
      <x v="624"/>
      <x v="150"/>
      <x v="686"/>
    </i>
    <i r="1">
      <x v="631"/>
      <x v="156"/>
      <x v="687"/>
    </i>
    <i r="1">
      <x v="642"/>
      <x v="162"/>
      <x v="444"/>
    </i>
    <i r="1">
      <x v="645"/>
      <x v="162"/>
      <x v="444"/>
    </i>
    <i r="1">
      <x v="649"/>
      <x v="165"/>
      <x v="445"/>
    </i>
    <i r="1">
      <x v="652"/>
      <x v="165"/>
      <x v="445"/>
    </i>
    <i r="1">
      <x v="656"/>
      <x v="167"/>
      <x v="446"/>
    </i>
    <i r="1">
      <x v="661"/>
      <x v="167"/>
      <x v="446"/>
    </i>
    <i r="1">
      <x v="664"/>
      <x v="170"/>
      <x v="447"/>
    </i>
    <i r="1">
      <x v="668"/>
      <x v="170"/>
      <x v="447"/>
    </i>
    <i r="1">
      <x v="674"/>
      <x v="174"/>
      <x v="448"/>
    </i>
    <i r="1">
      <x v="676"/>
      <x v="174"/>
      <x v="448"/>
    </i>
    <i r="1">
      <x v="682"/>
      <x v="176"/>
      <x v="449"/>
    </i>
    <i r="1">
      <x v="685"/>
      <x v="176"/>
      <x v="449"/>
    </i>
    <i r="1">
      <x v="689"/>
      <x v="178"/>
      <x v="450"/>
    </i>
    <i r="1">
      <x v="691"/>
      <x v="178"/>
      <x v="450"/>
    </i>
    <i r="1">
      <x v="695"/>
      <x v="180"/>
      <x v="451"/>
    </i>
    <i r="1">
      <x v="697"/>
      <x v="180"/>
      <x v="451"/>
    </i>
    <i r="1">
      <x v="698"/>
      <x v="182"/>
      <x v="452"/>
    </i>
    <i r="1">
      <x v="703"/>
      <x v="182"/>
      <x v="452"/>
    </i>
    <i r="1">
      <x v="709"/>
      <x v="185"/>
      <x v="454"/>
    </i>
    <i r="1">
      <x v="711"/>
      <x v="185"/>
      <x v="454"/>
    </i>
    <i r="1">
      <x v="714"/>
      <x v="189"/>
      <x v="688"/>
    </i>
    <i r="1">
      <x v="718"/>
      <x v="190"/>
      <x v="455"/>
    </i>
    <i r="1">
      <x v="720"/>
      <x v="190"/>
      <x v="455"/>
    </i>
    <i r="1">
      <x v="723"/>
      <x v="194"/>
      <x v="456"/>
    </i>
    <i r="1">
      <x v="727"/>
      <x v="194"/>
      <x v="456"/>
    </i>
    <i r="1">
      <x v="737"/>
      <x v="199"/>
      <x v="458"/>
    </i>
    <i r="1">
      <x v="739"/>
      <x v="199"/>
      <x v="458"/>
    </i>
    <i r="1">
      <x v="745"/>
      <x v="202"/>
      <x v="191"/>
    </i>
    <i r="1">
      <x v="747"/>
      <x v="202"/>
      <x v="191"/>
    </i>
    <i r="1">
      <x v="749"/>
      <x v="205"/>
      <x v="188"/>
    </i>
    <i r="1">
      <x v="759"/>
      <x v="210"/>
      <x v="183"/>
    </i>
    <i r="1">
      <x v="764"/>
      <x v="210"/>
      <x v="183"/>
    </i>
    <i r="1">
      <x v="768"/>
      <x v="213"/>
      <x v="689"/>
    </i>
    <i r="1">
      <x v="777"/>
      <x v="216"/>
      <x v="460"/>
    </i>
    <i r="1">
      <x v="780"/>
      <x v="216"/>
      <x v="460"/>
    </i>
    <i r="1">
      <x v="793"/>
      <x v="222"/>
      <x v="461"/>
    </i>
    <i r="1">
      <x v="797"/>
      <x v="222"/>
      <x v="461"/>
    </i>
    <i r="1">
      <x v="815"/>
      <x v="231"/>
      <x v="463"/>
    </i>
    <i r="1">
      <x v="819"/>
      <x v="231"/>
      <x v="463"/>
    </i>
    <i r="1">
      <x v="834"/>
      <x v="237"/>
      <x v="464"/>
    </i>
    <i r="1">
      <x v="838"/>
      <x v="237"/>
      <x v="464"/>
    </i>
    <i r="1">
      <x v="854"/>
      <x v="243"/>
      <x v="465"/>
    </i>
    <i r="1">
      <x v="860"/>
      <x v="243"/>
      <x v="465"/>
    </i>
    <i r="1">
      <x v="873"/>
      <x v="252"/>
      <x v="141"/>
    </i>
    <i r="1">
      <x v="881"/>
      <x v="254"/>
      <x v="466"/>
    </i>
    <i r="1">
      <x v="887"/>
      <x v="254"/>
      <x v="466"/>
    </i>
    <i r="1">
      <x v="906"/>
      <x v="261"/>
      <x v="467"/>
    </i>
    <i r="1">
      <x v="908"/>
      <x v="261"/>
      <x v="467"/>
    </i>
    <i r="1">
      <x v="922"/>
      <x v="271"/>
      <x v="468"/>
    </i>
    <i r="1">
      <x v="925"/>
      <x v="271"/>
      <x v="468"/>
    </i>
    <i r="1">
      <x v="936"/>
      <x v="272"/>
      <x v="517"/>
    </i>
    <i r="1">
      <x v="948"/>
      <x v="280"/>
      <x v="470"/>
    </i>
    <i r="1">
      <x v="951"/>
      <x v="280"/>
      <x v="470"/>
    </i>
    <i t="default">
      <x v="106"/>
    </i>
    <i>
      <x v="108"/>
      <x v="278"/>
      <x v="369"/>
      <x v="27"/>
    </i>
    <i r="1">
      <x v="279"/>
      <x v="369"/>
      <x v="27"/>
    </i>
    <i t="default">
      <x v="108"/>
    </i>
    <i>
      <x v="109"/>
      <x v="882"/>
      <x v="254"/>
      <x v="466"/>
    </i>
    <i t="default">
      <x v="109"/>
    </i>
    <i>
      <x v="110"/>
      <x v="972"/>
      <x v="13"/>
      <x v="567"/>
    </i>
    <i r="1">
      <x v="973"/>
      <x v="13"/>
      <x v="567"/>
    </i>
    <i r="1">
      <x v="979"/>
      <x v="18"/>
      <x v="376"/>
    </i>
    <i t="default">
      <x v="110"/>
    </i>
    <i>
      <x v="111"/>
      <x v="415"/>
      <x v="53"/>
      <x v="592"/>
    </i>
    <i r="1">
      <x v="426"/>
      <x v="56"/>
      <x v="593"/>
    </i>
    <i r="1">
      <x v="482"/>
      <x v="73"/>
      <x v="572"/>
    </i>
    <i r="1">
      <x v="496"/>
      <x v="75"/>
      <x v="573"/>
    </i>
    <i r="1">
      <x v="509"/>
      <x v="77"/>
      <x v="574"/>
    </i>
    <i r="1">
      <x v="535"/>
      <x v="84"/>
      <x v="577"/>
    </i>
    <i t="default">
      <x v="111"/>
    </i>
    <i>
      <x v="112"/>
      <x v="855"/>
      <x v="243"/>
      <x v="465"/>
    </i>
    <i r="1">
      <x v="871"/>
      <x v="251"/>
      <x v="510"/>
    </i>
    <i r="1">
      <x v="891"/>
      <x v="257"/>
      <x v="512"/>
    </i>
    <i t="default">
      <x v="112"/>
    </i>
    <i>
      <x v="113"/>
      <x v="293"/>
      <x v="365"/>
      <x v="672"/>
    </i>
    <i r="1">
      <x v="299"/>
      <x v="368"/>
      <x v="671"/>
    </i>
    <i r="1">
      <x v="300"/>
      <x v="368"/>
      <x v="671"/>
    </i>
    <i r="1">
      <x v="835"/>
      <x v="233"/>
      <x v="618"/>
    </i>
    <i r="1">
      <x v="856"/>
      <x v="241"/>
      <x v="619"/>
    </i>
    <i r="1">
      <x v="890"/>
      <x v="251"/>
      <x v="510"/>
    </i>
    <i r="1">
      <x v="937"/>
      <x v="269"/>
      <x v="643"/>
    </i>
    <i t="default">
      <x v="113"/>
    </i>
    <i>
      <x v="114"/>
      <x v="962"/>
      <x v="6"/>
      <x v="661"/>
    </i>
    <i t="default">
      <x v="114"/>
    </i>
    <i>
      <x v="115"/>
      <x v="372"/>
      <x v="392"/>
      <x v="3"/>
    </i>
    <i t="default">
      <x v="115"/>
    </i>
    <i>
      <x v="116"/>
      <x v="390"/>
      <x v="46"/>
      <x v="589"/>
    </i>
    <i r="1">
      <x v="397"/>
      <x v="47"/>
      <x v="590"/>
    </i>
    <i r="1">
      <x v="402"/>
      <x v="49"/>
      <x v="591"/>
    </i>
    <i r="1">
      <x v="412"/>
      <x v="50"/>
      <x v="343"/>
    </i>
    <i r="1">
      <x v="417"/>
      <x v="54"/>
      <x v="339"/>
    </i>
    <i r="1">
      <x v="512"/>
      <x v="77"/>
      <x v="574"/>
    </i>
    <i t="default">
      <x v="116"/>
    </i>
    <i>
      <x v="117"/>
      <x v="227"/>
      <x v="354"/>
      <x v="39"/>
    </i>
    <i r="1">
      <x v="262"/>
      <x v="364"/>
      <x v="481"/>
    </i>
    <i r="1">
      <x v="333"/>
      <x v="384"/>
      <x v="11"/>
    </i>
    <i t="default">
      <x v="117"/>
    </i>
    <i>
      <x v="118"/>
      <x v="385"/>
      <x v="46"/>
      <x v="589"/>
    </i>
    <i r="1">
      <x v="398"/>
      <x v="47"/>
      <x v="590"/>
    </i>
    <i r="1">
      <x v="404"/>
      <x v="49"/>
      <x v="591"/>
    </i>
    <i r="1">
      <x v="411"/>
      <x v="50"/>
      <x v="343"/>
    </i>
    <i r="1">
      <x v="419"/>
      <x v="54"/>
      <x v="339"/>
    </i>
    <i r="1">
      <x v="428"/>
      <x v="56"/>
      <x v="593"/>
    </i>
    <i r="1">
      <x v="438"/>
      <x v="59"/>
      <x v="335"/>
    </i>
    <i r="1">
      <x v="445"/>
      <x v="64"/>
      <x v="594"/>
    </i>
    <i r="1">
      <x v="452"/>
      <x v="66"/>
      <x v="595"/>
    </i>
    <i r="1">
      <x v="460"/>
      <x v="68"/>
      <x v="596"/>
    </i>
    <i r="1">
      <x v="466"/>
      <x v="70"/>
      <x v="597"/>
    </i>
    <i r="1">
      <x v="475"/>
      <x v="73"/>
      <x v="572"/>
    </i>
    <i r="1">
      <x v="487"/>
      <x v="75"/>
      <x v="573"/>
    </i>
    <i r="1">
      <x v="495"/>
      <x v="75"/>
      <x v="573"/>
    </i>
    <i r="1">
      <x v="503"/>
      <x v="77"/>
      <x v="574"/>
    </i>
    <i r="1">
      <x v="511"/>
      <x v="77"/>
      <x v="574"/>
    </i>
    <i r="1">
      <x v="520"/>
      <x v="81"/>
      <x v="575"/>
    </i>
    <i t="default">
      <x v="118"/>
    </i>
    <i>
      <x v="119"/>
      <x v="1059"/>
      <x v="341"/>
      <x v="564"/>
    </i>
    <i t="default">
      <x v="1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do1" fld="9" baseField="0" baseItem="0"/>
    <dataField name="Sum of 030dagen" fld="10" baseField="0" baseItem="0"/>
    <dataField name="Sum of 3160dagen" fld="11" baseField="0" baseItem="0"/>
    <dataField name="Sum of 6190dagen" fld="12" baseField="0" baseItem="0"/>
    <dataField name="Sum of 90dagen" fld="13" baseField="0" baseItem="0"/>
  </dataFields>
  <formats count="15">
    <format dxfId="29">
      <pivotArea dataOnly="0" outline="0" fieldPosition="0">
        <references count="1">
          <reference field="3" count="0" defaultSubtotal="1"/>
        </references>
      </pivotArea>
    </format>
    <format dxfId="28">
      <pivotArea field="3" type="button" dataOnly="0" labelOnly="1" outline="0" axis="axisRow" fieldPosition="0"/>
    </format>
    <format dxfId="27">
      <pivotArea field="7" type="button" dataOnly="0" labelOnly="1" outline="0" axis="axisRow" fieldPosition="1"/>
    </format>
    <format dxfId="26">
      <pivotArea field="6" type="button" dataOnly="0" labelOnly="1" outline="0" axis="axisRow" fieldPosition="2"/>
    </format>
    <format dxfId="25">
      <pivotArea field="14" type="button" dataOnly="0" labelOnly="1" outline="0" axis="axisRow" fieldPosition="3"/>
    </format>
    <format dxfId="2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3">
      <pivotArea field="3" type="button" dataOnly="0" labelOnly="1" outline="0" axis="axisRow" fieldPosition="0"/>
    </format>
    <format dxfId="22">
      <pivotArea field="7" type="button" dataOnly="0" labelOnly="1" outline="0" axis="axisRow" fieldPosition="1"/>
    </format>
    <format dxfId="21">
      <pivotArea field="6" type="button" dataOnly="0" labelOnly="1" outline="0" axis="axisRow" fieldPosition="2"/>
    </format>
    <format dxfId="20">
      <pivotArea field="14" type="button" dataOnly="0" labelOnly="1" outline="0" axis="axisRow" fieldPosition="3"/>
    </format>
    <format dxfId="1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8">
      <pivotArea outline="0" collapsedLevelsAreSubtotals="1" fieldPosition="0"/>
    </format>
    <format dxfId="17">
      <pivotArea field="-2" type="button" dataOnly="0" labelOnly="1" outline="0" axis="axisCol" fieldPosition="0"/>
    </format>
    <format dxfId="16">
      <pivotArea type="topRight" dataOnly="0" labelOnly="1" outline="0" fieldPosition="0"/>
    </format>
    <format dxfId="1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F78D1-8147-447C-8F0A-94F69CE0D5F2}" name="PivotTable4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F1:H45" firstHeaderRow="2" firstDataRow="2" firstDataCol="2"/>
  <pivotFields count="9">
    <pivotField compact="0" outline="0" showAll="0"/>
    <pivotField dataField="1" compact="0" numFmtId="165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4"/>
        <item x="9"/>
        <item x="5"/>
        <item x="8"/>
        <item x="6"/>
        <item x="2"/>
        <item x="10"/>
        <item x="7"/>
        <item m="1" x="11"/>
        <item x="1"/>
        <item x="3"/>
        <item x="0"/>
        <item t="default"/>
      </items>
    </pivotField>
    <pivotField compact="0" outline="0" showAll="0"/>
    <pivotField axis="axisRow" compact="0" outline="0" showAll="0">
      <items count="18">
        <item x="8"/>
        <item x="9"/>
        <item m="1" x="13"/>
        <item x="5"/>
        <item x="7"/>
        <item x="6"/>
        <item x="0"/>
        <item m="1" x="15"/>
        <item x="10"/>
        <item x="2"/>
        <item m="1" x="14"/>
        <item m="1" x="16"/>
        <item x="4"/>
        <item x="12"/>
        <item x="11"/>
        <item x="1"/>
        <item x="3"/>
        <item t="default"/>
      </items>
    </pivotField>
  </pivotFields>
  <rowFields count="2">
    <field x="6"/>
    <field x="8"/>
  </rowFields>
  <rowItems count="43">
    <i>
      <x/>
      <x/>
    </i>
    <i r="1">
      <x v="1"/>
    </i>
    <i r="1">
      <x v="3"/>
    </i>
    <i r="1">
      <x v="4"/>
    </i>
    <i r="1">
      <x v="13"/>
    </i>
    <i r="1">
      <x v="16"/>
    </i>
    <i t="default">
      <x/>
    </i>
    <i>
      <x v="1"/>
      <x v="16"/>
    </i>
    <i t="default">
      <x v="1"/>
    </i>
    <i>
      <x v="2"/>
      <x/>
    </i>
    <i r="1">
      <x v="3"/>
    </i>
    <i r="1">
      <x v="4"/>
    </i>
    <i r="1">
      <x v="13"/>
    </i>
    <i r="1">
      <x v="16"/>
    </i>
    <i t="default">
      <x v="2"/>
    </i>
    <i>
      <x v="3"/>
      <x/>
    </i>
    <i r="1">
      <x v="16"/>
    </i>
    <i t="default">
      <x v="3"/>
    </i>
    <i>
      <x v="4"/>
      <x/>
    </i>
    <i r="1">
      <x v="14"/>
    </i>
    <i r="1">
      <x v="16"/>
    </i>
    <i t="default">
      <x v="4"/>
    </i>
    <i>
      <x v="5"/>
      <x/>
    </i>
    <i r="1">
      <x v="16"/>
    </i>
    <i t="default">
      <x v="5"/>
    </i>
    <i>
      <x v="6"/>
      <x v="16"/>
    </i>
    <i t="default">
      <x v="6"/>
    </i>
    <i>
      <x v="7"/>
      <x/>
    </i>
    <i t="default">
      <x v="7"/>
    </i>
    <i>
      <x v="9"/>
      <x/>
    </i>
    <i r="1">
      <x v="3"/>
    </i>
    <i r="1">
      <x v="5"/>
    </i>
    <i r="1">
      <x v="8"/>
    </i>
    <i r="1">
      <x v="9"/>
    </i>
    <i r="1">
      <x v="12"/>
    </i>
    <i r="1">
      <x v="16"/>
    </i>
    <i t="default">
      <x v="9"/>
    </i>
    <i>
      <x v="10"/>
      <x v="12"/>
    </i>
    <i t="default">
      <x v="10"/>
    </i>
    <i>
      <x v="11"/>
      <x v="6"/>
    </i>
    <i r="1">
      <x v="15"/>
    </i>
    <i t="default">
      <x v="11"/>
    </i>
    <i t="grand">
      <x/>
    </i>
  </rowItems>
  <colItems count="1">
    <i/>
  </colItems>
  <dataFields count="1">
    <dataField name="Sum of Total outstanding balance" fld="1" baseField="0" baseItem="0" numFmtId="165"/>
  </dataFields>
  <formats count="1">
    <format dxfId="30">
      <pivotArea dataOnly="0" outline="0" fieldPosition="0">
        <references count="1">
          <reference field="6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D7E31-B294-4324-9510-30B129020DF4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:D3" firstHeaderRow="0" firstDataRow="1" firstDataCol="1"/>
  <pivotFields count="9">
    <pivotField dataField="1" showAll="0"/>
    <pivotField dataField="1" numFmtId="165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8"/>
        <item h="1" x="9"/>
        <item h="1" m="1" x="13"/>
        <item h="1" m="1" x="15"/>
        <item h="1" x="10"/>
        <item h="1" x="2"/>
        <item h="1" m="1" x="14"/>
        <item h="1" m="1" x="16"/>
        <item h="1" x="4"/>
        <item h="1" x="12"/>
        <item h="1" x="11"/>
        <item h="1" x="3"/>
        <item h="1" x="0"/>
        <item h="1" x="1"/>
        <item h="1" x="5"/>
        <item h="1" x="6"/>
        <item h="1"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8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aamDebiteur" fld="0" subtotal="count" baseField="0" baseItem="0"/>
    <dataField name="Sum of Total outstanding balance" fld="1" baseField="0" baseItem="0" numFmtId="165"/>
  </dataFields>
  <formats count="1">
    <format dxfId="11">
      <pivotArea dataOnly="0" labelOnly="1" fieldPosition="0">
        <references count="1">
          <reference field="8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21C6-EECB-4A49-9028-FDECEF91067D}">
  <sheetPr>
    <tabColor theme="4" tint="0.79998168889431442"/>
  </sheetPr>
  <dimension ref="A1:E1"/>
  <sheetViews>
    <sheetView workbookViewId="0"/>
  </sheetViews>
  <sheetFormatPr defaultRowHeight="12.75" x14ac:dyDescent="0.2"/>
  <cols>
    <col min="1" max="1" width="9.5703125" bestFit="1" customWidth="1"/>
    <col min="2" max="2" width="7.5703125" bestFit="1" customWidth="1"/>
    <col min="3" max="3" width="38.28515625" bestFit="1" customWidth="1"/>
    <col min="4" max="4" width="7" bestFit="1" customWidth="1"/>
    <col min="5" max="5" width="31.42578125" bestFit="1" customWidth="1"/>
  </cols>
  <sheetData>
    <row r="1" spans="1:5" x14ac:dyDescent="0.2">
      <c r="A1" s="6" t="s">
        <v>1444</v>
      </c>
      <c r="B1" s="6" t="s">
        <v>1445</v>
      </c>
      <c r="C1" s="6" t="s">
        <v>1446</v>
      </c>
      <c r="D1" s="6" t="s">
        <v>1447</v>
      </c>
      <c r="E1" s="6" t="s">
        <v>1448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33F4-45E9-4149-981E-9985DB536D39}">
  <dimension ref="A1:P1075"/>
  <sheetViews>
    <sheetView topLeftCell="A1034" zoomScaleNormal="100" workbookViewId="0">
      <selection activeCell="J1075" sqref="J1075"/>
    </sheetView>
  </sheetViews>
  <sheetFormatPr defaultRowHeight="12.75" customHeight="1" x14ac:dyDescent="0.2"/>
  <cols>
    <col min="1" max="1" width="16.28515625" bestFit="1" customWidth="1"/>
    <col min="2" max="2" width="35.28515625" bestFit="1" customWidth="1"/>
    <col min="3" max="3" width="12.140625" bestFit="1" customWidth="1"/>
    <col min="4" max="4" width="67.140625" bestFit="1" customWidth="1"/>
    <col min="5" max="5" width="6.85546875" bestFit="1" customWidth="1"/>
    <col min="6" max="6" width="10.42578125" bestFit="1" customWidth="1"/>
    <col min="7" max="7" width="11.140625" bestFit="1" customWidth="1"/>
    <col min="8" max="8" width="14.140625" bestFit="1" customWidth="1"/>
    <col min="9" max="10" width="10.5703125" bestFit="1" customWidth="1"/>
    <col min="11" max="11" width="9" bestFit="1" customWidth="1"/>
    <col min="12" max="13" width="10" bestFit="1" customWidth="1"/>
    <col min="14" max="14" width="10.5703125" bestFit="1" customWidth="1"/>
    <col min="15" max="15" width="9.28515625" style="14" bestFit="1" customWidth="1"/>
    <col min="16" max="16" width="14" bestFit="1" customWidth="1"/>
  </cols>
  <sheetData>
    <row r="1" spans="1:16" ht="12.75" customHeight="1" x14ac:dyDescent="0.2">
      <c r="A1" t="s">
        <v>1088</v>
      </c>
      <c r="B1" t="s">
        <v>401</v>
      </c>
      <c r="C1" t="s">
        <v>512</v>
      </c>
      <c r="D1" t="s">
        <v>381</v>
      </c>
      <c r="E1" t="s">
        <v>671</v>
      </c>
      <c r="F1" t="s">
        <v>806</v>
      </c>
      <c r="G1" t="s">
        <v>415</v>
      </c>
      <c r="H1" t="s">
        <v>320</v>
      </c>
      <c r="I1" t="s">
        <v>548</v>
      </c>
      <c r="J1" t="s">
        <v>685</v>
      </c>
      <c r="K1" t="s">
        <v>1013</v>
      </c>
      <c r="L1" t="s">
        <v>1293</v>
      </c>
      <c r="M1" t="s">
        <v>160</v>
      </c>
      <c r="N1" t="s">
        <v>1002</v>
      </c>
      <c r="O1" s="15" t="s">
        <v>373</v>
      </c>
      <c r="P1" t="s">
        <v>1298</v>
      </c>
    </row>
    <row r="2" spans="1:16" ht="12.75" customHeight="1" x14ac:dyDescent="0.2">
      <c r="A2" t="s">
        <v>604</v>
      </c>
      <c r="B2" t="s">
        <v>651</v>
      </c>
      <c r="C2" t="s">
        <v>1181</v>
      </c>
      <c r="D2" t="s">
        <v>1163</v>
      </c>
      <c r="E2" t="s">
        <v>1150</v>
      </c>
      <c r="F2" s="1">
        <v>44833</v>
      </c>
      <c r="G2" s="1">
        <v>44863</v>
      </c>
      <c r="H2" t="s">
        <v>900</v>
      </c>
      <c r="I2">
        <v>-22514.97</v>
      </c>
      <c r="J2">
        <v>-22514.97</v>
      </c>
      <c r="K2">
        <v>0</v>
      </c>
      <c r="L2">
        <v>0</v>
      </c>
      <c r="M2">
        <v>0</v>
      </c>
      <c r="N2">
        <v>-22514.97</v>
      </c>
      <c r="O2" s="14">
        <f ca="1">TODAY()-G2</f>
        <v>1307</v>
      </c>
      <c r="P2" t="s">
        <v>1066</v>
      </c>
    </row>
    <row r="3" spans="1:16" ht="12.75" customHeight="1" x14ac:dyDescent="0.2">
      <c r="A3" t="s">
        <v>604</v>
      </c>
      <c r="B3" t="s">
        <v>651</v>
      </c>
      <c r="C3" t="s">
        <v>1181</v>
      </c>
      <c r="D3" t="s">
        <v>1163</v>
      </c>
      <c r="E3" t="s">
        <v>1150</v>
      </c>
      <c r="F3" s="1">
        <v>45071</v>
      </c>
      <c r="G3" s="1">
        <v>45101</v>
      </c>
      <c r="H3" t="s">
        <v>900</v>
      </c>
      <c r="I3">
        <v>48698.36</v>
      </c>
      <c r="J3">
        <v>48698.36</v>
      </c>
      <c r="K3">
        <v>0</v>
      </c>
      <c r="L3">
        <v>0</v>
      </c>
      <c r="M3">
        <v>0</v>
      </c>
      <c r="N3">
        <v>48698.36</v>
      </c>
      <c r="O3" s="14">
        <f t="shared" ref="O3:O66" ca="1" si="0">TODAY()-G3</f>
        <v>1069</v>
      </c>
      <c r="P3" t="s">
        <v>1066</v>
      </c>
    </row>
    <row r="4" spans="1:16" ht="12.75" customHeight="1" x14ac:dyDescent="0.2">
      <c r="A4" t="s">
        <v>604</v>
      </c>
      <c r="B4" t="s">
        <v>651</v>
      </c>
      <c r="C4" t="s">
        <v>1181</v>
      </c>
      <c r="D4" t="s">
        <v>1163</v>
      </c>
      <c r="E4" t="s">
        <v>399</v>
      </c>
      <c r="F4" s="1">
        <v>43690</v>
      </c>
      <c r="G4" s="1">
        <v>43720</v>
      </c>
      <c r="H4" t="s">
        <v>865</v>
      </c>
      <c r="I4">
        <v>30.25</v>
      </c>
      <c r="J4">
        <v>30.25</v>
      </c>
      <c r="K4">
        <v>0</v>
      </c>
      <c r="L4">
        <v>0</v>
      </c>
      <c r="M4">
        <v>0</v>
      </c>
      <c r="N4">
        <v>30.25</v>
      </c>
      <c r="O4" s="14">
        <f t="shared" ca="1" si="0"/>
        <v>2450</v>
      </c>
      <c r="P4" t="s">
        <v>1066</v>
      </c>
    </row>
    <row r="5" spans="1:16" ht="12.75" customHeight="1" x14ac:dyDescent="0.2">
      <c r="A5" t="s">
        <v>604</v>
      </c>
      <c r="B5" t="s">
        <v>651</v>
      </c>
      <c r="C5" t="s">
        <v>1181</v>
      </c>
      <c r="D5" t="s">
        <v>1163</v>
      </c>
      <c r="E5" t="s">
        <v>399</v>
      </c>
      <c r="F5" s="1">
        <v>43690</v>
      </c>
      <c r="G5" s="1">
        <v>43720</v>
      </c>
      <c r="H5" t="s">
        <v>1049</v>
      </c>
      <c r="I5">
        <v>61.59</v>
      </c>
      <c r="J5">
        <v>61.59</v>
      </c>
      <c r="K5">
        <v>0</v>
      </c>
      <c r="L5">
        <v>0</v>
      </c>
      <c r="M5">
        <v>0</v>
      </c>
      <c r="N5">
        <v>61.59</v>
      </c>
      <c r="O5" s="14">
        <f t="shared" ca="1" si="0"/>
        <v>2450</v>
      </c>
      <c r="P5" t="s">
        <v>1066</v>
      </c>
    </row>
    <row r="6" spans="1:16" ht="12.75" customHeight="1" x14ac:dyDescent="0.2">
      <c r="A6" t="s">
        <v>604</v>
      </c>
      <c r="B6" t="s">
        <v>651</v>
      </c>
      <c r="C6" t="s">
        <v>1181</v>
      </c>
      <c r="D6" t="s">
        <v>1163</v>
      </c>
      <c r="E6" t="s">
        <v>399</v>
      </c>
      <c r="F6" s="1">
        <v>43690</v>
      </c>
      <c r="G6" s="1">
        <v>43720</v>
      </c>
      <c r="H6" t="s">
        <v>862</v>
      </c>
      <c r="I6">
        <v>145.13</v>
      </c>
      <c r="J6">
        <v>145.13</v>
      </c>
      <c r="K6">
        <v>0</v>
      </c>
      <c r="L6">
        <v>0</v>
      </c>
      <c r="M6">
        <v>0</v>
      </c>
      <c r="N6">
        <v>145.13</v>
      </c>
      <c r="O6" s="14">
        <f t="shared" ca="1" si="0"/>
        <v>2450</v>
      </c>
      <c r="P6" t="s">
        <v>1066</v>
      </c>
    </row>
    <row r="7" spans="1:16" ht="12.75" customHeight="1" x14ac:dyDescent="0.2">
      <c r="A7" t="s">
        <v>604</v>
      </c>
      <c r="B7" t="s">
        <v>651</v>
      </c>
      <c r="C7" t="s">
        <v>1181</v>
      </c>
      <c r="D7" t="s">
        <v>1163</v>
      </c>
      <c r="E7" t="s">
        <v>399</v>
      </c>
      <c r="F7" s="1">
        <v>43735</v>
      </c>
      <c r="G7" s="1">
        <v>43765</v>
      </c>
      <c r="H7" t="s">
        <v>714</v>
      </c>
      <c r="I7">
        <v>30.25</v>
      </c>
      <c r="J7">
        <v>30.25</v>
      </c>
      <c r="K7">
        <v>0</v>
      </c>
      <c r="L7">
        <v>0</v>
      </c>
      <c r="M7">
        <v>0</v>
      </c>
      <c r="N7">
        <v>30.25</v>
      </c>
      <c r="O7" s="14">
        <f t="shared" ca="1" si="0"/>
        <v>2405</v>
      </c>
      <c r="P7" t="s">
        <v>1066</v>
      </c>
    </row>
    <row r="8" spans="1:16" ht="12.75" customHeight="1" x14ac:dyDescent="0.2">
      <c r="A8" t="s">
        <v>604</v>
      </c>
      <c r="B8" t="s">
        <v>651</v>
      </c>
      <c r="C8" t="s">
        <v>1181</v>
      </c>
      <c r="D8" t="s">
        <v>1163</v>
      </c>
      <c r="E8" t="s">
        <v>399</v>
      </c>
      <c r="F8" s="1">
        <v>43735</v>
      </c>
      <c r="G8" s="1">
        <v>43765</v>
      </c>
      <c r="H8" t="s">
        <v>887</v>
      </c>
      <c r="I8">
        <v>61.64</v>
      </c>
      <c r="J8">
        <v>61.64</v>
      </c>
      <c r="K8">
        <v>0</v>
      </c>
      <c r="L8">
        <v>0</v>
      </c>
      <c r="M8">
        <v>0</v>
      </c>
      <c r="N8">
        <v>61.64</v>
      </c>
      <c r="O8" s="14">
        <f t="shared" ca="1" si="0"/>
        <v>2405</v>
      </c>
      <c r="P8" t="s">
        <v>1066</v>
      </c>
    </row>
    <row r="9" spans="1:16" ht="12.75" customHeight="1" x14ac:dyDescent="0.2">
      <c r="A9" t="s">
        <v>604</v>
      </c>
      <c r="B9" t="s">
        <v>651</v>
      </c>
      <c r="C9" t="s">
        <v>1181</v>
      </c>
      <c r="D9" t="s">
        <v>1163</v>
      </c>
      <c r="E9" t="s">
        <v>399</v>
      </c>
      <c r="F9" s="1">
        <v>43735</v>
      </c>
      <c r="G9" s="1">
        <v>43765</v>
      </c>
      <c r="H9" t="s">
        <v>1182</v>
      </c>
      <c r="I9">
        <v>145.13</v>
      </c>
      <c r="J9">
        <v>145.13</v>
      </c>
      <c r="K9">
        <v>0</v>
      </c>
      <c r="L9">
        <v>0</v>
      </c>
      <c r="M9">
        <v>0</v>
      </c>
      <c r="N9">
        <v>145.13</v>
      </c>
      <c r="O9" s="14">
        <f t="shared" ca="1" si="0"/>
        <v>2405</v>
      </c>
      <c r="P9" t="s">
        <v>1066</v>
      </c>
    </row>
    <row r="10" spans="1:16" ht="12.75" customHeight="1" x14ac:dyDescent="0.2">
      <c r="A10" t="s">
        <v>604</v>
      </c>
      <c r="B10" t="s">
        <v>651</v>
      </c>
      <c r="C10" t="s">
        <v>1181</v>
      </c>
      <c r="D10" t="s">
        <v>1163</v>
      </c>
      <c r="E10" t="s">
        <v>399</v>
      </c>
      <c r="F10" s="1">
        <v>43774</v>
      </c>
      <c r="G10" s="1">
        <v>43804</v>
      </c>
      <c r="H10" t="s">
        <v>940</v>
      </c>
      <c r="I10">
        <v>30.25</v>
      </c>
      <c r="J10">
        <v>30.25</v>
      </c>
      <c r="K10">
        <v>0</v>
      </c>
      <c r="L10">
        <v>0</v>
      </c>
      <c r="M10">
        <v>0</v>
      </c>
      <c r="N10">
        <v>30.25</v>
      </c>
      <c r="O10" s="14">
        <f t="shared" ca="1" si="0"/>
        <v>2366</v>
      </c>
      <c r="P10" t="s">
        <v>1066</v>
      </c>
    </row>
    <row r="11" spans="1:16" ht="12.75" customHeight="1" x14ac:dyDescent="0.2">
      <c r="A11" t="s">
        <v>604</v>
      </c>
      <c r="B11" t="s">
        <v>651</v>
      </c>
      <c r="C11" t="s">
        <v>1181</v>
      </c>
      <c r="D11" t="s">
        <v>1163</v>
      </c>
      <c r="E11" t="s">
        <v>399</v>
      </c>
      <c r="F11" s="1">
        <v>43774</v>
      </c>
      <c r="G11" s="1">
        <v>43804</v>
      </c>
      <c r="H11" t="s">
        <v>942</v>
      </c>
      <c r="I11">
        <v>30.25</v>
      </c>
      <c r="J11">
        <v>30.25</v>
      </c>
      <c r="K11">
        <v>0</v>
      </c>
      <c r="L11">
        <v>0</v>
      </c>
      <c r="M11">
        <v>0</v>
      </c>
      <c r="N11">
        <v>30.25</v>
      </c>
      <c r="O11" s="14">
        <f t="shared" ca="1" si="0"/>
        <v>2366</v>
      </c>
      <c r="P11" t="s">
        <v>1066</v>
      </c>
    </row>
    <row r="12" spans="1:16" ht="12.75" customHeight="1" x14ac:dyDescent="0.2">
      <c r="A12" t="s">
        <v>604</v>
      </c>
      <c r="B12" t="s">
        <v>651</v>
      </c>
      <c r="C12" t="s">
        <v>1181</v>
      </c>
      <c r="D12" t="s">
        <v>1163</v>
      </c>
      <c r="E12" t="s">
        <v>399</v>
      </c>
      <c r="F12" s="1">
        <v>43774</v>
      </c>
      <c r="G12" s="1">
        <v>43804</v>
      </c>
      <c r="H12" t="s">
        <v>457</v>
      </c>
      <c r="I12">
        <v>61.33</v>
      </c>
      <c r="J12">
        <v>61.33</v>
      </c>
      <c r="K12">
        <v>0</v>
      </c>
      <c r="L12">
        <v>0</v>
      </c>
      <c r="M12">
        <v>0</v>
      </c>
      <c r="N12">
        <v>61.33</v>
      </c>
      <c r="O12" s="14">
        <f t="shared" ca="1" si="0"/>
        <v>2366</v>
      </c>
      <c r="P12" t="s">
        <v>1066</v>
      </c>
    </row>
    <row r="13" spans="1:16" ht="12.75" customHeight="1" x14ac:dyDescent="0.2">
      <c r="A13" t="s">
        <v>604</v>
      </c>
      <c r="B13" t="s">
        <v>651</v>
      </c>
      <c r="C13" t="s">
        <v>1181</v>
      </c>
      <c r="D13" t="s">
        <v>1163</v>
      </c>
      <c r="E13" t="s">
        <v>399</v>
      </c>
      <c r="F13" s="1">
        <v>43774</v>
      </c>
      <c r="G13" s="1">
        <v>43804</v>
      </c>
      <c r="H13" t="s">
        <v>1201</v>
      </c>
      <c r="I13">
        <v>145.13</v>
      </c>
      <c r="J13">
        <v>145.13</v>
      </c>
      <c r="K13">
        <v>0</v>
      </c>
      <c r="L13">
        <v>0</v>
      </c>
      <c r="M13">
        <v>0</v>
      </c>
      <c r="N13">
        <v>145.13</v>
      </c>
      <c r="O13" s="14">
        <f t="shared" ca="1" si="0"/>
        <v>2366</v>
      </c>
      <c r="P13" t="s">
        <v>1066</v>
      </c>
    </row>
    <row r="14" spans="1:16" ht="12.75" customHeight="1" x14ac:dyDescent="0.2">
      <c r="A14" t="s">
        <v>604</v>
      </c>
      <c r="B14" t="s">
        <v>651</v>
      </c>
      <c r="C14" t="s">
        <v>1181</v>
      </c>
      <c r="D14" t="s">
        <v>1163</v>
      </c>
      <c r="E14" t="s">
        <v>399</v>
      </c>
      <c r="F14" s="1">
        <v>43774</v>
      </c>
      <c r="G14" s="1">
        <v>43804</v>
      </c>
      <c r="H14" t="s">
        <v>460</v>
      </c>
      <c r="I14">
        <v>61.08</v>
      </c>
      <c r="J14">
        <v>61.08</v>
      </c>
      <c r="K14">
        <v>0</v>
      </c>
      <c r="L14">
        <v>0</v>
      </c>
      <c r="M14">
        <v>0</v>
      </c>
      <c r="N14">
        <v>61.08</v>
      </c>
      <c r="O14" s="14">
        <f t="shared" ca="1" si="0"/>
        <v>2366</v>
      </c>
      <c r="P14" t="s">
        <v>1066</v>
      </c>
    </row>
    <row r="15" spans="1:16" ht="12.75" customHeight="1" x14ac:dyDescent="0.2">
      <c r="A15" t="s">
        <v>604</v>
      </c>
      <c r="B15" t="s">
        <v>651</v>
      </c>
      <c r="C15" t="s">
        <v>1181</v>
      </c>
      <c r="D15" t="s">
        <v>1163</v>
      </c>
      <c r="E15" t="s">
        <v>399</v>
      </c>
      <c r="F15" s="1">
        <v>43774</v>
      </c>
      <c r="G15" s="1">
        <v>43804</v>
      </c>
      <c r="H15" t="s">
        <v>948</v>
      </c>
      <c r="I15">
        <v>145.13</v>
      </c>
      <c r="J15">
        <v>145.13</v>
      </c>
      <c r="K15">
        <v>0</v>
      </c>
      <c r="L15">
        <v>0</v>
      </c>
      <c r="M15">
        <v>0</v>
      </c>
      <c r="N15">
        <v>145.13</v>
      </c>
      <c r="O15" s="14">
        <f t="shared" ca="1" si="0"/>
        <v>2366</v>
      </c>
      <c r="P15" t="s">
        <v>1066</v>
      </c>
    </row>
    <row r="16" spans="1:16" ht="12.75" customHeight="1" x14ac:dyDescent="0.2">
      <c r="A16" t="s">
        <v>604</v>
      </c>
      <c r="B16" t="s">
        <v>651</v>
      </c>
      <c r="C16" t="s">
        <v>1181</v>
      </c>
      <c r="D16" t="s">
        <v>1163</v>
      </c>
      <c r="E16" t="s">
        <v>399</v>
      </c>
      <c r="F16" s="1">
        <v>43809</v>
      </c>
      <c r="G16" s="1">
        <v>43839</v>
      </c>
      <c r="H16" t="s">
        <v>149</v>
      </c>
      <c r="I16">
        <v>145.13</v>
      </c>
      <c r="J16">
        <v>145.13</v>
      </c>
      <c r="K16">
        <v>0</v>
      </c>
      <c r="L16">
        <v>0</v>
      </c>
      <c r="M16">
        <v>0</v>
      </c>
      <c r="N16">
        <v>145.13</v>
      </c>
      <c r="O16" s="14">
        <f t="shared" ca="1" si="0"/>
        <v>2331</v>
      </c>
      <c r="P16" t="s">
        <v>1066</v>
      </c>
    </row>
    <row r="17" spans="1:16" ht="12.75" customHeight="1" x14ac:dyDescent="0.2">
      <c r="A17" t="s">
        <v>604</v>
      </c>
      <c r="B17" t="s">
        <v>651</v>
      </c>
      <c r="C17" t="s">
        <v>1181</v>
      </c>
      <c r="D17" t="s">
        <v>1163</v>
      </c>
      <c r="E17" t="s">
        <v>399</v>
      </c>
      <c r="F17" s="1">
        <v>43809</v>
      </c>
      <c r="G17" s="1">
        <v>43839</v>
      </c>
      <c r="H17" t="s">
        <v>986</v>
      </c>
      <c r="I17">
        <v>61.13</v>
      </c>
      <c r="J17">
        <v>61.13</v>
      </c>
      <c r="K17">
        <v>0</v>
      </c>
      <c r="L17">
        <v>0</v>
      </c>
      <c r="M17">
        <v>0</v>
      </c>
      <c r="N17">
        <v>61.13</v>
      </c>
      <c r="O17" s="14">
        <f t="shared" ca="1" si="0"/>
        <v>2331</v>
      </c>
      <c r="P17" t="s">
        <v>1066</v>
      </c>
    </row>
    <row r="18" spans="1:16" ht="12.75" customHeight="1" x14ac:dyDescent="0.2">
      <c r="A18" t="s">
        <v>604</v>
      </c>
      <c r="B18" t="s">
        <v>651</v>
      </c>
      <c r="C18" t="s">
        <v>1181</v>
      </c>
      <c r="D18" t="s">
        <v>1163</v>
      </c>
      <c r="E18" t="s">
        <v>399</v>
      </c>
      <c r="F18" s="1">
        <v>43809</v>
      </c>
      <c r="G18" s="1">
        <v>43839</v>
      </c>
      <c r="H18" t="s">
        <v>988</v>
      </c>
      <c r="I18">
        <v>30.25</v>
      </c>
      <c r="J18">
        <v>30.25</v>
      </c>
      <c r="K18">
        <v>0</v>
      </c>
      <c r="L18">
        <v>0</v>
      </c>
      <c r="M18">
        <v>0</v>
      </c>
      <c r="N18">
        <v>30.25</v>
      </c>
      <c r="O18" s="14">
        <f t="shared" ca="1" si="0"/>
        <v>2331</v>
      </c>
      <c r="P18" t="s">
        <v>1066</v>
      </c>
    </row>
    <row r="19" spans="1:16" ht="12.75" customHeight="1" x14ac:dyDescent="0.2">
      <c r="A19" t="s">
        <v>604</v>
      </c>
      <c r="B19" t="s">
        <v>651</v>
      </c>
      <c r="C19" t="s">
        <v>1181</v>
      </c>
      <c r="D19" t="s">
        <v>1163</v>
      </c>
      <c r="E19" t="s">
        <v>399</v>
      </c>
      <c r="F19" s="1">
        <v>43822</v>
      </c>
      <c r="G19" s="1">
        <v>43852</v>
      </c>
      <c r="H19" t="s">
        <v>256</v>
      </c>
      <c r="I19">
        <v>3882.45</v>
      </c>
      <c r="J19">
        <v>3882.45</v>
      </c>
      <c r="K19">
        <v>0</v>
      </c>
      <c r="L19">
        <v>0</v>
      </c>
      <c r="M19">
        <v>0</v>
      </c>
      <c r="N19">
        <v>3882.45</v>
      </c>
      <c r="O19" s="14">
        <f t="shared" ca="1" si="0"/>
        <v>2318</v>
      </c>
      <c r="P19" t="s">
        <v>1066</v>
      </c>
    </row>
    <row r="20" spans="1:16" ht="12.75" customHeight="1" x14ac:dyDescent="0.2">
      <c r="A20" t="s">
        <v>604</v>
      </c>
      <c r="B20" t="s">
        <v>651</v>
      </c>
      <c r="C20" t="s">
        <v>1181</v>
      </c>
      <c r="D20" t="s">
        <v>1163</v>
      </c>
      <c r="E20" t="s">
        <v>399</v>
      </c>
      <c r="F20" s="1">
        <v>43830</v>
      </c>
      <c r="G20" s="1">
        <v>43860</v>
      </c>
      <c r="H20" t="s">
        <v>524</v>
      </c>
      <c r="I20">
        <v>30.25</v>
      </c>
      <c r="J20">
        <v>30.25</v>
      </c>
      <c r="K20">
        <v>0</v>
      </c>
      <c r="L20">
        <v>0</v>
      </c>
      <c r="M20">
        <v>0</v>
      </c>
      <c r="N20">
        <v>30.25</v>
      </c>
      <c r="O20" s="14">
        <f t="shared" ca="1" si="0"/>
        <v>2310</v>
      </c>
      <c r="P20" t="s">
        <v>1066</v>
      </c>
    </row>
    <row r="21" spans="1:16" ht="12.75" customHeight="1" x14ac:dyDescent="0.2">
      <c r="A21" t="s">
        <v>604</v>
      </c>
      <c r="B21" t="s">
        <v>651</v>
      </c>
      <c r="C21" t="s">
        <v>1181</v>
      </c>
      <c r="D21" t="s">
        <v>1163</v>
      </c>
      <c r="E21" t="s">
        <v>399</v>
      </c>
      <c r="F21" s="1">
        <v>43830</v>
      </c>
      <c r="G21" s="1">
        <v>43860</v>
      </c>
      <c r="H21" t="s">
        <v>834</v>
      </c>
      <c r="I21">
        <v>61.01</v>
      </c>
      <c r="J21">
        <v>61.01</v>
      </c>
      <c r="K21">
        <v>0</v>
      </c>
      <c r="L21">
        <v>0</v>
      </c>
      <c r="M21">
        <v>0</v>
      </c>
      <c r="N21">
        <v>61.01</v>
      </c>
      <c r="O21" s="14">
        <f t="shared" ca="1" si="0"/>
        <v>2310</v>
      </c>
      <c r="P21" t="s">
        <v>1066</v>
      </c>
    </row>
    <row r="22" spans="1:16" ht="12.75" customHeight="1" x14ac:dyDescent="0.2">
      <c r="A22" t="s">
        <v>604</v>
      </c>
      <c r="B22" t="s">
        <v>651</v>
      </c>
      <c r="C22" t="s">
        <v>1181</v>
      </c>
      <c r="D22" t="s">
        <v>1163</v>
      </c>
      <c r="E22" t="s">
        <v>399</v>
      </c>
      <c r="F22" s="1">
        <v>43830</v>
      </c>
      <c r="G22" s="1">
        <v>43860</v>
      </c>
      <c r="H22" t="s">
        <v>1301</v>
      </c>
      <c r="I22">
        <v>448.46</v>
      </c>
      <c r="J22">
        <v>448.46</v>
      </c>
      <c r="K22">
        <v>0</v>
      </c>
      <c r="L22">
        <v>0</v>
      </c>
      <c r="M22">
        <v>0</v>
      </c>
      <c r="N22">
        <v>448.46</v>
      </c>
      <c r="O22" s="14">
        <f t="shared" ca="1" si="0"/>
        <v>2310</v>
      </c>
      <c r="P22" t="s">
        <v>1066</v>
      </c>
    </row>
    <row r="23" spans="1:16" ht="12.75" customHeight="1" x14ac:dyDescent="0.2">
      <c r="A23" t="s">
        <v>604</v>
      </c>
      <c r="B23" t="s">
        <v>651</v>
      </c>
      <c r="C23" t="s">
        <v>1181</v>
      </c>
      <c r="D23" t="s">
        <v>1163</v>
      </c>
      <c r="E23" t="s">
        <v>399</v>
      </c>
      <c r="F23" s="1">
        <v>43865</v>
      </c>
      <c r="G23" s="1">
        <v>43895</v>
      </c>
      <c r="H23" t="s">
        <v>1083</v>
      </c>
      <c r="I23">
        <v>253.5</v>
      </c>
      <c r="J23">
        <v>253.5</v>
      </c>
      <c r="K23">
        <v>0</v>
      </c>
      <c r="L23">
        <v>0</v>
      </c>
      <c r="M23">
        <v>0</v>
      </c>
      <c r="N23">
        <v>253.5</v>
      </c>
      <c r="O23" s="14">
        <f t="shared" ca="1" si="0"/>
        <v>2275</v>
      </c>
      <c r="P23" t="s">
        <v>1066</v>
      </c>
    </row>
    <row r="24" spans="1:16" ht="12.75" customHeight="1" x14ac:dyDescent="0.2">
      <c r="A24" t="s">
        <v>604</v>
      </c>
      <c r="B24" t="s">
        <v>651</v>
      </c>
      <c r="C24" t="s">
        <v>1181</v>
      </c>
      <c r="D24" t="s">
        <v>1163</v>
      </c>
      <c r="E24" t="s">
        <v>399</v>
      </c>
      <c r="F24" s="1">
        <v>43865</v>
      </c>
      <c r="G24" s="1">
        <v>43895</v>
      </c>
      <c r="H24" t="s">
        <v>1024</v>
      </c>
      <c r="I24">
        <v>253.5</v>
      </c>
      <c r="J24">
        <v>253.5</v>
      </c>
      <c r="K24">
        <v>0</v>
      </c>
      <c r="L24">
        <v>0</v>
      </c>
      <c r="M24">
        <v>0</v>
      </c>
      <c r="N24">
        <v>253.5</v>
      </c>
      <c r="O24" s="14">
        <f t="shared" ca="1" si="0"/>
        <v>2275</v>
      </c>
      <c r="P24" t="s">
        <v>1066</v>
      </c>
    </row>
    <row r="25" spans="1:16" ht="12.75" customHeight="1" x14ac:dyDescent="0.2">
      <c r="A25" t="s">
        <v>604</v>
      </c>
      <c r="B25" t="s">
        <v>651</v>
      </c>
      <c r="C25" t="s">
        <v>1181</v>
      </c>
      <c r="D25" t="s">
        <v>1163</v>
      </c>
      <c r="E25" t="s">
        <v>399</v>
      </c>
      <c r="F25" s="1">
        <v>43893</v>
      </c>
      <c r="G25" s="1">
        <v>43923</v>
      </c>
      <c r="H25" t="s">
        <v>396</v>
      </c>
      <c r="I25">
        <v>253.5</v>
      </c>
      <c r="J25">
        <v>253.5</v>
      </c>
      <c r="K25">
        <v>0</v>
      </c>
      <c r="L25">
        <v>0</v>
      </c>
      <c r="M25">
        <v>0</v>
      </c>
      <c r="N25">
        <v>253.5</v>
      </c>
      <c r="O25" s="14">
        <f t="shared" ca="1" si="0"/>
        <v>2247</v>
      </c>
      <c r="P25" t="s">
        <v>1066</v>
      </c>
    </row>
    <row r="26" spans="1:16" ht="12.75" customHeight="1" x14ac:dyDescent="0.2">
      <c r="A26" t="s">
        <v>604</v>
      </c>
      <c r="B26" t="s">
        <v>651</v>
      </c>
      <c r="C26" t="s">
        <v>1181</v>
      </c>
      <c r="D26" t="s">
        <v>1163</v>
      </c>
      <c r="E26" t="s">
        <v>399</v>
      </c>
      <c r="F26" s="1">
        <v>43928</v>
      </c>
      <c r="G26" s="1">
        <v>43958</v>
      </c>
      <c r="H26" t="s">
        <v>654</v>
      </c>
      <c r="I26">
        <v>253.5</v>
      </c>
      <c r="J26">
        <v>253.5</v>
      </c>
      <c r="K26">
        <v>0</v>
      </c>
      <c r="L26">
        <v>0</v>
      </c>
      <c r="M26">
        <v>0</v>
      </c>
      <c r="N26">
        <v>253.5</v>
      </c>
      <c r="O26" s="14">
        <f t="shared" ca="1" si="0"/>
        <v>2212</v>
      </c>
      <c r="P26" t="s">
        <v>1066</v>
      </c>
    </row>
    <row r="27" spans="1:16" ht="12.75" customHeight="1" x14ac:dyDescent="0.2">
      <c r="A27" t="s">
        <v>604</v>
      </c>
      <c r="B27" t="s">
        <v>651</v>
      </c>
      <c r="C27" t="s">
        <v>1181</v>
      </c>
      <c r="D27" t="s">
        <v>1163</v>
      </c>
      <c r="E27" t="s">
        <v>399</v>
      </c>
      <c r="F27" s="1">
        <v>43952</v>
      </c>
      <c r="G27" s="1">
        <v>43982</v>
      </c>
      <c r="H27" t="s">
        <v>337</v>
      </c>
      <c r="I27">
        <v>121.65</v>
      </c>
      <c r="J27">
        <v>121.65</v>
      </c>
      <c r="K27">
        <v>0</v>
      </c>
      <c r="L27">
        <v>0</v>
      </c>
      <c r="M27">
        <v>0</v>
      </c>
      <c r="N27">
        <v>121.65</v>
      </c>
      <c r="O27" s="14">
        <f t="shared" ca="1" si="0"/>
        <v>2188</v>
      </c>
      <c r="P27" t="s">
        <v>1066</v>
      </c>
    </row>
    <row r="28" spans="1:16" ht="12.75" customHeight="1" x14ac:dyDescent="0.2">
      <c r="A28" t="s">
        <v>604</v>
      </c>
      <c r="B28" t="s">
        <v>651</v>
      </c>
      <c r="C28" t="s">
        <v>1181</v>
      </c>
      <c r="D28" t="s">
        <v>1163</v>
      </c>
      <c r="E28" t="s">
        <v>399</v>
      </c>
      <c r="F28" s="1">
        <v>43957</v>
      </c>
      <c r="G28" s="1">
        <v>43987</v>
      </c>
      <c r="H28" t="s">
        <v>1001</v>
      </c>
      <c r="I28">
        <v>256.52</v>
      </c>
      <c r="J28">
        <v>256.52</v>
      </c>
      <c r="K28">
        <v>0</v>
      </c>
      <c r="L28">
        <v>0</v>
      </c>
      <c r="M28">
        <v>0</v>
      </c>
      <c r="N28">
        <v>256.52</v>
      </c>
      <c r="O28" s="14">
        <f t="shared" ca="1" si="0"/>
        <v>2183</v>
      </c>
      <c r="P28" t="s">
        <v>1066</v>
      </c>
    </row>
    <row r="29" spans="1:16" ht="12.75" customHeight="1" x14ac:dyDescent="0.2">
      <c r="A29" t="s">
        <v>604</v>
      </c>
      <c r="B29" t="s">
        <v>651</v>
      </c>
      <c r="C29" t="s">
        <v>1181</v>
      </c>
      <c r="D29" t="s">
        <v>1163</v>
      </c>
      <c r="E29" t="s">
        <v>399</v>
      </c>
      <c r="F29" s="1">
        <v>43957</v>
      </c>
      <c r="G29" s="1">
        <v>43987</v>
      </c>
      <c r="H29" t="s">
        <v>1004</v>
      </c>
      <c r="I29">
        <v>12.1</v>
      </c>
      <c r="J29">
        <v>12.1</v>
      </c>
      <c r="K29">
        <v>0</v>
      </c>
      <c r="L29">
        <v>0</v>
      </c>
      <c r="M29">
        <v>0</v>
      </c>
      <c r="N29">
        <v>12.1</v>
      </c>
      <c r="O29" s="14">
        <f t="shared" ca="1" si="0"/>
        <v>2183</v>
      </c>
      <c r="P29" t="s">
        <v>1066</v>
      </c>
    </row>
    <row r="30" spans="1:16" ht="12.75" customHeight="1" x14ac:dyDescent="0.2">
      <c r="A30" t="s">
        <v>604</v>
      </c>
      <c r="B30" t="s">
        <v>651</v>
      </c>
      <c r="C30" t="s">
        <v>1181</v>
      </c>
      <c r="D30" t="s">
        <v>1163</v>
      </c>
      <c r="E30" t="s">
        <v>399</v>
      </c>
      <c r="F30" s="1">
        <v>43984</v>
      </c>
      <c r="G30" s="1">
        <v>44014</v>
      </c>
      <c r="H30" t="s">
        <v>754</v>
      </c>
      <c r="I30">
        <v>258.94</v>
      </c>
      <c r="J30">
        <v>258.94</v>
      </c>
      <c r="K30">
        <v>0</v>
      </c>
      <c r="L30">
        <v>0</v>
      </c>
      <c r="M30">
        <v>0</v>
      </c>
      <c r="N30">
        <v>258.94</v>
      </c>
      <c r="O30" s="14">
        <f t="shared" ca="1" si="0"/>
        <v>2156</v>
      </c>
      <c r="P30" t="s">
        <v>1066</v>
      </c>
    </row>
    <row r="31" spans="1:16" ht="12.75" customHeight="1" x14ac:dyDescent="0.2">
      <c r="A31" t="s">
        <v>604</v>
      </c>
      <c r="B31" t="s">
        <v>651</v>
      </c>
      <c r="C31" t="s">
        <v>1181</v>
      </c>
      <c r="D31" t="s">
        <v>1163</v>
      </c>
      <c r="E31" t="s">
        <v>399</v>
      </c>
      <c r="F31" s="1">
        <v>44013</v>
      </c>
      <c r="G31" s="1">
        <v>44043</v>
      </c>
      <c r="H31" t="s">
        <v>965</v>
      </c>
      <c r="I31">
        <v>258.94</v>
      </c>
      <c r="J31">
        <v>258.94</v>
      </c>
      <c r="K31">
        <v>0</v>
      </c>
      <c r="L31">
        <v>0</v>
      </c>
      <c r="M31">
        <v>0</v>
      </c>
      <c r="N31">
        <v>258.94</v>
      </c>
      <c r="O31" s="14">
        <f t="shared" ca="1" si="0"/>
        <v>2127</v>
      </c>
      <c r="P31" t="s">
        <v>1066</v>
      </c>
    </row>
    <row r="32" spans="1:16" ht="12.75" customHeight="1" x14ac:dyDescent="0.2">
      <c r="A32" t="s">
        <v>604</v>
      </c>
      <c r="B32" t="s">
        <v>651</v>
      </c>
      <c r="C32" t="s">
        <v>1181</v>
      </c>
      <c r="D32" t="s">
        <v>1163</v>
      </c>
      <c r="E32" t="s">
        <v>399</v>
      </c>
      <c r="F32" s="1">
        <v>44013</v>
      </c>
      <c r="G32" s="1">
        <v>44043</v>
      </c>
      <c r="H32" t="s">
        <v>478</v>
      </c>
      <c r="I32">
        <v>17.25</v>
      </c>
      <c r="J32">
        <v>17.25</v>
      </c>
      <c r="K32">
        <v>0</v>
      </c>
      <c r="L32">
        <v>0</v>
      </c>
      <c r="M32">
        <v>0</v>
      </c>
      <c r="N32">
        <v>17.25</v>
      </c>
      <c r="O32" s="14">
        <f t="shared" ca="1" si="0"/>
        <v>2127</v>
      </c>
      <c r="P32" t="s">
        <v>1066</v>
      </c>
    </row>
    <row r="33" spans="1:16" ht="12.75" customHeight="1" x14ac:dyDescent="0.2">
      <c r="A33" t="s">
        <v>604</v>
      </c>
      <c r="B33" t="s">
        <v>651</v>
      </c>
      <c r="C33" t="s">
        <v>1181</v>
      </c>
      <c r="D33" t="s">
        <v>1163</v>
      </c>
      <c r="E33" t="s">
        <v>399</v>
      </c>
      <c r="F33" s="1">
        <v>44047</v>
      </c>
      <c r="G33" s="1">
        <v>44077</v>
      </c>
      <c r="H33" t="s">
        <v>901</v>
      </c>
      <c r="I33">
        <v>258.94</v>
      </c>
      <c r="J33">
        <v>258.94</v>
      </c>
      <c r="K33">
        <v>0</v>
      </c>
      <c r="L33">
        <v>0</v>
      </c>
      <c r="M33">
        <v>0</v>
      </c>
      <c r="N33">
        <v>258.94</v>
      </c>
      <c r="O33" s="14">
        <f t="shared" ca="1" si="0"/>
        <v>2093</v>
      </c>
      <c r="P33" t="s">
        <v>1066</v>
      </c>
    </row>
    <row r="34" spans="1:16" ht="12.75" customHeight="1" x14ac:dyDescent="0.2">
      <c r="A34" t="s">
        <v>604</v>
      </c>
      <c r="B34" t="s">
        <v>651</v>
      </c>
      <c r="C34" t="s">
        <v>1181</v>
      </c>
      <c r="D34" t="s">
        <v>1163</v>
      </c>
      <c r="E34" t="s">
        <v>399</v>
      </c>
      <c r="F34" s="1">
        <v>44075</v>
      </c>
      <c r="G34" s="1">
        <v>44105</v>
      </c>
      <c r="H34" t="s">
        <v>1238</v>
      </c>
      <c r="I34">
        <v>258.94</v>
      </c>
      <c r="J34">
        <v>258.94</v>
      </c>
      <c r="K34">
        <v>0</v>
      </c>
      <c r="L34">
        <v>0</v>
      </c>
      <c r="M34">
        <v>0</v>
      </c>
      <c r="N34">
        <v>258.94</v>
      </c>
      <c r="O34" s="14">
        <f t="shared" ca="1" si="0"/>
        <v>2065</v>
      </c>
      <c r="P34" t="s">
        <v>1066</v>
      </c>
    </row>
    <row r="35" spans="1:16" ht="12.75" customHeight="1" x14ac:dyDescent="0.2">
      <c r="A35" t="s">
        <v>604</v>
      </c>
      <c r="B35" t="s">
        <v>651</v>
      </c>
      <c r="C35" t="s">
        <v>1181</v>
      </c>
      <c r="D35" t="s">
        <v>1163</v>
      </c>
      <c r="E35" t="s">
        <v>399</v>
      </c>
      <c r="F35" s="1">
        <v>44110</v>
      </c>
      <c r="G35" s="1">
        <v>44140</v>
      </c>
      <c r="H35" t="s">
        <v>1198</v>
      </c>
      <c r="I35">
        <v>258.94</v>
      </c>
      <c r="J35">
        <v>258.94</v>
      </c>
      <c r="K35">
        <v>0</v>
      </c>
      <c r="L35">
        <v>0</v>
      </c>
      <c r="M35">
        <v>0</v>
      </c>
      <c r="N35">
        <v>258.94</v>
      </c>
      <c r="O35" s="14">
        <f t="shared" ca="1" si="0"/>
        <v>2030</v>
      </c>
      <c r="P35" t="s">
        <v>1066</v>
      </c>
    </row>
    <row r="36" spans="1:16" ht="12.75" customHeight="1" x14ac:dyDescent="0.2">
      <c r="A36" t="s">
        <v>604</v>
      </c>
      <c r="B36" t="s">
        <v>651</v>
      </c>
      <c r="C36" t="s">
        <v>1181</v>
      </c>
      <c r="D36" t="s">
        <v>1163</v>
      </c>
      <c r="E36" t="s">
        <v>399</v>
      </c>
      <c r="F36" s="1">
        <v>44138</v>
      </c>
      <c r="G36" s="1">
        <v>44168</v>
      </c>
      <c r="H36" t="s">
        <v>859</v>
      </c>
      <c r="I36">
        <v>258.94</v>
      </c>
      <c r="J36">
        <v>258.94</v>
      </c>
      <c r="K36">
        <v>0</v>
      </c>
      <c r="L36">
        <v>0</v>
      </c>
      <c r="M36">
        <v>0</v>
      </c>
      <c r="N36">
        <v>258.94</v>
      </c>
      <c r="O36" s="14">
        <f t="shared" ca="1" si="0"/>
        <v>2002</v>
      </c>
      <c r="P36" t="s">
        <v>1066</v>
      </c>
    </row>
    <row r="37" spans="1:16" ht="12.75" customHeight="1" x14ac:dyDescent="0.2">
      <c r="A37" t="s">
        <v>604</v>
      </c>
      <c r="B37" t="s">
        <v>651</v>
      </c>
      <c r="C37" t="s">
        <v>1181</v>
      </c>
      <c r="D37" t="s">
        <v>1163</v>
      </c>
      <c r="E37" t="s">
        <v>399</v>
      </c>
      <c r="F37" s="1">
        <v>44166</v>
      </c>
      <c r="G37" s="1">
        <v>44196</v>
      </c>
      <c r="H37" t="s">
        <v>1266</v>
      </c>
      <c r="I37">
        <v>258.94</v>
      </c>
      <c r="J37">
        <v>258.94</v>
      </c>
      <c r="K37">
        <v>0</v>
      </c>
      <c r="L37">
        <v>0</v>
      </c>
      <c r="M37">
        <v>0</v>
      </c>
      <c r="N37">
        <v>258.94</v>
      </c>
      <c r="O37" s="14">
        <f t="shared" ca="1" si="0"/>
        <v>1974</v>
      </c>
      <c r="P37" t="s">
        <v>1066</v>
      </c>
    </row>
    <row r="38" spans="1:16" ht="12.75" customHeight="1" x14ac:dyDescent="0.2">
      <c r="A38" t="s">
        <v>604</v>
      </c>
      <c r="B38" t="s">
        <v>651</v>
      </c>
      <c r="C38" t="s">
        <v>1181</v>
      </c>
      <c r="D38" t="s">
        <v>1163</v>
      </c>
      <c r="E38" t="s">
        <v>399</v>
      </c>
      <c r="F38" s="1">
        <v>44168</v>
      </c>
      <c r="G38" s="1">
        <v>44198</v>
      </c>
      <c r="H38" t="s">
        <v>113</v>
      </c>
      <c r="I38">
        <v>4764.68</v>
      </c>
      <c r="J38">
        <v>4764.68</v>
      </c>
      <c r="K38">
        <v>0</v>
      </c>
      <c r="L38">
        <v>0</v>
      </c>
      <c r="M38">
        <v>0</v>
      </c>
      <c r="N38">
        <v>4764.68</v>
      </c>
      <c r="O38" s="14">
        <f t="shared" ca="1" si="0"/>
        <v>1972</v>
      </c>
      <c r="P38" t="s">
        <v>1066</v>
      </c>
    </row>
    <row r="39" spans="1:16" ht="12.75" customHeight="1" x14ac:dyDescent="0.2">
      <c r="A39" t="s">
        <v>604</v>
      </c>
      <c r="B39" t="s">
        <v>651</v>
      </c>
      <c r="C39" t="s">
        <v>1181</v>
      </c>
      <c r="D39" t="s">
        <v>1163</v>
      </c>
      <c r="E39" t="s">
        <v>399</v>
      </c>
      <c r="F39" s="1">
        <v>44203</v>
      </c>
      <c r="G39" s="1">
        <v>44233</v>
      </c>
      <c r="H39" t="s">
        <v>1267</v>
      </c>
      <c r="I39">
        <v>258.94</v>
      </c>
      <c r="J39">
        <v>258.94</v>
      </c>
      <c r="K39">
        <v>0</v>
      </c>
      <c r="L39">
        <v>0</v>
      </c>
      <c r="M39">
        <v>0</v>
      </c>
      <c r="N39">
        <v>258.94</v>
      </c>
      <c r="O39" s="14">
        <f t="shared" ca="1" si="0"/>
        <v>1937</v>
      </c>
      <c r="P39" t="s">
        <v>1066</v>
      </c>
    </row>
    <row r="40" spans="1:16" ht="12.75" customHeight="1" x14ac:dyDescent="0.2">
      <c r="A40" t="s">
        <v>604</v>
      </c>
      <c r="B40" t="s">
        <v>651</v>
      </c>
      <c r="C40" t="s">
        <v>1181</v>
      </c>
      <c r="D40" t="s">
        <v>1163</v>
      </c>
      <c r="E40" t="s">
        <v>399</v>
      </c>
      <c r="F40" s="1">
        <v>44243</v>
      </c>
      <c r="G40" s="1">
        <v>44273</v>
      </c>
      <c r="H40" t="s">
        <v>632</v>
      </c>
      <c r="I40">
        <v>258.94</v>
      </c>
      <c r="J40">
        <v>258.94</v>
      </c>
      <c r="K40">
        <v>0</v>
      </c>
      <c r="L40">
        <v>0</v>
      </c>
      <c r="M40">
        <v>0</v>
      </c>
      <c r="N40">
        <v>258.94</v>
      </c>
      <c r="O40" s="14">
        <f t="shared" ca="1" si="0"/>
        <v>1897</v>
      </c>
      <c r="P40" t="s">
        <v>1066</v>
      </c>
    </row>
    <row r="41" spans="1:16" ht="12.75" customHeight="1" x14ac:dyDescent="0.2">
      <c r="A41" t="s">
        <v>604</v>
      </c>
      <c r="B41" t="s">
        <v>651</v>
      </c>
      <c r="C41" t="s">
        <v>1181</v>
      </c>
      <c r="D41" t="s">
        <v>1163</v>
      </c>
      <c r="E41" t="s">
        <v>399</v>
      </c>
      <c r="F41" s="1">
        <v>44257</v>
      </c>
      <c r="G41" s="1">
        <v>44287</v>
      </c>
      <c r="H41" t="s">
        <v>1218</v>
      </c>
      <c r="I41">
        <v>258.94</v>
      </c>
      <c r="J41">
        <v>258.94</v>
      </c>
      <c r="K41">
        <v>0</v>
      </c>
      <c r="L41">
        <v>0</v>
      </c>
      <c r="M41">
        <v>0</v>
      </c>
      <c r="N41">
        <v>258.94</v>
      </c>
      <c r="O41" s="14">
        <f t="shared" ca="1" si="0"/>
        <v>1883</v>
      </c>
      <c r="P41" t="s">
        <v>1066</v>
      </c>
    </row>
    <row r="42" spans="1:16" ht="12.75" customHeight="1" x14ac:dyDescent="0.2">
      <c r="A42" t="s">
        <v>604</v>
      </c>
      <c r="B42" t="s">
        <v>651</v>
      </c>
      <c r="C42" t="s">
        <v>1181</v>
      </c>
      <c r="D42" t="s">
        <v>1163</v>
      </c>
      <c r="E42" t="s">
        <v>399</v>
      </c>
      <c r="F42" s="1">
        <v>44286</v>
      </c>
      <c r="G42" s="1">
        <v>44316</v>
      </c>
      <c r="H42" t="s">
        <v>92</v>
      </c>
      <c r="I42">
        <v>258.94</v>
      </c>
      <c r="J42">
        <v>258.94</v>
      </c>
      <c r="K42">
        <v>0</v>
      </c>
      <c r="L42">
        <v>0</v>
      </c>
      <c r="M42">
        <v>0</v>
      </c>
      <c r="N42">
        <v>258.94</v>
      </c>
      <c r="O42" s="14">
        <f t="shared" ca="1" si="0"/>
        <v>1854</v>
      </c>
      <c r="P42" t="s">
        <v>1066</v>
      </c>
    </row>
    <row r="43" spans="1:16" ht="12.75" customHeight="1" x14ac:dyDescent="0.2">
      <c r="A43" t="s">
        <v>604</v>
      </c>
      <c r="B43" t="s">
        <v>651</v>
      </c>
      <c r="C43" t="s">
        <v>1181</v>
      </c>
      <c r="D43" t="s">
        <v>1163</v>
      </c>
      <c r="E43" t="s">
        <v>399</v>
      </c>
      <c r="F43" s="1">
        <v>44320</v>
      </c>
      <c r="G43" s="1">
        <v>44350</v>
      </c>
      <c r="H43" t="s">
        <v>872</v>
      </c>
      <c r="I43">
        <v>258.94</v>
      </c>
      <c r="J43">
        <v>258.94</v>
      </c>
      <c r="K43">
        <v>0</v>
      </c>
      <c r="L43">
        <v>0</v>
      </c>
      <c r="M43">
        <v>0</v>
      </c>
      <c r="N43">
        <v>258.94</v>
      </c>
      <c r="O43" s="14">
        <f t="shared" ca="1" si="0"/>
        <v>1820</v>
      </c>
      <c r="P43" t="s">
        <v>1066</v>
      </c>
    </row>
    <row r="44" spans="1:16" ht="12.75" customHeight="1" x14ac:dyDescent="0.2">
      <c r="A44" t="s">
        <v>604</v>
      </c>
      <c r="B44" t="s">
        <v>651</v>
      </c>
      <c r="C44" t="s">
        <v>1181</v>
      </c>
      <c r="D44" t="s">
        <v>1163</v>
      </c>
      <c r="E44" t="s">
        <v>399</v>
      </c>
      <c r="F44" s="1">
        <v>44348</v>
      </c>
      <c r="G44" s="1">
        <v>44378</v>
      </c>
      <c r="H44" t="s">
        <v>280</v>
      </c>
      <c r="I44">
        <v>258.94</v>
      </c>
      <c r="J44">
        <v>258.94</v>
      </c>
      <c r="K44">
        <v>0</v>
      </c>
      <c r="L44">
        <v>0</v>
      </c>
      <c r="M44">
        <v>0</v>
      </c>
      <c r="N44">
        <v>258.94</v>
      </c>
      <c r="O44" s="14">
        <f t="shared" ca="1" si="0"/>
        <v>1792</v>
      </c>
      <c r="P44" t="s">
        <v>1066</v>
      </c>
    </row>
    <row r="45" spans="1:16" ht="12.75" customHeight="1" x14ac:dyDescent="0.2">
      <c r="A45" t="s">
        <v>604</v>
      </c>
      <c r="B45" t="s">
        <v>651</v>
      </c>
      <c r="C45" t="s">
        <v>1181</v>
      </c>
      <c r="D45" t="s">
        <v>1163</v>
      </c>
      <c r="E45" t="s">
        <v>399</v>
      </c>
      <c r="F45" s="1">
        <v>44378</v>
      </c>
      <c r="G45" s="1">
        <v>44408</v>
      </c>
      <c r="H45" t="s">
        <v>1138</v>
      </c>
      <c r="I45">
        <v>258.94</v>
      </c>
      <c r="J45">
        <v>258.94</v>
      </c>
      <c r="K45">
        <v>0</v>
      </c>
      <c r="L45">
        <v>0</v>
      </c>
      <c r="M45">
        <v>0</v>
      </c>
      <c r="N45">
        <v>258.94</v>
      </c>
      <c r="O45" s="14">
        <f t="shared" ca="1" si="0"/>
        <v>1762</v>
      </c>
      <c r="P45" t="s">
        <v>1066</v>
      </c>
    </row>
    <row r="46" spans="1:16" ht="12.75" customHeight="1" x14ac:dyDescent="0.2">
      <c r="A46" t="s">
        <v>604</v>
      </c>
      <c r="B46" t="s">
        <v>651</v>
      </c>
      <c r="C46" t="s">
        <v>1181</v>
      </c>
      <c r="D46" t="s">
        <v>1163</v>
      </c>
      <c r="E46" t="s">
        <v>399</v>
      </c>
      <c r="F46" s="1">
        <v>44412</v>
      </c>
      <c r="G46" s="1">
        <v>44442</v>
      </c>
      <c r="H46" t="s">
        <v>1295</v>
      </c>
      <c r="I46">
        <v>258.94</v>
      </c>
      <c r="J46">
        <v>258.94</v>
      </c>
      <c r="K46">
        <v>0</v>
      </c>
      <c r="L46">
        <v>0</v>
      </c>
      <c r="M46">
        <v>0</v>
      </c>
      <c r="N46">
        <v>258.94</v>
      </c>
      <c r="O46" s="14">
        <f t="shared" ca="1" si="0"/>
        <v>1728</v>
      </c>
      <c r="P46" t="s">
        <v>1066</v>
      </c>
    </row>
    <row r="47" spans="1:16" ht="12.75" customHeight="1" x14ac:dyDescent="0.2">
      <c r="A47" t="s">
        <v>604</v>
      </c>
      <c r="B47" t="s">
        <v>651</v>
      </c>
      <c r="C47" t="s">
        <v>1181</v>
      </c>
      <c r="D47" t="s">
        <v>1163</v>
      </c>
      <c r="E47" t="s">
        <v>399</v>
      </c>
      <c r="F47" s="1">
        <v>44448</v>
      </c>
      <c r="G47" s="1">
        <v>44478</v>
      </c>
      <c r="H47" t="s">
        <v>52</v>
      </c>
      <c r="I47">
        <v>258.94</v>
      </c>
      <c r="J47">
        <v>258.94</v>
      </c>
      <c r="K47">
        <v>0</v>
      </c>
      <c r="L47">
        <v>0</v>
      </c>
      <c r="M47">
        <v>0</v>
      </c>
      <c r="N47">
        <v>258.94</v>
      </c>
      <c r="O47" s="14">
        <f t="shared" ca="1" si="0"/>
        <v>1692</v>
      </c>
      <c r="P47" t="s">
        <v>1066</v>
      </c>
    </row>
    <row r="48" spans="1:16" ht="12.75" customHeight="1" x14ac:dyDescent="0.2">
      <c r="A48" t="s">
        <v>604</v>
      </c>
      <c r="B48" t="s">
        <v>651</v>
      </c>
      <c r="C48" t="s">
        <v>1181</v>
      </c>
      <c r="D48" t="s">
        <v>1163</v>
      </c>
      <c r="E48" t="s">
        <v>399</v>
      </c>
      <c r="F48" s="1">
        <v>44470</v>
      </c>
      <c r="G48" s="1">
        <v>44500</v>
      </c>
      <c r="H48" t="s">
        <v>482</v>
      </c>
      <c r="I48">
        <v>258.94</v>
      </c>
      <c r="J48">
        <v>258.94</v>
      </c>
      <c r="K48">
        <v>0</v>
      </c>
      <c r="L48">
        <v>0</v>
      </c>
      <c r="M48">
        <v>0</v>
      </c>
      <c r="N48">
        <v>258.94</v>
      </c>
      <c r="O48" s="14">
        <f t="shared" ca="1" si="0"/>
        <v>1670</v>
      </c>
      <c r="P48" t="s">
        <v>1066</v>
      </c>
    </row>
    <row r="49" spans="1:16" ht="12.75" customHeight="1" x14ac:dyDescent="0.2">
      <c r="A49" t="s">
        <v>604</v>
      </c>
      <c r="B49" t="s">
        <v>651</v>
      </c>
      <c r="C49" t="s">
        <v>1181</v>
      </c>
      <c r="D49" t="s">
        <v>1163</v>
      </c>
      <c r="E49" t="s">
        <v>399</v>
      </c>
      <c r="F49" s="1">
        <v>44484</v>
      </c>
      <c r="G49" s="1">
        <v>44514</v>
      </c>
      <c r="H49" t="s">
        <v>292</v>
      </c>
      <c r="I49">
        <v>3438.12</v>
      </c>
      <c r="J49">
        <v>3438.12</v>
      </c>
      <c r="K49">
        <v>0</v>
      </c>
      <c r="L49">
        <v>0</v>
      </c>
      <c r="M49">
        <v>0</v>
      </c>
      <c r="N49">
        <v>3438.12</v>
      </c>
      <c r="O49" s="14">
        <f t="shared" ca="1" si="0"/>
        <v>1656</v>
      </c>
      <c r="P49" t="s">
        <v>1066</v>
      </c>
    </row>
    <row r="50" spans="1:16" ht="12.75" customHeight="1" x14ac:dyDescent="0.2">
      <c r="A50" t="s">
        <v>604</v>
      </c>
      <c r="B50" t="s">
        <v>651</v>
      </c>
      <c r="C50" t="s">
        <v>1181</v>
      </c>
      <c r="D50" t="s">
        <v>1163</v>
      </c>
      <c r="E50" t="s">
        <v>399</v>
      </c>
      <c r="F50" s="1">
        <v>44503</v>
      </c>
      <c r="G50" s="1">
        <v>44533</v>
      </c>
      <c r="H50" t="s">
        <v>927</v>
      </c>
      <c r="I50">
        <v>258.94</v>
      </c>
      <c r="J50">
        <v>258.94</v>
      </c>
      <c r="K50">
        <v>0</v>
      </c>
      <c r="L50">
        <v>0</v>
      </c>
      <c r="M50">
        <v>0</v>
      </c>
      <c r="N50">
        <v>258.94</v>
      </c>
      <c r="O50" s="14">
        <f t="shared" ca="1" si="0"/>
        <v>1637</v>
      </c>
      <c r="P50" t="s">
        <v>1066</v>
      </c>
    </row>
    <row r="51" spans="1:16" ht="12.75" customHeight="1" x14ac:dyDescent="0.2">
      <c r="A51" t="s">
        <v>604</v>
      </c>
      <c r="B51" t="s">
        <v>651</v>
      </c>
      <c r="C51" t="s">
        <v>1181</v>
      </c>
      <c r="D51" t="s">
        <v>1163</v>
      </c>
      <c r="E51" t="s">
        <v>399</v>
      </c>
      <c r="F51" s="1">
        <v>44532</v>
      </c>
      <c r="G51" s="1">
        <v>44562</v>
      </c>
      <c r="H51" t="s">
        <v>688</v>
      </c>
      <c r="I51">
        <v>258.94</v>
      </c>
      <c r="J51">
        <v>258.94</v>
      </c>
      <c r="K51">
        <v>0</v>
      </c>
      <c r="L51">
        <v>0</v>
      </c>
      <c r="M51">
        <v>0</v>
      </c>
      <c r="N51">
        <v>258.94</v>
      </c>
      <c r="O51" s="14">
        <f t="shared" ca="1" si="0"/>
        <v>1608</v>
      </c>
      <c r="P51" t="s">
        <v>1066</v>
      </c>
    </row>
    <row r="52" spans="1:16" ht="12.75" customHeight="1" x14ac:dyDescent="0.2">
      <c r="A52" t="s">
        <v>604</v>
      </c>
      <c r="B52" t="s">
        <v>651</v>
      </c>
      <c r="C52" t="s">
        <v>1181</v>
      </c>
      <c r="D52" t="s">
        <v>1163</v>
      </c>
      <c r="E52" t="s">
        <v>399</v>
      </c>
      <c r="F52" s="1">
        <v>44573</v>
      </c>
      <c r="G52" s="1">
        <v>44603</v>
      </c>
      <c r="H52" t="s">
        <v>747</v>
      </c>
      <c r="I52">
        <v>258.94</v>
      </c>
      <c r="J52">
        <v>258.94</v>
      </c>
      <c r="K52">
        <v>0</v>
      </c>
      <c r="L52">
        <v>0</v>
      </c>
      <c r="M52">
        <v>0</v>
      </c>
      <c r="N52">
        <v>258.94</v>
      </c>
      <c r="O52" s="14">
        <f t="shared" ca="1" si="0"/>
        <v>1567</v>
      </c>
      <c r="P52" t="s">
        <v>1066</v>
      </c>
    </row>
    <row r="53" spans="1:16" ht="12.75" customHeight="1" x14ac:dyDescent="0.2">
      <c r="A53" t="s">
        <v>604</v>
      </c>
      <c r="B53" t="s">
        <v>651</v>
      </c>
      <c r="C53" t="s">
        <v>1181</v>
      </c>
      <c r="D53" t="s">
        <v>1163</v>
      </c>
      <c r="E53" t="s">
        <v>399</v>
      </c>
      <c r="F53" s="1">
        <v>44596</v>
      </c>
      <c r="G53" s="1">
        <v>44626</v>
      </c>
      <c r="H53" t="s">
        <v>737</v>
      </c>
      <c r="I53">
        <v>258.94</v>
      </c>
      <c r="J53">
        <v>258.94</v>
      </c>
      <c r="K53">
        <v>0</v>
      </c>
      <c r="L53">
        <v>0</v>
      </c>
      <c r="M53">
        <v>0</v>
      </c>
      <c r="N53">
        <v>258.94</v>
      </c>
      <c r="O53" s="14">
        <f t="shared" ca="1" si="0"/>
        <v>1544</v>
      </c>
      <c r="P53" t="s">
        <v>1066</v>
      </c>
    </row>
    <row r="54" spans="1:16" ht="12.75" customHeight="1" x14ac:dyDescent="0.2">
      <c r="A54" t="s">
        <v>604</v>
      </c>
      <c r="B54" t="s">
        <v>651</v>
      </c>
      <c r="C54" t="s">
        <v>1181</v>
      </c>
      <c r="D54" t="s">
        <v>1163</v>
      </c>
      <c r="E54" t="s">
        <v>399</v>
      </c>
      <c r="F54" s="1">
        <v>44628</v>
      </c>
      <c r="G54" s="1">
        <v>44658</v>
      </c>
      <c r="H54" t="s">
        <v>398</v>
      </c>
      <c r="I54">
        <v>258.94</v>
      </c>
      <c r="J54">
        <v>258.94</v>
      </c>
      <c r="K54">
        <v>0</v>
      </c>
      <c r="L54">
        <v>0</v>
      </c>
      <c r="M54">
        <v>0</v>
      </c>
      <c r="N54">
        <v>258.94</v>
      </c>
      <c r="O54" s="14">
        <f t="shared" ca="1" si="0"/>
        <v>1512</v>
      </c>
      <c r="P54" t="s">
        <v>1066</v>
      </c>
    </row>
    <row r="55" spans="1:16" ht="12.75" customHeight="1" x14ac:dyDescent="0.2">
      <c r="A55" t="s">
        <v>604</v>
      </c>
      <c r="B55" t="s">
        <v>651</v>
      </c>
      <c r="C55" t="s">
        <v>1181</v>
      </c>
      <c r="D55" t="s">
        <v>1163</v>
      </c>
      <c r="E55" t="s">
        <v>399</v>
      </c>
      <c r="F55" s="1">
        <v>44658</v>
      </c>
      <c r="G55" s="1">
        <v>44688</v>
      </c>
      <c r="H55" t="s">
        <v>1116</v>
      </c>
      <c r="I55">
        <v>258.94</v>
      </c>
      <c r="J55">
        <v>258.94</v>
      </c>
      <c r="K55">
        <v>0</v>
      </c>
      <c r="L55">
        <v>0</v>
      </c>
      <c r="M55">
        <v>0</v>
      </c>
      <c r="N55">
        <v>258.94</v>
      </c>
      <c r="O55" s="14">
        <f t="shared" ca="1" si="0"/>
        <v>1482</v>
      </c>
      <c r="P55" t="s">
        <v>1066</v>
      </c>
    </row>
    <row r="56" spans="1:16" ht="12.75" customHeight="1" x14ac:dyDescent="0.2">
      <c r="A56" t="s">
        <v>604</v>
      </c>
      <c r="B56" t="s">
        <v>651</v>
      </c>
      <c r="C56" t="s">
        <v>1181</v>
      </c>
      <c r="D56" t="s">
        <v>1163</v>
      </c>
      <c r="E56" t="s">
        <v>399</v>
      </c>
      <c r="F56" s="1">
        <v>44684</v>
      </c>
      <c r="G56" s="1">
        <v>44714</v>
      </c>
      <c r="H56" t="s">
        <v>1185</v>
      </c>
      <c r="I56">
        <v>258.94</v>
      </c>
      <c r="J56">
        <v>258.94</v>
      </c>
      <c r="K56">
        <v>0</v>
      </c>
      <c r="L56">
        <v>0</v>
      </c>
      <c r="M56">
        <v>0</v>
      </c>
      <c r="N56">
        <v>258.94</v>
      </c>
      <c r="O56" s="14">
        <f t="shared" ca="1" si="0"/>
        <v>1456</v>
      </c>
      <c r="P56" t="s">
        <v>1066</v>
      </c>
    </row>
    <row r="57" spans="1:16" ht="12.75" customHeight="1" x14ac:dyDescent="0.2">
      <c r="A57" t="s">
        <v>604</v>
      </c>
      <c r="B57" t="s">
        <v>651</v>
      </c>
      <c r="C57" t="s">
        <v>1181</v>
      </c>
      <c r="D57" t="s">
        <v>1163</v>
      </c>
      <c r="E57" t="s">
        <v>399</v>
      </c>
      <c r="F57" s="1">
        <v>44714</v>
      </c>
      <c r="G57" s="1">
        <v>44744</v>
      </c>
      <c r="H57" t="s">
        <v>783</v>
      </c>
      <c r="I57">
        <v>258.94</v>
      </c>
      <c r="J57">
        <v>258.94</v>
      </c>
      <c r="K57">
        <v>0</v>
      </c>
      <c r="L57">
        <v>0</v>
      </c>
      <c r="M57">
        <v>0</v>
      </c>
      <c r="N57">
        <v>258.94</v>
      </c>
      <c r="O57" s="14">
        <f t="shared" ca="1" si="0"/>
        <v>1426</v>
      </c>
      <c r="P57" t="s">
        <v>1066</v>
      </c>
    </row>
    <row r="58" spans="1:16" ht="12.75" customHeight="1" x14ac:dyDescent="0.2">
      <c r="A58" t="s">
        <v>604</v>
      </c>
      <c r="B58" t="s">
        <v>651</v>
      </c>
      <c r="C58" t="s">
        <v>1181</v>
      </c>
      <c r="D58" t="s">
        <v>1163</v>
      </c>
      <c r="E58" t="s">
        <v>399</v>
      </c>
      <c r="F58" s="1">
        <v>44732</v>
      </c>
      <c r="G58" s="1">
        <v>44762</v>
      </c>
      <c r="H58" t="s">
        <v>293</v>
      </c>
      <c r="I58">
        <v>10608.07</v>
      </c>
      <c r="J58">
        <v>10608.07</v>
      </c>
      <c r="K58">
        <v>0</v>
      </c>
      <c r="L58">
        <v>0</v>
      </c>
      <c r="M58">
        <v>0</v>
      </c>
      <c r="N58">
        <v>10608.07</v>
      </c>
      <c r="O58" s="14">
        <f t="shared" ca="1" si="0"/>
        <v>1408</v>
      </c>
      <c r="P58" t="s">
        <v>1066</v>
      </c>
    </row>
    <row r="59" spans="1:16" ht="12.75" customHeight="1" x14ac:dyDescent="0.2">
      <c r="A59" t="s">
        <v>604</v>
      </c>
      <c r="B59" t="s">
        <v>651</v>
      </c>
      <c r="C59" t="s">
        <v>1181</v>
      </c>
      <c r="D59" t="s">
        <v>1163</v>
      </c>
      <c r="E59" t="s">
        <v>399</v>
      </c>
      <c r="F59" s="1">
        <v>44732</v>
      </c>
      <c r="G59" s="1">
        <v>44762</v>
      </c>
      <c r="H59" t="s">
        <v>294</v>
      </c>
      <c r="I59">
        <v>-10608.07</v>
      </c>
      <c r="J59">
        <v>-10608.07</v>
      </c>
      <c r="K59">
        <v>0</v>
      </c>
      <c r="L59">
        <v>0</v>
      </c>
      <c r="M59">
        <v>0</v>
      </c>
      <c r="N59">
        <v>-10608.07</v>
      </c>
      <c r="O59" s="14">
        <f t="shared" ca="1" si="0"/>
        <v>1408</v>
      </c>
      <c r="P59" t="s">
        <v>1066</v>
      </c>
    </row>
    <row r="60" spans="1:16" ht="12.75" customHeight="1" x14ac:dyDescent="0.2">
      <c r="A60" t="s">
        <v>604</v>
      </c>
      <c r="B60" t="s">
        <v>651</v>
      </c>
      <c r="C60" t="s">
        <v>1181</v>
      </c>
      <c r="D60" t="s">
        <v>1163</v>
      </c>
      <c r="E60" t="s">
        <v>399</v>
      </c>
      <c r="F60" s="1">
        <v>44754</v>
      </c>
      <c r="G60" s="1">
        <v>44784</v>
      </c>
      <c r="H60" t="s">
        <v>1144</v>
      </c>
      <c r="I60">
        <v>258.94</v>
      </c>
      <c r="J60">
        <v>258.94</v>
      </c>
      <c r="K60">
        <v>0</v>
      </c>
      <c r="L60">
        <v>0</v>
      </c>
      <c r="M60">
        <v>0</v>
      </c>
      <c r="N60">
        <v>258.94</v>
      </c>
      <c r="O60" s="14">
        <f t="shared" ca="1" si="0"/>
        <v>1386</v>
      </c>
      <c r="P60" t="s">
        <v>1066</v>
      </c>
    </row>
    <row r="61" spans="1:16" ht="12.75" customHeight="1" x14ac:dyDescent="0.2">
      <c r="A61" t="s">
        <v>604</v>
      </c>
      <c r="B61" t="s">
        <v>651</v>
      </c>
      <c r="C61" t="s">
        <v>1181</v>
      </c>
      <c r="D61" t="s">
        <v>1163</v>
      </c>
      <c r="E61" t="s">
        <v>399</v>
      </c>
      <c r="F61" s="1">
        <v>44777</v>
      </c>
      <c r="G61" s="1">
        <v>44807</v>
      </c>
      <c r="H61" t="s">
        <v>730</v>
      </c>
      <c r="I61">
        <v>258.94</v>
      </c>
      <c r="J61">
        <v>258.94</v>
      </c>
      <c r="K61">
        <v>0</v>
      </c>
      <c r="L61">
        <v>0</v>
      </c>
      <c r="M61">
        <v>0</v>
      </c>
      <c r="N61">
        <v>258.94</v>
      </c>
      <c r="O61" s="14">
        <f t="shared" ca="1" si="0"/>
        <v>1363</v>
      </c>
      <c r="P61" t="s">
        <v>1066</v>
      </c>
    </row>
    <row r="62" spans="1:16" ht="12.75" customHeight="1" x14ac:dyDescent="0.2">
      <c r="A62" t="s">
        <v>604</v>
      </c>
      <c r="B62" t="s">
        <v>651</v>
      </c>
      <c r="C62" t="s">
        <v>1181</v>
      </c>
      <c r="D62" t="s">
        <v>1163</v>
      </c>
      <c r="E62" t="s">
        <v>399</v>
      </c>
      <c r="F62" s="1">
        <v>44812</v>
      </c>
      <c r="G62" s="1">
        <v>44842</v>
      </c>
      <c r="H62" t="s">
        <v>1107</v>
      </c>
      <c r="I62">
        <v>293.43</v>
      </c>
      <c r="J62">
        <v>293.43</v>
      </c>
      <c r="K62">
        <v>0</v>
      </c>
      <c r="L62">
        <v>0</v>
      </c>
      <c r="M62">
        <v>0</v>
      </c>
      <c r="N62">
        <v>293.43</v>
      </c>
      <c r="O62" s="14">
        <f t="shared" ca="1" si="0"/>
        <v>1328</v>
      </c>
      <c r="P62" t="s">
        <v>1066</v>
      </c>
    </row>
    <row r="63" spans="1:16" ht="12.75" customHeight="1" x14ac:dyDescent="0.2">
      <c r="A63" t="s">
        <v>604</v>
      </c>
      <c r="B63" t="s">
        <v>651</v>
      </c>
      <c r="C63" t="s">
        <v>1181</v>
      </c>
      <c r="D63" t="s">
        <v>1163</v>
      </c>
      <c r="E63" t="s">
        <v>399</v>
      </c>
      <c r="F63" s="1">
        <v>44837</v>
      </c>
      <c r="G63" s="1">
        <v>44867</v>
      </c>
      <c r="H63" t="s">
        <v>66</v>
      </c>
      <c r="I63">
        <v>293.43</v>
      </c>
      <c r="J63">
        <v>293.43</v>
      </c>
      <c r="K63">
        <v>0</v>
      </c>
      <c r="L63">
        <v>0</v>
      </c>
      <c r="M63">
        <v>0</v>
      </c>
      <c r="N63">
        <v>293.43</v>
      </c>
      <c r="O63" s="14">
        <f t="shared" ca="1" si="0"/>
        <v>1303</v>
      </c>
      <c r="P63" t="s">
        <v>1066</v>
      </c>
    </row>
    <row r="64" spans="1:16" ht="12.75" customHeight="1" x14ac:dyDescent="0.2">
      <c r="A64" t="s">
        <v>604</v>
      </c>
      <c r="B64" t="s">
        <v>651</v>
      </c>
      <c r="C64" t="s">
        <v>1181</v>
      </c>
      <c r="D64" t="s">
        <v>1163</v>
      </c>
      <c r="E64" t="s">
        <v>399</v>
      </c>
      <c r="F64" s="1">
        <v>44868</v>
      </c>
      <c r="G64" s="1">
        <v>44898</v>
      </c>
      <c r="H64" t="s">
        <v>195</v>
      </c>
      <c r="I64">
        <v>293.43</v>
      </c>
      <c r="J64">
        <v>293.43</v>
      </c>
      <c r="K64">
        <v>0</v>
      </c>
      <c r="L64">
        <v>0</v>
      </c>
      <c r="M64">
        <v>0</v>
      </c>
      <c r="N64">
        <v>293.43</v>
      </c>
      <c r="O64" s="14">
        <f t="shared" ca="1" si="0"/>
        <v>1272</v>
      </c>
      <c r="P64" t="s">
        <v>1066</v>
      </c>
    </row>
    <row r="65" spans="1:16" ht="12.75" customHeight="1" x14ac:dyDescent="0.2">
      <c r="A65" t="s">
        <v>604</v>
      </c>
      <c r="B65" t="s">
        <v>651</v>
      </c>
      <c r="C65" t="s">
        <v>1181</v>
      </c>
      <c r="D65" t="s">
        <v>1163</v>
      </c>
      <c r="E65" t="s">
        <v>399</v>
      </c>
      <c r="F65" s="1">
        <v>44879</v>
      </c>
      <c r="G65" s="1">
        <v>44909</v>
      </c>
      <c r="H65" t="s">
        <v>1156</v>
      </c>
      <c r="I65">
        <v>6352.5</v>
      </c>
      <c r="J65">
        <v>6352.5</v>
      </c>
      <c r="K65">
        <v>0</v>
      </c>
      <c r="L65">
        <v>0</v>
      </c>
      <c r="M65">
        <v>0</v>
      </c>
      <c r="N65">
        <v>6352.5</v>
      </c>
      <c r="O65" s="14">
        <f t="shared" ca="1" si="0"/>
        <v>1261</v>
      </c>
      <c r="P65" t="s">
        <v>1066</v>
      </c>
    </row>
    <row r="66" spans="1:16" ht="12.75" customHeight="1" x14ac:dyDescent="0.2">
      <c r="A66" t="s">
        <v>604</v>
      </c>
      <c r="B66" t="s">
        <v>651</v>
      </c>
      <c r="C66" t="s">
        <v>1181</v>
      </c>
      <c r="D66" t="s">
        <v>1163</v>
      </c>
      <c r="E66" t="s">
        <v>399</v>
      </c>
      <c r="F66" s="1">
        <v>44882</v>
      </c>
      <c r="G66" s="1">
        <v>44912</v>
      </c>
      <c r="H66" t="s">
        <v>104</v>
      </c>
      <c r="I66">
        <v>31900.48</v>
      </c>
      <c r="J66">
        <v>31900.48</v>
      </c>
      <c r="K66">
        <v>0</v>
      </c>
      <c r="L66">
        <v>0</v>
      </c>
      <c r="M66">
        <v>0</v>
      </c>
      <c r="N66">
        <v>31900.48</v>
      </c>
      <c r="O66" s="14">
        <f t="shared" ca="1" si="0"/>
        <v>1258</v>
      </c>
      <c r="P66" t="s">
        <v>1066</v>
      </c>
    </row>
    <row r="67" spans="1:16" ht="12.75" customHeight="1" x14ac:dyDescent="0.2">
      <c r="A67" t="s">
        <v>604</v>
      </c>
      <c r="B67" t="s">
        <v>651</v>
      </c>
      <c r="C67" t="s">
        <v>1181</v>
      </c>
      <c r="D67" t="s">
        <v>1163</v>
      </c>
      <c r="E67" t="s">
        <v>399</v>
      </c>
      <c r="F67" s="1">
        <v>44882</v>
      </c>
      <c r="G67" s="1">
        <v>44912</v>
      </c>
      <c r="H67" t="s">
        <v>334</v>
      </c>
      <c r="I67">
        <v>32761.81</v>
      </c>
      <c r="J67">
        <v>32761.81</v>
      </c>
      <c r="K67">
        <v>0</v>
      </c>
      <c r="L67">
        <v>0</v>
      </c>
      <c r="M67">
        <v>0</v>
      </c>
      <c r="N67">
        <v>32761.81</v>
      </c>
      <c r="O67" s="14">
        <f t="shared" ref="O67:O130" ca="1" si="1">TODAY()-G67</f>
        <v>1258</v>
      </c>
      <c r="P67" t="s">
        <v>1066</v>
      </c>
    </row>
    <row r="68" spans="1:16" ht="12.75" customHeight="1" x14ac:dyDescent="0.2">
      <c r="A68" t="s">
        <v>604</v>
      </c>
      <c r="B68" t="s">
        <v>651</v>
      </c>
      <c r="C68" t="s">
        <v>1181</v>
      </c>
      <c r="D68" t="s">
        <v>1163</v>
      </c>
      <c r="E68" t="s">
        <v>399</v>
      </c>
      <c r="F68" s="1">
        <v>44896</v>
      </c>
      <c r="G68" s="1">
        <v>44926</v>
      </c>
      <c r="H68" t="s">
        <v>1097</v>
      </c>
      <c r="I68">
        <v>293.43</v>
      </c>
      <c r="J68">
        <v>293.43</v>
      </c>
      <c r="K68">
        <v>0</v>
      </c>
      <c r="L68">
        <v>0</v>
      </c>
      <c r="M68">
        <v>0</v>
      </c>
      <c r="N68">
        <v>293.43</v>
      </c>
      <c r="O68" s="14">
        <f t="shared" ca="1" si="1"/>
        <v>1244</v>
      </c>
      <c r="P68" t="s">
        <v>1066</v>
      </c>
    </row>
    <row r="69" spans="1:16" ht="12.75" customHeight="1" x14ac:dyDescent="0.2">
      <c r="A69" t="s">
        <v>604</v>
      </c>
      <c r="B69" t="s">
        <v>651</v>
      </c>
      <c r="C69" t="s">
        <v>1181</v>
      </c>
      <c r="D69" t="s">
        <v>1163</v>
      </c>
      <c r="E69" t="s">
        <v>399</v>
      </c>
      <c r="F69" s="1">
        <v>44942</v>
      </c>
      <c r="G69" s="1">
        <v>44972</v>
      </c>
      <c r="H69" t="s">
        <v>1250</v>
      </c>
      <c r="I69">
        <v>293.43</v>
      </c>
      <c r="J69">
        <v>293.43</v>
      </c>
      <c r="K69">
        <v>0</v>
      </c>
      <c r="L69">
        <v>0</v>
      </c>
      <c r="M69">
        <v>0</v>
      </c>
      <c r="N69">
        <v>293.43</v>
      </c>
      <c r="O69" s="14">
        <f t="shared" ca="1" si="1"/>
        <v>1198</v>
      </c>
      <c r="P69" t="s">
        <v>1066</v>
      </c>
    </row>
    <row r="70" spans="1:16" ht="12.75" customHeight="1" x14ac:dyDescent="0.2">
      <c r="A70" t="s">
        <v>604</v>
      </c>
      <c r="B70" t="s">
        <v>651</v>
      </c>
      <c r="C70" t="s">
        <v>1181</v>
      </c>
      <c r="D70" t="s">
        <v>1163</v>
      </c>
      <c r="E70" t="s">
        <v>399</v>
      </c>
      <c r="F70" s="1">
        <v>44965</v>
      </c>
      <c r="G70" s="1">
        <v>44995</v>
      </c>
      <c r="H70" t="s">
        <v>115</v>
      </c>
      <c r="I70">
        <v>293.43</v>
      </c>
      <c r="J70">
        <v>293.43</v>
      </c>
      <c r="K70">
        <v>0</v>
      </c>
      <c r="L70">
        <v>0</v>
      </c>
      <c r="M70">
        <v>0</v>
      </c>
      <c r="N70">
        <v>293.43</v>
      </c>
      <c r="O70" s="14">
        <f t="shared" ca="1" si="1"/>
        <v>1175</v>
      </c>
      <c r="P70" t="s">
        <v>1066</v>
      </c>
    </row>
    <row r="71" spans="1:16" ht="12.75" customHeight="1" x14ac:dyDescent="0.2">
      <c r="A71" t="s">
        <v>604</v>
      </c>
      <c r="B71" t="s">
        <v>651</v>
      </c>
      <c r="C71" t="s">
        <v>1181</v>
      </c>
      <c r="D71" t="s">
        <v>1163</v>
      </c>
      <c r="E71" t="s">
        <v>399</v>
      </c>
      <c r="F71" s="1">
        <v>44991</v>
      </c>
      <c r="G71" s="1">
        <v>45021</v>
      </c>
      <c r="H71" t="s">
        <v>1098</v>
      </c>
      <c r="I71">
        <v>293.43</v>
      </c>
      <c r="J71">
        <v>293.43</v>
      </c>
      <c r="K71">
        <v>0</v>
      </c>
      <c r="L71">
        <v>0</v>
      </c>
      <c r="M71">
        <v>0</v>
      </c>
      <c r="N71">
        <v>293.43</v>
      </c>
      <c r="O71" s="14">
        <f t="shared" ca="1" si="1"/>
        <v>1149</v>
      </c>
      <c r="P71" t="s">
        <v>1066</v>
      </c>
    </row>
    <row r="72" spans="1:16" ht="12.75" customHeight="1" x14ac:dyDescent="0.2">
      <c r="A72" t="s">
        <v>604</v>
      </c>
      <c r="B72" t="s">
        <v>651</v>
      </c>
      <c r="C72" t="s">
        <v>1181</v>
      </c>
      <c r="D72" t="s">
        <v>1163</v>
      </c>
      <c r="E72" t="s">
        <v>399</v>
      </c>
      <c r="F72" s="1">
        <v>45020</v>
      </c>
      <c r="G72" s="1">
        <v>45050</v>
      </c>
      <c r="H72" t="s">
        <v>108</v>
      </c>
      <c r="I72">
        <v>293.43</v>
      </c>
      <c r="J72">
        <v>293.43</v>
      </c>
      <c r="K72">
        <v>0</v>
      </c>
      <c r="L72">
        <v>0</v>
      </c>
      <c r="M72">
        <v>0</v>
      </c>
      <c r="N72">
        <v>293.43</v>
      </c>
      <c r="O72" s="14">
        <f t="shared" ca="1" si="1"/>
        <v>1120</v>
      </c>
      <c r="P72" t="s">
        <v>1066</v>
      </c>
    </row>
    <row r="73" spans="1:16" ht="12.75" customHeight="1" x14ac:dyDescent="0.2">
      <c r="A73" t="s">
        <v>604</v>
      </c>
      <c r="B73" t="s">
        <v>651</v>
      </c>
      <c r="C73" t="s">
        <v>1181</v>
      </c>
      <c r="D73" t="s">
        <v>1163</v>
      </c>
      <c r="E73" t="s">
        <v>399</v>
      </c>
      <c r="F73" s="1">
        <v>45022</v>
      </c>
      <c r="G73" s="1">
        <v>45052</v>
      </c>
      <c r="H73" t="s">
        <v>468</v>
      </c>
      <c r="I73">
        <v>121.21</v>
      </c>
      <c r="J73">
        <v>121.21</v>
      </c>
      <c r="K73">
        <v>0</v>
      </c>
      <c r="L73">
        <v>0</v>
      </c>
      <c r="M73">
        <v>0</v>
      </c>
      <c r="N73">
        <v>121.21</v>
      </c>
      <c r="O73" s="14">
        <f t="shared" ca="1" si="1"/>
        <v>1118</v>
      </c>
      <c r="P73" t="s">
        <v>1066</v>
      </c>
    </row>
    <row r="74" spans="1:16" ht="12.75" customHeight="1" x14ac:dyDescent="0.2">
      <c r="A74" t="s">
        <v>604</v>
      </c>
      <c r="B74" t="s">
        <v>651</v>
      </c>
      <c r="C74" t="s">
        <v>1181</v>
      </c>
      <c r="D74" t="s">
        <v>1163</v>
      </c>
      <c r="E74" t="s">
        <v>399</v>
      </c>
      <c r="F74" s="1">
        <v>45048</v>
      </c>
      <c r="G74" s="1">
        <v>45078</v>
      </c>
      <c r="H74" t="s">
        <v>327</v>
      </c>
      <c r="I74">
        <v>222.89</v>
      </c>
      <c r="J74">
        <v>222.89</v>
      </c>
      <c r="K74">
        <v>0</v>
      </c>
      <c r="L74">
        <v>0</v>
      </c>
      <c r="M74">
        <v>0</v>
      </c>
      <c r="N74">
        <v>222.89</v>
      </c>
      <c r="O74" s="14">
        <f t="shared" ca="1" si="1"/>
        <v>1092</v>
      </c>
      <c r="P74" t="s">
        <v>1066</v>
      </c>
    </row>
    <row r="75" spans="1:16" ht="12.75" customHeight="1" x14ac:dyDescent="0.2">
      <c r="A75" t="s">
        <v>604</v>
      </c>
      <c r="B75" t="s">
        <v>651</v>
      </c>
      <c r="C75" t="s">
        <v>1181</v>
      </c>
      <c r="D75" t="s">
        <v>1163</v>
      </c>
      <c r="E75" t="s">
        <v>399</v>
      </c>
      <c r="F75" s="1">
        <v>45082</v>
      </c>
      <c r="G75" s="1">
        <v>45112</v>
      </c>
      <c r="H75" t="s">
        <v>655</v>
      </c>
      <c r="I75">
        <v>222.89</v>
      </c>
      <c r="J75">
        <v>222.89</v>
      </c>
      <c r="K75">
        <v>0</v>
      </c>
      <c r="L75">
        <v>0</v>
      </c>
      <c r="M75">
        <v>0</v>
      </c>
      <c r="N75">
        <v>222.89</v>
      </c>
      <c r="O75" s="14">
        <f t="shared" ca="1" si="1"/>
        <v>1058</v>
      </c>
      <c r="P75" t="s">
        <v>1066</v>
      </c>
    </row>
    <row r="76" spans="1:16" ht="12.75" customHeight="1" x14ac:dyDescent="0.2">
      <c r="A76" t="s">
        <v>604</v>
      </c>
      <c r="B76" t="s">
        <v>651</v>
      </c>
      <c r="C76" t="s">
        <v>1181</v>
      </c>
      <c r="D76" t="s">
        <v>1163</v>
      </c>
      <c r="E76" t="s">
        <v>399</v>
      </c>
      <c r="F76" s="1">
        <v>45110</v>
      </c>
      <c r="G76" s="1">
        <v>45140</v>
      </c>
      <c r="H76" t="s">
        <v>849</v>
      </c>
      <c r="I76">
        <v>222.89</v>
      </c>
      <c r="J76">
        <v>222.89</v>
      </c>
      <c r="K76">
        <v>0</v>
      </c>
      <c r="L76">
        <v>0</v>
      </c>
      <c r="M76">
        <v>0</v>
      </c>
      <c r="N76">
        <v>222.89</v>
      </c>
      <c r="O76" s="14">
        <f t="shared" ca="1" si="1"/>
        <v>1030</v>
      </c>
      <c r="P76" t="s">
        <v>1066</v>
      </c>
    </row>
    <row r="77" spans="1:16" ht="12.75" customHeight="1" x14ac:dyDescent="0.2">
      <c r="A77" t="s">
        <v>604</v>
      </c>
      <c r="B77" t="s">
        <v>651</v>
      </c>
      <c r="C77" t="s">
        <v>1181</v>
      </c>
      <c r="D77" t="s">
        <v>1163</v>
      </c>
      <c r="E77" t="s">
        <v>399</v>
      </c>
      <c r="F77" s="1">
        <v>45141</v>
      </c>
      <c r="G77" s="1">
        <v>45171</v>
      </c>
      <c r="H77" t="s">
        <v>1046</v>
      </c>
      <c r="I77">
        <v>222.89</v>
      </c>
      <c r="J77">
        <v>222.89</v>
      </c>
      <c r="K77">
        <v>0</v>
      </c>
      <c r="L77">
        <v>0</v>
      </c>
      <c r="M77">
        <v>0</v>
      </c>
      <c r="N77">
        <v>222.89</v>
      </c>
      <c r="O77" s="14">
        <f t="shared" ca="1" si="1"/>
        <v>999</v>
      </c>
      <c r="P77" t="s">
        <v>1066</v>
      </c>
    </row>
    <row r="78" spans="1:16" ht="12.75" customHeight="1" x14ac:dyDescent="0.2">
      <c r="A78" t="s">
        <v>604</v>
      </c>
      <c r="B78" t="s">
        <v>651</v>
      </c>
      <c r="C78" t="s">
        <v>1181</v>
      </c>
      <c r="D78" t="s">
        <v>1163</v>
      </c>
      <c r="E78" t="s">
        <v>399</v>
      </c>
      <c r="F78" s="1">
        <v>45174</v>
      </c>
      <c r="G78" s="1">
        <v>45204</v>
      </c>
      <c r="H78" t="s">
        <v>981</v>
      </c>
      <c r="I78">
        <v>222.89</v>
      </c>
      <c r="J78">
        <v>222.89</v>
      </c>
      <c r="K78">
        <v>0</v>
      </c>
      <c r="L78">
        <v>0</v>
      </c>
      <c r="M78">
        <v>0</v>
      </c>
      <c r="N78">
        <v>222.89</v>
      </c>
      <c r="O78" s="14">
        <f t="shared" ca="1" si="1"/>
        <v>966</v>
      </c>
      <c r="P78" t="s">
        <v>1066</v>
      </c>
    </row>
    <row r="79" spans="1:16" ht="12.75" customHeight="1" x14ac:dyDescent="0.2">
      <c r="A79" t="s">
        <v>604</v>
      </c>
      <c r="B79" t="s">
        <v>651</v>
      </c>
      <c r="C79" t="s">
        <v>1181</v>
      </c>
      <c r="D79" t="s">
        <v>1163</v>
      </c>
      <c r="E79" t="s">
        <v>399</v>
      </c>
      <c r="F79" s="1">
        <v>45202</v>
      </c>
      <c r="G79" s="1">
        <v>45232</v>
      </c>
      <c r="H79" t="s">
        <v>687</v>
      </c>
      <c r="I79">
        <v>222.89</v>
      </c>
      <c r="J79">
        <v>222.89</v>
      </c>
      <c r="K79">
        <v>0</v>
      </c>
      <c r="L79">
        <v>0</v>
      </c>
      <c r="M79">
        <v>0</v>
      </c>
      <c r="N79">
        <v>222.89</v>
      </c>
      <c r="O79" s="14">
        <f t="shared" ca="1" si="1"/>
        <v>938</v>
      </c>
      <c r="P79" t="s">
        <v>1066</v>
      </c>
    </row>
    <row r="80" spans="1:16" ht="12.75" customHeight="1" x14ac:dyDescent="0.2">
      <c r="A80" t="s">
        <v>604</v>
      </c>
      <c r="B80" t="s">
        <v>651</v>
      </c>
      <c r="C80" t="s">
        <v>1181</v>
      </c>
      <c r="D80" t="s">
        <v>1163</v>
      </c>
      <c r="E80" t="s">
        <v>399</v>
      </c>
      <c r="F80" s="1">
        <v>45237</v>
      </c>
      <c r="G80" s="1">
        <v>45267</v>
      </c>
      <c r="H80" t="s">
        <v>1208</v>
      </c>
      <c r="I80">
        <v>222.89</v>
      </c>
      <c r="J80">
        <v>222.89</v>
      </c>
      <c r="K80">
        <v>0</v>
      </c>
      <c r="L80">
        <v>0</v>
      </c>
      <c r="M80">
        <v>0</v>
      </c>
      <c r="N80">
        <v>222.89</v>
      </c>
      <c r="O80" s="14">
        <f t="shared" ca="1" si="1"/>
        <v>903</v>
      </c>
      <c r="P80" t="s">
        <v>1066</v>
      </c>
    </row>
    <row r="81" spans="1:16" ht="12.75" customHeight="1" x14ac:dyDescent="0.2">
      <c r="A81" t="s">
        <v>604</v>
      </c>
      <c r="B81" t="s">
        <v>651</v>
      </c>
      <c r="C81" t="s">
        <v>1181</v>
      </c>
      <c r="D81" t="s">
        <v>1163</v>
      </c>
      <c r="E81" t="s">
        <v>399</v>
      </c>
      <c r="F81" s="1">
        <v>45265</v>
      </c>
      <c r="G81" s="1">
        <v>45295</v>
      </c>
      <c r="H81" t="s">
        <v>653</v>
      </c>
      <c r="I81">
        <v>222.89</v>
      </c>
      <c r="J81">
        <v>222.89</v>
      </c>
      <c r="K81">
        <v>0</v>
      </c>
      <c r="L81">
        <v>0</v>
      </c>
      <c r="M81">
        <v>0</v>
      </c>
      <c r="N81">
        <v>222.89</v>
      </c>
      <c r="O81" s="14">
        <f t="shared" ca="1" si="1"/>
        <v>875</v>
      </c>
      <c r="P81" t="s">
        <v>1066</v>
      </c>
    </row>
    <row r="82" spans="1:16" ht="12.75" customHeight="1" x14ac:dyDescent="0.2">
      <c r="A82" t="s">
        <v>604</v>
      </c>
      <c r="B82" t="s">
        <v>651</v>
      </c>
      <c r="C82" t="s">
        <v>1181</v>
      </c>
      <c r="D82" t="s">
        <v>1163</v>
      </c>
      <c r="E82" t="s">
        <v>399</v>
      </c>
      <c r="F82" s="1">
        <v>45295</v>
      </c>
      <c r="G82" s="1">
        <v>45325</v>
      </c>
      <c r="H82" t="s">
        <v>826</v>
      </c>
      <c r="I82">
        <v>222.89</v>
      </c>
      <c r="J82">
        <v>222.89</v>
      </c>
      <c r="K82">
        <v>0</v>
      </c>
      <c r="L82">
        <v>0</v>
      </c>
      <c r="M82">
        <v>0</v>
      </c>
      <c r="N82">
        <v>222.89</v>
      </c>
      <c r="O82" s="14">
        <f t="shared" ca="1" si="1"/>
        <v>845</v>
      </c>
      <c r="P82" t="s">
        <v>589</v>
      </c>
    </row>
    <row r="83" spans="1:16" ht="12.75" customHeight="1" x14ac:dyDescent="0.2">
      <c r="A83" t="s">
        <v>604</v>
      </c>
      <c r="B83" t="s">
        <v>651</v>
      </c>
      <c r="C83" t="s">
        <v>1181</v>
      </c>
      <c r="D83" t="s">
        <v>1163</v>
      </c>
      <c r="E83" t="s">
        <v>399</v>
      </c>
      <c r="F83" s="1">
        <v>45310</v>
      </c>
      <c r="G83" s="1">
        <v>45340</v>
      </c>
      <c r="H83" t="s">
        <v>346</v>
      </c>
      <c r="I83">
        <v>2541</v>
      </c>
      <c r="J83">
        <v>2541</v>
      </c>
      <c r="K83">
        <v>0</v>
      </c>
      <c r="L83">
        <v>0</v>
      </c>
      <c r="M83">
        <v>0</v>
      </c>
      <c r="N83">
        <v>2541</v>
      </c>
      <c r="O83" s="14">
        <f t="shared" ca="1" si="1"/>
        <v>830</v>
      </c>
      <c r="P83" t="s">
        <v>589</v>
      </c>
    </row>
    <row r="84" spans="1:16" ht="12.75" customHeight="1" x14ac:dyDescent="0.2">
      <c r="A84" t="s">
        <v>604</v>
      </c>
      <c r="B84" t="s">
        <v>651</v>
      </c>
      <c r="C84" t="s">
        <v>1181</v>
      </c>
      <c r="D84" t="s">
        <v>1163</v>
      </c>
      <c r="E84" t="s">
        <v>399</v>
      </c>
      <c r="F84" s="1">
        <v>45327</v>
      </c>
      <c r="G84" s="1">
        <v>45357</v>
      </c>
      <c r="H84" t="s">
        <v>1128</v>
      </c>
      <c r="I84">
        <v>222.89</v>
      </c>
      <c r="J84">
        <v>222.89</v>
      </c>
      <c r="K84">
        <v>0</v>
      </c>
      <c r="L84">
        <v>0</v>
      </c>
      <c r="M84">
        <v>0</v>
      </c>
      <c r="N84">
        <v>222.89</v>
      </c>
      <c r="O84" s="14">
        <f t="shared" ca="1" si="1"/>
        <v>813</v>
      </c>
      <c r="P84" t="s">
        <v>589</v>
      </c>
    </row>
    <row r="85" spans="1:16" ht="12.75" customHeight="1" x14ac:dyDescent="0.2">
      <c r="A85" t="s">
        <v>604</v>
      </c>
      <c r="B85" t="s">
        <v>651</v>
      </c>
      <c r="C85" t="s">
        <v>1181</v>
      </c>
      <c r="D85" t="s">
        <v>1163</v>
      </c>
      <c r="E85" t="s">
        <v>399</v>
      </c>
      <c r="F85" s="1">
        <v>45357</v>
      </c>
      <c r="G85" s="1">
        <v>45387</v>
      </c>
      <c r="H85" t="s">
        <v>295</v>
      </c>
      <c r="I85">
        <v>222.89</v>
      </c>
      <c r="J85">
        <v>222.89</v>
      </c>
      <c r="K85">
        <v>0</v>
      </c>
      <c r="L85">
        <v>0</v>
      </c>
      <c r="M85">
        <v>0</v>
      </c>
      <c r="N85">
        <v>222.89</v>
      </c>
      <c r="O85" s="14">
        <f t="shared" ca="1" si="1"/>
        <v>783</v>
      </c>
      <c r="P85" t="s">
        <v>589</v>
      </c>
    </row>
    <row r="86" spans="1:16" ht="12.75" customHeight="1" x14ac:dyDescent="0.2">
      <c r="A86" t="s">
        <v>604</v>
      </c>
      <c r="B86" t="s">
        <v>651</v>
      </c>
      <c r="C86" t="s">
        <v>1181</v>
      </c>
      <c r="D86" t="s">
        <v>1163</v>
      </c>
      <c r="E86" t="s">
        <v>399</v>
      </c>
      <c r="F86" s="1">
        <v>45363</v>
      </c>
      <c r="G86" s="1">
        <v>45393</v>
      </c>
      <c r="H86" t="s">
        <v>1259</v>
      </c>
      <c r="I86">
        <v>423.5</v>
      </c>
      <c r="J86">
        <v>423.5</v>
      </c>
      <c r="K86">
        <v>0</v>
      </c>
      <c r="L86">
        <v>0</v>
      </c>
      <c r="M86">
        <v>0</v>
      </c>
      <c r="N86">
        <v>423.5</v>
      </c>
      <c r="O86" s="14">
        <f t="shared" ca="1" si="1"/>
        <v>777</v>
      </c>
      <c r="P86" t="s">
        <v>589</v>
      </c>
    </row>
    <row r="87" spans="1:16" ht="12.75" customHeight="1" x14ac:dyDescent="0.2">
      <c r="A87" t="s">
        <v>604</v>
      </c>
      <c r="B87" t="s">
        <v>651</v>
      </c>
      <c r="C87" t="s">
        <v>1181</v>
      </c>
      <c r="D87" t="s">
        <v>1163</v>
      </c>
      <c r="E87" t="s">
        <v>399</v>
      </c>
      <c r="F87" s="1">
        <v>45386</v>
      </c>
      <c r="G87" s="1">
        <v>45416</v>
      </c>
      <c r="H87" t="s">
        <v>128</v>
      </c>
      <c r="I87">
        <v>222.89</v>
      </c>
      <c r="J87">
        <v>222.89</v>
      </c>
      <c r="K87">
        <v>0</v>
      </c>
      <c r="L87">
        <v>0</v>
      </c>
      <c r="M87">
        <v>0</v>
      </c>
      <c r="N87">
        <v>222.89</v>
      </c>
      <c r="O87" s="14">
        <f t="shared" ca="1" si="1"/>
        <v>754</v>
      </c>
      <c r="P87" t="s">
        <v>589</v>
      </c>
    </row>
    <row r="88" spans="1:16" ht="12.75" customHeight="1" x14ac:dyDescent="0.2">
      <c r="A88" t="s">
        <v>604</v>
      </c>
      <c r="B88" t="s">
        <v>651</v>
      </c>
      <c r="C88" t="s">
        <v>1181</v>
      </c>
      <c r="D88" t="s">
        <v>1163</v>
      </c>
      <c r="E88" t="s">
        <v>399</v>
      </c>
      <c r="F88" s="1">
        <v>45404</v>
      </c>
      <c r="G88" s="1">
        <v>45434</v>
      </c>
      <c r="H88" t="s">
        <v>801</v>
      </c>
      <c r="I88">
        <v>2286.9</v>
      </c>
      <c r="J88">
        <v>2286.9</v>
      </c>
      <c r="K88">
        <v>0</v>
      </c>
      <c r="L88">
        <v>0</v>
      </c>
      <c r="M88">
        <v>0</v>
      </c>
      <c r="N88">
        <v>2286.9</v>
      </c>
      <c r="O88" s="14">
        <f t="shared" ca="1" si="1"/>
        <v>736</v>
      </c>
      <c r="P88" t="s">
        <v>589</v>
      </c>
    </row>
    <row r="89" spans="1:16" ht="12.75" customHeight="1" x14ac:dyDescent="0.2">
      <c r="A89" t="s">
        <v>604</v>
      </c>
      <c r="B89" t="s">
        <v>651</v>
      </c>
      <c r="C89" t="s">
        <v>1181</v>
      </c>
      <c r="D89" t="s">
        <v>1163</v>
      </c>
      <c r="E89" t="s">
        <v>399</v>
      </c>
      <c r="F89" s="1">
        <v>45418</v>
      </c>
      <c r="G89" s="1">
        <v>45448</v>
      </c>
      <c r="H89" t="s">
        <v>562</v>
      </c>
      <c r="I89">
        <v>222.89</v>
      </c>
      <c r="J89">
        <v>222.89</v>
      </c>
      <c r="K89">
        <v>0</v>
      </c>
      <c r="L89">
        <v>0</v>
      </c>
      <c r="M89">
        <v>0</v>
      </c>
      <c r="N89">
        <v>222.89</v>
      </c>
      <c r="O89" s="14">
        <f t="shared" ca="1" si="1"/>
        <v>722</v>
      </c>
      <c r="P89" t="s">
        <v>589</v>
      </c>
    </row>
    <row r="90" spans="1:16" ht="12.75" customHeight="1" x14ac:dyDescent="0.2">
      <c r="A90" t="s">
        <v>604</v>
      </c>
      <c r="B90" t="s">
        <v>651</v>
      </c>
      <c r="C90" t="s">
        <v>1181</v>
      </c>
      <c r="D90" t="s">
        <v>1163</v>
      </c>
      <c r="E90" t="s">
        <v>399</v>
      </c>
      <c r="F90" s="1">
        <v>45446</v>
      </c>
      <c r="G90" s="1">
        <v>45476</v>
      </c>
      <c r="H90" t="s">
        <v>210</v>
      </c>
      <c r="I90">
        <v>222.89</v>
      </c>
      <c r="J90">
        <v>222.89</v>
      </c>
      <c r="K90">
        <v>0</v>
      </c>
      <c r="L90">
        <v>0</v>
      </c>
      <c r="M90">
        <v>0</v>
      </c>
      <c r="N90">
        <v>222.89</v>
      </c>
      <c r="O90" s="14">
        <f t="shared" ca="1" si="1"/>
        <v>694</v>
      </c>
      <c r="P90" t="s">
        <v>589</v>
      </c>
    </row>
    <row r="91" spans="1:16" ht="12.75" customHeight="1" x14ac:dyDescent="0.2">
      <c r="A91" t="s">
        <v>604</v>
      </c>
      <c r="B91" t="s">
        <v>651</v>
      </c>
      <c r="C91" t="s">
        <v>1181</v>
      </c>
      <c r="D91" t="s">
        <v>1163</v>
      </c>
      <c r="E91" t="s">
        <v>399</v>
      </c>
      <c r="F91" s="1">
        <v>45461</v>
      </c>
      <c r="G91" s="1">
        <v>45491</v>
      </c>
      <c r="H91" t="s">
        <v>757</v>
      </c>
      <c r="I91">
        <v>1439.9</v>
      </c>
      <c r="J91">
        <v>1439.9</v>
      </c>
      <c r="K91">
        <v>0</v>
      </c>
      <c r="L91">
        <v>0</v>
      </c>
      <c r="M91">
        <v>0</v>
      </c>
      <c r="N91">
        <v>1439.9</v>
      </c>
      <c r="O91" s="14">
        <f t="shared" ca="1" si="1"/>
        <v>679</v>
      </c>
      <c r="P91" t="s">
        <v>589</v>
      </c>
    </row>
    <row r="92" spans="1:16" ht="12.75" customHeight="1" x14ac:dyDescent="0.2">
      <c r="A92" t="s">
        <v>604</v>
      </c>
      <c r="B92" t="s">
        <v>651</v>
      </c>
      <c r="C92" t="s">
        <v>1181</v>
      </c>
      <c r="D92" t="s">
        <v>1163</v>
      </c>
      <c r="E92" t="s">
        <v>399</v>
      </c>
      <c r="F92" s="1">
        <v>45481</v>
      </c>
      <c r="G92" s="1">
        <v>45511</v>
      </c>
      <c r="H92" t="s">
        <v>681</v>
      </c>
      <c r="I92">
        <v>222.89</v>
      </c>
      <c r="J92">
        <v>222.89</v>
      </c>
      <c r="K92">
        <v>0</v>
      </c>
      <c r="L92">
        <v>0</v>
      </c>
      <c r="M92">
        <v>0</v>
      </c>
      <c r="N92">
        <v>222.89</v>
      </c>
      <c r="O92" s="14">
        <f t="shared" ca="1" si="1"/>
        <v>659</v>
      </c>
      <c r="P92" t="s">
        <v>589</v>
      </c>
    </row>
    <row r="93" spans="1:16" ht="12.75" customHeight="1" x14ac:dyDescent="0.2">
      <c r="A93" t="s">
        <v>604</v>
      </c>
      <c r="B93" t="s">
        <v>651</v>
      </c>
      <c r="C93" t="s">
        <v>1181</v>
      </c>
      <c r="D93" t="s">
        <v>1163</v>
      </c>
      <c r="E93" t="s">
        <v>399</v>
      </c>
      <c r="F93" s="1">
        <v>45509</v>
      </c>
      <c r="G93" s="1">
        <v>45539</v>
      </c>
      <c r="H93" t="s">
        <v>710</v>
      </c>
      <c r="I93">
        <v>222.89</v>
      </c>
      <c r="J93">
        <v>222.89</v>
      </c>
      <c r="K93">
        <v>0</v>
      </c>
      <c r="L93">
        <v>0</v>
      </c>
      <c r="M93">
        <v>0</v>
      </c>
      <c r="N93">
        <v>222.89</v>
      </c>
      <c r="O93" s="14">
        <f t="shared" ca="1" si="1"/>
        <v>631</v>
      </c>
      <c r="P93" t="s">
        <v>589</v>
      </c>
    </row>
    <row r="94" spans="1:16" ht="12.75" customHeight="1" x14ac:dyDescent="0.2">
      <c r="A94" t="s">
        <v>604</v>
      </c>
      <c r="B94" t="s">
        <v>651</v>
      </c>
      <c r="C94" t="s">
        <v>1181</v>
      </c>
      <c r="D94" t="s">
        <v>1163</v>
      </c>
      <c r="E94" t="s">
        <v>399</v>
      </c>
      <c r="F94" s="1">
        <v>45537</v>
      </c>
      <c r="G94" s="1">
        <v>45567</v>
      </c>
      <c r="H94" t="s">
        <v>652</v>
      </c>
      <c r="I94">
        <v>222.89</v>
      </c>
      <c r="J94">
        <v>222.89</v>
      </c>
      <c r="K94">
        <v>0</v>
      </c>
      <c r="L94">
        <v>0</v>
      </c>
      <c r="M94">
        <v>0</v>
      </c>
      <c r="N94">
        <v>222.89</v>
      </c>
      <c r="O94" s="14">
        <f t="shared" ca="1" si="1"/>
        <v>603</v>
      </c>
      <c r="P94" t="s">
        <v>589</v>
      </c>
    </row>
    <row r="95" spans="1:16" ht="12.75" customHeight="1" x14ac:dyDescent="0.2">
      <c r="A95" t="s">
        <v>604</v>
      </c>
      <c r="B95" t="s">
        <v>651</v>
      </c>
      <c r="C95" t="s">
        <v>1181</v>
      </c>
      <c r="D95" t="s">
        <v>1163</v>
      </c>
      <c r="E95" t="s">
        <v>399</v>
      </c>
      <c r="F95" s="1">
        <v>45540</v>
      </c>
      <c r="G95" s="1">
        <v>45570</v>
      </c>
      <c r="H95" t="s">
        <v>620</v>
      </c>
      <c r="I95">
        <v>-139.16999999999999</v>
      </c>
      <c r="J95">
        <v>-139.16999999999999</v>
      </c>
      <c r="K95">
        <v>0</v>
      </c>
      <c r="L95">
        <v>0</v>
      </c>
      <c r="M95">
        <v>0</v>
      </c>
      <c r="N95">
        <v>-139.16999999999999</v>
      </c>
      <c r="O95" s="14">
        <f t="shared" ca="1" si="1"/>
        <v>600</v>
      </c>
      <c r="P95" t="s">
        <v>589</v>
      </c>
    </row>
    <row r="96" spans="1:16" ht="12.75" customHeight="1" x14ac:dyDescent="0.2">
      <c r="A96" t="s">
        <v>604</v>
      </c>
      <c r="B96" t="s">
        <v>651</v>
      </c>
      <c r="C96" t="s">
        <v>1181</v>
      </c>
      <c r="D96" t="s">
        <v>1163</v>
      </c>
      <c r="E96" t="s">
        <v>399</v>
      </c>
      <c r="F96" s="1">
        <v>45540</v>
      </c>
      <c r="G96" s="1">
        <v>45570</v>
      </c>
      <c r="H96" t="s">
        <v>827</v>
      </c>
      <c r="I96">
        <v>208.91</v>
      </c>
      <c r="J96">
        <v>208.91</v>
      </c>
      <c r="K96">
        <v>0</v>
      </c>
      <c r="L96">
        <v>0</v>
      </c>
      <c r="M96">
        <v>0</v>
      </c>
      <c r="N96">
        <v>208.91</v>
      </c>
      <c r="O96" s="14">
        <f t="shared" ca="1" si="1"/>
        <v>600</v>
      </c>
      <c r="P96" t="s">
        <v>589</v>
      </c>
    </row>
    <row r="97" spans="1:16" ht="12.75" customHeight="1" x14ac:dyDescent="0.2">
      <c r="A97" t="s">
        <v>604</v>
      </c>
      <c r="B97" t="s">
        <v>651</v>
      </c>
      <c r="C97" t="s">
        <v>1181</v>
      </c>
      <c r="D97" t="s">
        <v>1163</v>
      </c>
      <c r="E97" t="s">
        <v>399</v>
      </c>
      <c r="F97" s="1">
        <v>45572</v>
      </c>
      <c r="G97" s="1">
        <v>45602</v>
      </c>
      <c r="H97" t="s">
        <v>448</v>
      </c>
      <c r="I97">
        <v>248.7</v>
      </c>
      <c r="J97">
        <v>248.7</v>
      </c>
      <c r="K97">
        <v>0</v>
      </c>
      <c r="L97">
        <v>0</v>
      </c>
      <c r="M97">
        <v>0</v>
      </c>
      <c r="N97">
        <v>248.7</v>
      </c>
      <c r="O97" s="14">
        <f t="shared" ca="1" si="1"/>
        <v>568</v>
      </c>
      <c r="P97" t="s">
        <v>589</v>
      </c>
    </row>
    <row r="98" spans="1:16" ht="12.75" customHeight="1" x14ac:dyDescent="0.2">
      <c r="A98" t="s">
        <v>604</v>
      </c>
      <c r="B98" t="s">
        <v>651</v>
      </c>
      <c r="C98" t="s">
        <v>1181</v>
      </c>
      <c r="D98" t="s">
        <v>1163</v>
      </c>
      <c r="E98" t="s">
        <v>399</v>
      </c>
      <c r="F98" s="1">
        <v>45600</v>
      </c>
      <c r="G98" s="1">
        <v>45630</v>
      </c>
      <c r="H98" t="s">
        <v>611</v>
      </c>
      <c r="I98">
        <v>248.7</v>
      </c>
      <c r="J98">
        <v>248.7</v>
      </c>
      <c r="K98">
        <v>0</v>
      </c>
      <c r="L98">
        <v>0</v>
      </c>
      <c r="M98">
        <v>0</v>
      </c>
      <c r="N98">
        <v>248.7</v>
      </c>
      <c r="O98" s="14">
        <f t="shared" ca="1" si="1"/>
        <v>540</v>
      </c>
      <c r="P98" t="s">
        <v>589</v>
      </c>
    </row>
    <row r="99" spans="1:16" ht="12.75" customHeight="1" x14ac:dyDescent="0.2">
      <c r="A99" t="s">
        <v>604</v>
      </c>
      <c r="B99" t="s">
        <v>651</v>
      </c>
      <c r="C99" t="s">
        <v>1181</v>
      </c>
      <c r="D99" t="s">
        <v>1163</v>
      </c>
      <c r="E99" t="s">
        <v>399</v>
      </c>
      <c r="F99" s="1">
        <v>45628</v>
      </c>
      <c r="G99" s="1">
        <v>45658</v>
      </c>
      <c r="H99" t="s">
        <v>856</v>
      </c>
      <c r="I99">
        <v>248.7</v>
      </c>
      <c r="J99">
        <v>248.7</v>
      </c>
      <c r="K99">
        <v>0</v>
      </c>
      <c r="L99">
        <v>0</v>
      </c>
      <c r="M99">
        <v>0</v>
      </c>
      <c r="N99">
        <v>248.7</v>
      </c>
      <c r="O99" s="14">
        <f t="shared" ca="1" si="1"/>
        <v>512</v>
      </c>
      <c r="P99" t="s">
        <v>589</v>
      </c>
    </row>
    <row r="100" spans="1:16" ht="12.75" customHeight="1" x14ac:dyDescent="0.2">
      <c r="A100" t="s">
        <v>604</v>
      </c>
      <c r="B100" t="s">
        <v>651</v>
      </c>
      <c r="C100" t="s">
        <v>1181</v>
      </c>
      <c r="D100" t="s">
        <v>1163</v>
      </c>
      <c r="E100" t="s">
        <v>399</v>
      </c>
      <c r="F100" s="1">
        <v>45672</v>
      </c>
      <c r="G100" s="1">
        <v>45702</v>
      </c>
      <c r="H100" t="s">
        <v>1122</v>
      </c>
      <c r="I100">
        <v>248.7</v>
      </c>
      <c r="J100">
        <v>248.7</v>
      </c>
      <c r="K100">
        <v>0</v>
      </c>
      <c r="L100">
        <v>0</v>
      </c>
      <c r="M100">
        <v>0</v>
      </c>
      <c r="N100">
        <v>248.7</v>
      </c>
      <c r="O100" s="14">
        <f t="shared" ca="1" si="1"/>
        <v>468</v>
      </c>
      <c r="P100" t="s">
        <v>589</v>
      </c>
    </row>
    <row r="101" spans="1:16" ht="12.75" customHeight="1" x14ac:dyDescent="0.2">
      <c r="A101" t="s">
        <v>604</v>
      </c>
      <c r="B101" t="s">
        <v>651</v>
      </c>
      <c r="C101" t="s">
        <v>1181</v>
      </c>
      <c r="D101" t="s">
        <v>1163</v>
      </c>
      <c r="E101" t="s">
        <v>399</v>
      </c>
      <c r="F101" s="1">
        <v>45691</v>
      </c>
      <c r="G101" s="1">
        <v>45721</v>
      </c>
      <c r="H101" t="s">
        <v>1215</v>
      </c>
      <c r="I101">
        <v>248.7</v>
      </c>
      <c r="J101">
        <v>248.7</v>
      </c>
      <c r="K101">
        <v>0</v>
      </c>
      <c r="L101">
        <v>0</v>
      </c>
      <c r="M101">
        <v>0</v>
      </c>
      <c r="N101">
        <v>248.7</v>
      </c>
      <c r="O101" s="14">
        <f t="shared" ca="1" si="1"/>
        <v>449</v>
      </c>
      <c r="P101" t="s">
        <v>589</v>
      </c>
    </row>
    <row r="102" spans="1:16" ht="12.75" customHeight="1" x14ac:dyDescent="0.2">
      <c r="A102" t="s">
        <v>604</v>
      </c>
      <c r="B102" t="s">
        <v>651</v>
      </c>
      <c r="C102" t="s">
        <v>1181</v>
      </c>
      <c r="D102" t="s">
        <v>1163</v>
      </c>
      <c r="E102" t="s">
        <v>399</v>
      </c>
      <c r="F102" s="1">
        <v>45708</v>
      </c>
      <c r="G102" s="1">
        <v>45738</v>
      </c>
      <c r="H102" t="s">
        <v>781</v>
      </c>
      <c r="I102">
        <v>31859.91</v>
      </c>
      <c r="J102">
        <v>31859.91</v>
      </c>
      <c r="K102">
        <v>0</v>
      </c>
      <c r="L102">
        <v>0</v>
      </c>
      <c r="M102">
        <v>0</v>
      </c>
      <c r="N102">
        <v>31859.91</v>
      </c>
      <c r="O102" s="14">
        <f t="shared" ca="1" si="1"/>
        <v>432</v>
      </c>
      <c r="P102" t="s">
        <v>589</v>
      </c>
    </row>
    <row r="103" spans="1:16" ht="12.75" customHeight="1" x14ac:dyDescent="0.2">
      <c r="A103" t="s">
        <v>604</v>
      </c>
      <c r="B103" t="s">
        <v>651</v>
      </c>
      <c r="C103" t="s">
        <v>1181</v>
      </c>
      <c r="D103" t="s">
        <v>1163</v>
      </c>
      <c r="E103" t="s">
        <v>399</v>
      </c>
      <c r="F103" s="1">
        <v>45721</v>
      </c>
      <c r="G103" s="1">
        <v>45751</v>
      </c>
      <c r="H103" t="s">
        <v>218</v>
      </c>
      <c r="I103">
        <v>248.7</v>
      </c>
      <c r="J103">
        <v>248.7</v>
      </c>
      <c r="K103">
        <v>0</v>
      </c>
      <c r="L103">
        <v>0</v>
      </c>
      <c r="M103">
        <v>0</v>
      </c>
      <c r="N103">
        <v>248.7</v>
      </c>
      <c r="O103" s="14">
        <f t="shared" ca="1" si="1"/>
        <v>419</v>
      </c>
      <c r="P103" t="s">
        <v>589</v>
      </c>
    </row>
    <row r="104" spans="1:16" ht="12.75" customHeight="1" x14ac:dyDescent="0.2">
      <c r="A104" t="s">
        <v>604</v>
      </c>
      <c r="B104" t="s">
        <v>651</v>
      </c>
      <c r="C104" t="s">
        <v>1181</v>
      </c>
      <c r="D104" t="s">
        <v>1163</v>
      </c>
      <c r="E104" t="s">
        <v>399</v>
      </c>
      <c r="F104" s="1">
        <v>45735</v>
      </c>
      <c r="G104" s="1">
        <v>45765</v>
      </c>
      <c r="H104" t="s">
        <v>535</v>
      </c>
      <c r="I104">
        <v>7623</v>
      </c>
      <c r="J104">
        <v>7623</v>
      </c>
      <c r="K104">
        <v>0</v>
      </c>
      <c r="L104">
        <v>0</v>
      </c>
      <c r="M104">
        <v>0</v>
      </c>
      <c r="N104">
        <v>7623</v>
      </c>
      <c r="O104" s="14">
        <f t="shared" ca="1" si="1"/>
        <v>405</v>
      </c>
      <c r="P104" t="s">
        <v>589</v>
      </c>
    </row>
    <row r="105" spans="1:16" ht="12.75" customHeight="1" x14ac:dyDescent="0.2">
      <c r="A105" t="s">
        <v>604</v>
      </c>
      <c r="B105" t="s">
        <v>651</v>
      </c>
      <c r="C105" t="s">
        <v>1181</v>
      </c>
      <c r="D105" t="s">
        <v>1163</v>
      </c>
      <c r="E105" t="s">
        <v>399</v>
      </c>
      <c r="F105" s="1">
        <v>45750</v>
      </c>
      <c r="G105" s="1">
        <v>45780</v>
      </c>
      <c r="H105" t="s">
        <v>1040</v>
      </c>
      <c r="I105">
        <v>248.7</v>
      </c>
      <c r="J105">
        <v>248.7</v>
      </c>
      <c r="K105">
        <v>0</v>
      </c>
      <c r="L105">
        <v>0</v>
      </c>
      <c r="M105">
        <v>0</v>
      </c>
      <c r="N105">
        <v>248.7</v>
      </c>
      <c r="O105" s="14">
        <f t="shared" ca="1" si="1"/>
        <v>390</v>
      </c>
      <c r="P105" t="s">
        <v>589</v>
      </c>
    </row>
    <row r="106" spans="1:16" ht="12.75" customHeight="1" x14ac:dyDescent="0.2">
      <c r="A106" t="s">
        <v>604</v>
      </c>
      <c r="B106" t="s">
        <v>651</v>
      </c>
      <c r="C106" t="s">
        <v>1181</v>
      </c>
      <c r="D106" t="s">
        <v>1163</v>
      </c>
      <c r="E106" t="s">
        <v>399</v>
      </c>
      <c r="F106" s="1">
        <v>45782</v>
      </c>
      <c r="G106" s="1">
        <v>45812</v>
      </c>
      <c r="H106" t="s">
        <v>912</v>
      </c>
      <c r="I106">
        <v>248.7</v>
      </c>
      <c r="J106">
        <v>248.7</v>
      </c>
      <c r="K106">
        <v>0</v>
      </c>
      <c r="L106">
        <v>0</v>
      </c>
      <c r="M106">
        <v>0</v>
      </c>
      <c r="N106">
        <v>248.7</v>
      </c>
      <c r="O106" s="14">
        <f t="shared" ca="1" si="1"/>
        <v>358</v>
      </c>
      <c r="P106" t="s">
        <v>589</v>
      </c>
    </row>
    <row r="107" spans="1:16" ht="12.75" customHeight="1" x14ac:dyDescent="0.2">
      <c r="A107" t="s">
        <v>604</v>
      </c>
      <c r="B107" t="s">
        <v>651</v>
      </c>
      <c r="C107" t="s">
        <v>1181</v>
      </c>
      <c r="D107" t="s">
        <v>1163</v>
      </c>
      <c r="E107" t="s">
        <v>399</v>
      </c>
      <c r="F107" s="1">
        <v>45810</v>
      </c>
      <c r="G107" s="1">
        <v>45840</v>
      </c>
      <c r="H107" t="s">
        <v>314</v>
      </c>
      <c r="I107">
        <v>248.7</v>
      </c>
      <c r="J107">
        <v>248.7</v>
      </c>
      <c r="K107">
        <v>0</v>
      </c>
      <c r="L107">
        <v>0</v>
      </c>
      <c r="M107">
        <v>0</v>
      </c>
      <c r="N107">
        <v>248.7</v>
      </c>
      <c r="O107" s="14">
        <f t="shared" ca="1" si="1"/>
        <v>330</v>
      </c>
      <c r="P107" t="s">
        <v>589</v>
      </c>
    </row>
    <row r="108" spans="1:16" ht="12.75" customHeight="1" x14ac:dyDescent="0.2">
      <c r="A108" t="s">
        <v>604</v>
      </c>
      <c r="B108" t="s">
        <v>651</v>
      </c>
      <c r="C108" t="s">
        <v>1181</v>
      </c>
      <c r="D108" t="s">
        <v>1163</v>
      </c>
      <c r="E108" t="s">
        <v>399</v>
      </c>
      <c r="F108" s="1">
        <v>45839</v>
      </c>
      <c r="G108" s="1">
        <v>45869</v>
      </c>
      <c r="H108" t="s">
        <v>870</v>
      </c>
      <c r="I108">
        <v>248.7</v>
      </c>
      <c r="J108">
        <v>248.7</v>
      </c>
      <c r="K108">
        <v>0</v>
      </c>
      <c r="L108">
        <v>0</v>
      </c>
      <c r="M108">
        <v>0</v>
      </c>
      <c r="N108">
        <v>248.7</v>
      </c>
      <c r="O108" s="14">
        <f t="shared" ca="1" si="1"/>
        <v>301</v>
      </c>
      <c r="P108" t="s">
        <v>589</v>
      </c>
    </row>
    <row r="109" spans="1:16" ht="12.75" customHeight="1" x14ac:dyDescent="0.2">
      <c r="A109" t="s">
        <v>604</v>
      </c>
      <c r="B109" t="s">
        <v>651</v>
      </c>
      <c r="C109" t="s">
        <v>1181</v>
      </c>
      <c r="D109" t="s">
        <v>1163</v>
      </c>
      <c r="E109" t="s">
        <v>399</v>
      </c>
      <c r="F109" s="1">
        <v>45873</v>
      </c>
      <c r="G109" s="1">
        <v>45903</v>
      </c>
      <c r="H109" t="s">
        <v>871</v>
      </c>
      <c r="I109">
        <v>248.7</v>
      </c>
      <c r="J109">
        <v>248.7</v>
      </c>
      <c r="K109">
        <v>0</v>
      </c>
      <c r="L109">
        <v>0</v>
      </c>
      <c r="M109">
        <v>0</v>
      </c>
      <c r="N109">
        <v>248.7</v>
      </c>
      <c r="O109" s="14">
        <f t="shared" ca="1" si="1"/>
        <v>267</v>
      </c>
      <c r="P109" t="s">
        <v>589</v>
      </c>
    </row>
    <row r="110" spans="1:16" ht="12.75" customHeight="1" x14ac:dyDescent="0.2">
      <c r="A110" t="s">
        <v>604</v>
      </c>
      <c r="B110" t="s">
        <v>651</v>
      </c>
      <c r="C110" t="s">
        <v>1181</v>
      </c>
      <c r="D110" t="s">
        <v>1163</v>
      </c>
      <c r="E110" t="s">
        <v>399</v>
      </c>
      <c r="F110" s="1">
        <v>45901</v>
      </c>
      <c r="G110" s="1">
        <v>45931</v>
      </c>
      <c r="H110" t="s">
        <v>196</v>
      </c>
      <c r="I110">
        <v>248.7</v>
      </c>
      <c r="J110">
        <v>248.7</v>
      </c>
      <c r="K110">
        <v>0</v>
      </c>
      <c r="L110">
        <v>0</v>
      </c>
      <c r="M110">
        <v>0</v>
      </c>
      <c r="N110">
        <v>248.7</v>
      </c>
      <c r="O110" s="14">
        <f t="shared" ca="1" si="1"/>
        <v>239</v>
      </c>
      <c r="P110" t="s">
        <v>589</v>
      </c>
    </row>
    <row r="111" spans="1:16" ht="12.75" customHeight="1" x14ac:dyDescent="0.2">
      <c r="A111" t="s">
        <v>604</v>
      </c>
      <c r="B111" t="s">
        <v>651</v>
      </c>
      <c r="C111" t="s">
        <v>1181</v>
      </c>
      <c r="D111" t="s">
        <v>1163</v>
      </c>
      <c r="E111" t="s">
        <v>399</v>
      </c>
      <c r="F111" s="1">
        <v>45936</v>
      </c>
      <c r="G111" s="1">
        <v>45966</v>
      </c>
      <c r="H111" t="s">
        <v>1176</v>
      </c>
      <c r="I111">
        <v>248.7</v>
      </c>
      <c r="J111">
        <v>248.7</v>
      </c>
      <c r="K111">
        <v>0</v>
      </c>
      <c r="L111">
        <v>0</v>
      </c>
      <c r="M111">
        <v>0</v>
      </c>
      <c r="N111">
        <v>248.7</v>
      </c>
      <c r="O111" s="14">
        <f t="shared" ca="1" si="1"/>
        <v>204</v>
      </c>
      <c r="P111" t="s">
        <v>589</v>
      </c>
    </row>
    <row r="112" spans="1:16" ht="12.75" customHeight="1" x14ac:dyDescent="0.2">
      <c r="A112" t="s">
        <v>604</v>
      </c>
      <c r="B112" t="s">
        <v>651</v>
      </c>
      <c r="C112" t="s">
        <v>1181</v>
      </c>
      <c r="D112" t="s">
        <v>1163</v>
      </c>
      <c r="E112" t="s">
        <v>399</v>
      </c>
      <c r="F112" s="1">
        <v>45966</v>
      </c>
      <c r="G112" s="1">
        <v>45996</v>
      </c>
      <c r="H112" t="s">
        <v>585</v>
      </c>
      <c r="I112">
        <v>248.7</v>
      </c>
      <c r="J112">
        <v>248.7</v>
      </c>
      <c r="K112">
        <v>0</v>
      </c>
      <c r="L112">
        <v>0</v>
      </c>
      <c r="M112">
        <v>0</v>
      </c>
      <c r="N112">
        <v>248.7</v>
      </c>
      <c r="O112" s="14">
        <f t="shared" ca="1" si="1"/>
        <v>174</v>
      </c>
      <c r="P112" t="s">
        <v>589</v>
      </c>
    </row>
    <row r="113" spans="1:16" ht="12.75" customHeight="1" x14ac:dyDescent="0.2">
      <c r="A113" t="s">
        <v>604</v>
      </c>
      <c r="B113" t="s">
        <v>651</v>
      </c>
      <c r="C113" t="s">
        <v>1181</v>
      </c>
      <c r="D113" t="s">
        <v>1163</v>
      </c>
      <c r="E113" t="s">
        <v>399</v>
      </c>
      <c r="F113" s="1">
        <v>45993</v>
      </c>
      <c r="G113" s="1">
        <v>46023</v>
      </c>
      <c r="H113" t="s">
        <v>487</v>
      </c>
      <c r="I113">
        <v>248.7</v>
      </c>
      <c r="J113">
        <v>248.7</v>
      </c>
      <c r="K113">
        <v>0</v>
      </c>
      <c r="L113">
        <v>0</v>
      </c>
      <c r="M113">
        <v>0</v>
      </c>
      <c r="N113">
        <v>248.7</v>
      </c>
      <c r="O113" s="14">
        <f t="shared" ca="1" si="1"/>
        <v>147</v>
      </c>
      <c r="P113" t="s">
        <v>589</v>
      </c>
    </row>
    <row r="114" spans="1:16" ht="12.75" customHeight="1" x14ac:dyDescent="0.2">
      <c r="A114" t="s">
        <v>604</v>
      </c>
      <c r="B114" t="s">
        <v>651</v>
      </c>
      <c r="C114" t="s">
        <v>1181</v>
      </c>
      <c r="D114" t="s">
        <v>1163</v>
      </c>
      <c r="E114" t="s">
        <v>399</v>
      </c>
      <c r="F114" s="1">
        <v>46030</v>
      </c>
      <c r="G114" s="1">
        <v>46060</v>
      </c>
      <c r="H114" t="s">
        <v>780</v>
      </c>
      <c r="I114">
        <v>248.7</v>
      </c>
      <c r="J114">
        <v>248.7</v>
      </c>
      <c r="K114">
        <v>0</v>
      </c>
      <c r="L114">
        <v>0</v>
      </c>
      <c r="M114">
        <v>0</v>
      </c>
      <c r="N114">
        <v>248.7</v>
      </c>
      <c r="O114" s="14">
        <f t="shared" ca="1" si="1"/>
        <v>110</v>
      </c>
      <c r="P114" t="s">
        <v>589</v>
      </c>
    </row>
    <row r="115" spans="1:16" ht="12.75" customHeight="1" x14ac:dyDescent="0.2">
      <c r="A115" t="s">
        <v>604</v>
      </c>
      <c r="B115" t="s">
        <v>651</v>
      </c>
      <c r="C115" t="s">
        <v>1181</v>
      </c>
      <c r="D115" t="s">
        <v>1163</v>
      </c>
      <c r="E115" t="s">
        <v>399</v>
      </c>
      <c r="F115" s="1">
        <v>46035</v>
      </c>
      <c r="G115" s="1">
        <v>46065</v>
      </c>
      <c r="H115" t="s">
        <v>1173</v>
      </c>
      <c r="I115">
        <v>82.99</v>
      </c>
      <c r="J115">
        <v>82.99</v>
      </c>
      <c r="K115">
        <v>0</v>
      </c>
      <c r="L115">
        <v>0</v>
      </c>
      <c r="M115">
        <v>0</v>
      </c>
      <c r="N115">
        <v>82.99</v>
      </c>
      <c r="O115" s="14">
        <f t="shared" ca="1" si="1"/>
        <v>105</v>
      </c>
      <c r="P115" t="s">
        <v>589</v>
      </c>
    </row>
    <row r="116" spans="1:16" ht="12.75" customHeight="1" x14ac:dyDescent="0.2">
      <c r="A116" t="s">
        <v>604</v>
      </c>
      <c r="B116" t="s">
        <v>651</v>
      </c>
      <c r="C116" t="s">
        <v>1181</v>
      </c>
      <c r="D116" t="s">
        <v>1163</v>
      </c>
      <c r="E116" t="s">
        <v>399</v>
      </c>
      <c r="F116" s="1">
        <v>46055</v>
      </c>
      <c r="G116" s="1">
        <v>46085</v>
      </c>
      <c r="H116" t="s">
        <v>493</v>
      </c>
      <c r="I116">
        <v>254.03</v>
      </c>
      <c r="J116">
        <v>254.03</v>
      </c>
      <c r="K116">
        <v>0</v>
      </c>
      <c r="L116">
        <v>0</v>
      </c>
      <c r="M116">
        <v>254.03</v>
      </c>
      <c r="N116">
        <v>0</v>
      </c>
      <c r="O116" s="14">
        <f t="shared" ca="1" si="1"/>
        <v>85</v>
      </c>
      <c r="P116" t="s">
        <v>589</v>
      </c>
    </row>
    <row r="117" spans="1:16" ht="12.75" customHeight="1" x14ac:dyDescent="0.2">
      <c r="A117" t="s">
        <v>604</v>
      </c>
      <c r="B117" t="s">
        <v>651</v>
      </c>
      <c r="C117" t="s">
        <v>1181</v>
      </c>
      <c r="D117" t="s">
        <v>1163</v>
      </c>
      <c r="E117" t="s">
        <v>399</v>
      </c>
      <c r="F117" s="1">
        <v>46085</v>
      </c>
      <c r="G117" s="1">
        <v>46115</v>
      </c>
      <c r="H117" t="s">
        <v>549</v>
      </c>
      <c r="I117">
        <v>254.03</v>
      </c>
      <c r="J117">
        <v>254.03</v>
      </c>
      <c r="K117">
        <v>0</v>
      </c>
      <c r="L117">
        <v>254.03</v>
      </c>
      <c r="M117">
        <v>0</v>
      </c>
      <c r="N117">
        <v>0</v>
      </c>
      <c r="O117" s="14">
        <f t="shared" ca="1" si="1"/>
        <v>55</v>
      </c>
      <c r="P117" t="s">
        <v>589</v>
      </c>
    </row>
    <row r="118" spans="1:16" ht="12.75" customHeight="1" x14ac:dyDescent="0.2">
      <c r="A118" t="s">
        <v>604</v>
      </c>
      <c r="B118" t="s">
        <v>651</v>
      </c>
      <c r="C118" t="s">
        <v>1181</v>
      </c>
      <c r="D118" t="s">
        <v>1163</v>
      </c>
      <c r="E118" t="s">
        <v>399</v>
      </c>
      <c r="F118" s="1">
        <v>46111</v>
      </c>
      <c r="G118" s="1">
        <v>46141</v>
      </c>
      <c r="H118" t="s">
        <v>120</v>
      </c>
      <c r="I118">
        <v>26257</v>
      </c>
      <c r="J118">
        <v>26257</v>
      </c>
      <c r="K118">
        <v>26257</v>
      </c>
      <c r="L118">
        <v>0</v>
      </c>
      <c r="M118">
        <v>0</v>
      </c>
      <c r="N118">
        <v>0</v>
      </c>
      <c r="O118" s="14">
        <f t="shared" ca="1" si="1"/>
        <v>29</v>
      </c>
      <c r="P118" t="s">
        <v>589</v>
      </c>
    </row>
    <row r="119" spans="1:16" ht="12.75" customHeight="1" x14ac:dyDescent="0.2">
      <c r="A119" t="s">
        <v>604</v>
      </c>
      <c r="B119" t="s">
        <v>651</v>
      </c>
      <c r="C119" t="s">
        <v>1181</v>
      </c>
      <c r="D119" t="s">
        <v>1163</v>
      </c>
      <c r="E119" t="s">
        <v>399</v>
      </c>
      <c r="F119" s="1">
        <v>46118</v>
      </c>
      <c r="G119" s="1">
        <v>46148</v>
      </c>
      <c r="H119" t="s">
        <v>563</v>
      </c>
      <c r="I119">
        <v>254.03</v>
      </c>
      <c r="J119">
        <v>254.03</v>
      </c>
      <c r="K119">
        <v>254.03</v>
      </c>
      <c r="L119">
        <v>0</v>
      </c>
      <c r="M119">
        <v>0</v>
      </c>
      <c r="N119">
        <v>0</v>
      </c>
      <c r="O119" s="14">
        <f t="shared" ca="1" si="1"/>
        <v>22</v>
      </c>
      <c r="P119" t="s">
        <v>589</v>
      </c>
    </row>
    <row r="120" spans="1:16" ht="12.75" customHeight="1" x14ac:dyDescent="0.2">
      <c r="A120" t="s">
        <v>604</v>
      </c>
      <c r="B120" t="s">
        <v>651</v>
      </c>
      <c r="C120" t="s">
        <v>30</v>
      </c>
      <c r="D120" t="s">
        <v>596</v>
      </c>
      <c r="E120" t="s">
        <v>399</v>
      </c>
      <c r="F120" s="1">
        <v>44943</v>
      </c>
      <c r="G120" s="1">
        <v>44973</v>
      </c>
      <c r="H120" t="s">
        <v>287</v>
      </c>
      <c r="I120">
        <v>17617.599999999999</v>
      </c>
      <c r="J120">
        <v>17617.599999999999</v>
      </c>
      <c r="K120">
        <v>0</v>
      </c>
      <c r="L120">
        <v>0</v>
      </c>
      <c r="M120">
        <v>0</v>
      </c>
      <c r="N120">
        <v>17617.599999999999</v>
      </c>
      <c r="O120" s="14">
        <f t="shared" ca="1" si="1"/>
        <v>1197</v>
      </c>
      <c r="P120" t="s">
        <v>1066</v>
      </c>
    </row>
    <row r="121" spans="1:16" ht="12.75" customHeight="1" x14ac:dyDescent="0.2">
      <c r="A121" t="s">
        <v>604</v>
      </c>
      <c r="B121" t="s">
        <v>651</v>
      </c>
      <c r="C121" t="s">
        <v>30</v>
      </c>
      <c r="D121" t="s">
        <v>596</v>
      </c>
      <c r="E121" t="s">
        <v>399</v>
      </c>
      <c r="F121" s="1">
        <v>45022</v>
      </c>
      <c r="G121" s="1">
        <v>45052</v>
      </c>
      <c r="H121" t="s">
        <v>466</v>
      </c>
      <c r="I121">
        <v>72.599999999999994</v>
      </c>
      <c r="J121">
        <v>72.599999999999994</v>
      </c>
      <c r="K121">
        <v>0</v>
      </c>
      <c r="L121">
        <v>0</v>
      </c>
      <c r="M121">
        <v>0</v>
      </c>
      <c r="N121">
        <v>72.599999999999994</v>
      </c>
      <c r="O121" s="14">
        <f t="shared" ca="1" si="1"/>
        <v>1118</v>
      </c>
      <c r="P121" t="s">
        <v>1066</v>
      </c>
    </row>
    <row r="122" spans="1:16" ht="12.75" customHeight="1" x14ac:dyDescent="0.2">
      <c r="A122" t="s">
        <v>604</v>
      </c>
      <c r="B122" t="s">
        <v>651</v>
      </c>
      <c r="C122" t="s">
        <v>30</v>
      </c>
      <c r="D122" t="s">
        <v>596</v>
      </c>
      <c r="E122" t="s">
        <v>399</v>
      </c>
      <c r="F122" s="1">
        <v>46097</v>
      </c>
      <c r="G122" s="1">
        <v>46127</v>
      </c>
      <c r="H122" t="s">
        <v>56</v>
      </c>
      <c r="I122">
        <v>524.63</v>
      </c>
      <c r="J122">
        <v>524.63</v>
      </c>
      <c r="K122">
        <v>0</v>
      </c>
      <c r="L122">
        <v>524.63</v>
      </c>
      <c r="M122">
        <v>0</v>
      </c>
      <c r="N122">
        <v>0</v>
      </c>
      <c r="O122" s="14">
        <f t="shared" ca="1" si="1"/>
        <v>43</v>
      </c>
      <c r="P122" t="s">
        <v>589</v>
      </c>
    </row>
    <row r="123" spans="1:16" ht="12.75" customHeight="1" x14ac:dyDescent="0.2">
      <c r="A123" t="s">
        <v>604</v>
      </c>
      <c r="B123" t="s">
        <v>651</v>
      </c>
      <c r="C123" t="s">
        <v>707</v>
      </c>
      <c r="D123" t="s">
        <v>705</v>
      </c>
      <c r="E123" t="s">
        <v>1194</v>
      </c>
      <c r="F123" s="1">
        <v>45903</v>
      </c>
      <c r="G123" s="1">
        <v>45933</v>
      </c>
      <c r="H123" t="s">
        <v>900</v>
      </c>
      <c r="I123">
        <v>-90000</v>
      </c>
      <c r="J123">
        <v>-90000</v>
      </c>
      <c r="K123">
        <v>0</v>
      </c>
      <c r="L123">
        <v>0</v>
      </c>
      <c r="M123">
        <v>0</v>
      </c>
      <c r="N123">
        <v>-90000</v>
      </c>
      <c r="O123" s="14">
        <f t="shared" ca="1" si="1"/>
        <v>237</v>
      </c>
      <c r="P123" t="s">
        <v>589</v>
      </c>
    </row>
    <row r="124" spans="1:16" ht="12.75" customHeight="1" x14ac:dyDescent="0.2">
      <c r="A124" t="s">
        <v>604</v>
      </c>
      <c r="B124" t="s">
        <v>651</v>
      </c>
      <c r="C124" t="s">
        <v>707</v>
      </c>
      <c r="D124" t="s">
        <v>705</v>
      </c>
      <c r="E124" t="s">
        <v>1194</v>
      </c>
      <c r="F124" s="1">
        <v>46098</v>
      </c>
      <c r="G124" s="1">
        <v>46128</v>
      </c>
      <c r="H124" t="s">
        <v>900</v>
      </c>
      <c r="I124">
        <v>-60000</v>
      </c>
      <c r="J124">
        <v>-60000</v>
      </c>
      <c r="K124">
        <v>0</v>
      </c>
      <c r="L124">
        <v>-60000</v>
      </c>
      <c r="M124">
        <v>0</v>
      </c>
      <c r="N124">
        <v>0</v>
      </c>
      <c r="O124" s="14">
        <f t="shared" ca="1" si="1"/>
        <v>42</v>
      </c>
      <c r="P124" t="s">
        <v>589</v>
      </c>
    </row>
    <row r="125" spans="1:16" ht="12.75" customHeight="1" x14ac:dyDescent="0.2">
      <c r="A125" t="s">
        <v>604</v>
      </c>
      <c r="B125" t="s">
        <v>651</v>
      </c>
      <c r="C125" t="s">
        <v>707</v>
      </c>
      <c r="D125" t="s">
        <v>705</v>
      </c>
      <c r="E125" t="s">
        <v>1150</v>
      </c>
      <c r="F125" s="1">
        <v>45835</v>
      </c>
      <c r="G125" s="1">
        <v>45865</v>
      </c>
      <c r="H125" t="s">
        <v>900</v>
      </c>
      <c r="I125">
        <v>-218713</v>
      </c>
      <c r="J125">
        <v>-218713</v>
      </c>
      <c r="K125">
        <v>0</v>
      </c>
      <c r="L125">
        <v>0</v>
      </c>
      <c r="M125">
        <v>0</v>
      </c>
      <c r="N125">
        <v>-218713</v>
      </c>
      <c r="O125" s="14">
        <f t="shared" ca="1" si="1"/>
        <v>305</v>
      </c>
      <c r="P125" t="s">
        <v>589</v>
      </c>
    </row>
    <row r="126" spans="1:16" ht="12.75" customHeight="1" x14ac:dyDescent="0.2">
      <c r="A126" t="s">
        <v>604</v>
      </c>
      <c r="B126" t="s">
        <v>651</v>
      </c>
      <c r="C126" t="s">
        <v>707</v>
      </c>
      <c r="D126" t="s">
        <v>705</v>
      </c>
      <c r="E126" t="s">
        <v>1150</v>
      </c>
      <c r="F126" s="1">
        <v>45989</v>
      </c>
      <c r="G126" s="1">
        <v>46019</v>
      </c>
      <c r="H126" t="s">
        <v>900</v>
      </c>
      <c r="I126">
        <v>-277509.26</v>
      </c>
      <c r="J126">
        <v>-277509.26</v>
      </c>
      <c r="K126">
        <v>0</v>
      </c>
      <c r="L126">
        <v>0</v>
      </c>
      <c r="M126">
        <v>0</v>
      </c>
      <c r="N126">
        <v>-277509.26</v>
      </c>
      <c r="O126" s="14">
        <f t="shared" ca="1" si="1"/>
        <v>151</v>
      </c>
      <c r="P126" t="s">
        <v>589</v>
      </c>
    </row>
    <row r="127" spans="1:16" ht="12.75" customHeight="1" x14ac:dyDescent="0.2">
      <c r="A127" t="s">
        <v>604</v>
      </c>
      <c r="B127" t="s">
        <v>651</v>
      </c>
      <c r="C127" t="s">
        <v>707</v>
      </c>
      <c r="D127" t="s">
        <v>705</v>
      </c>
      <c r="E127" t="s">
        <v>399</v>
      </c>
      <c r="F127" s="1">
        <v>45448</v>
      </c>
      <c r="G127" s="1">
        <v>45478</v>
      </c>
      <c r="H127" t="s">
        <v>1036</v>
      </c>
      <c r="I127">
        <v>21600</v>
      </c>
      <c r="J127">
        <v>21600</v>
      </c>
      <c r="K127">
        <v>0</v>
      </c>
      <c r="L127">
        <v>0</v>
      </c>
      <c r="M127">
        <v>0</v>
      </c>
      <c r="N127">
        <v>21600</v>
      </c>
      <c r="O127" s="14">
        <f t="shared" ca="1" si="1"/>
        <v>692</v>
      </c>
      <c r="P127" t="s">
        <v>589</v>
      </c>
    </row>
    <row r="128" spans="1:16" ht="12.75" customHeight="1" x14ac:dyDescent="0.2">
      <c r="A128" t="s">
        <v>604</v>
      </c>
      <c r="B128" t="s">
        <v>651</v>
      </c>
      <c r="C128" t="s">
        <v>707</v>
      </c>
      <c r="D128" t="s">
        <v>705</v>
      </c>
      <c r="E128" t="s">
        <v>399</v>
      </c>
      <c r="F128" s="1">
        <v>45461</v>
      </c>
      <c r="G128" s="1">
        <v>45491</v>
      </c>
      <c r="H128" t="s">
        <v>1124</v>
      </c>
      <c r="I128">
        <v>75957.75</v>
      </c>
      <c r="J128">
        <v>45540.44</v>
      </c>
      <c r="K128">
        <v>0</v>
      </c>
      <c r="L128">
        <v>0</v>
      </c>
      <c r="M128">
        <v>0</v>
      </c>
      <c r="N128">
        <v>45540.44</v>
      </c>
      <c r="O128" s="14">
        <f t="shared" ca="1" si="1"/>
        <v>679</v>
      </c>
      <c r="P128" t="s">
        <v>589</v>
      </c>
    </row>
    <row r="129" spans="1:16" ht="12.75" customHeight="1" x14ac:dyDescent="0.2">
      <c r="A129" t="s">
        <v>604</v>
      </c>
      <c r="B129" t="s">
        <v>651</v>
      </c>
      <c r="C129" t="s">
        <v>707</v>
      </c>
      <c r="D129" t="s">
        <v>705</v>
      </c>
      <c r="E129" t="s">
        <v>399</v>
      </c>
      <c r="F129" s="1">
        <v>45470</v>
      </c>
      <c r="G129" s="1">
        <v>45500</v>
      </c>
      <c r="H129" t="s">
        <v>259</v>
      </c>
      <c r="I129">
        <v>64595.11</v>
      </c>
      <c r="J129">
        <v>64595.11</v>
      </c>
      <c r="K129">
        <v>0</v>
      </c>
      <c r="L129">
        <v>0</v>
      </c>
      <c r="M129">
        <v>0</v>
      </c>
      <c r="N129">
        <v>64595.11</v>
      </c>
      <c r="O129" s="14">
        <f t="shared" ca="1" si="1"/>
        <v>670</v>
      </c>
      <c r="P129" t="s">
        <v>589</v>
      </c>
    </row>
    <row r="130" spans="1:16" ht="12.75" customHeight="1" x14ac:dyDescent="0.2">
      <c r="A130" t="s">
        <v>604</v>
      </c>
      <c r="B130" t="s">
        <v>651</v>
      </c>
      <c r="C130" t="s">
        <v>707</v>
      </c>
      <c r="D130" t="s">
        <v>705</v>
      </c>
      <c r="E130" t="s">
        <v>399</v>
      </c>
      <c r="F130" s="1">
        <v>45475</v>
      </c>
      <c r="G130" s="1">
        <v>45505</v>
      </c>
      <c r="H130" t="s">
        <v>261</v>
      </c>
      <c r="I130">
        <v>63218.87</v>
      </c>
      <c r="J130">
        <v>63218.87</v>
      </c>
      <c r="K130">
        <v>0</v>
      </c>
      <c r="L130">
        <v>0</v>
      </c>
      <c r="M130">
        <v>0</v>
      </c>
      <c r="N130">
        <v>63218.87</v>
      </c>
      <c r="O130" s="14">
        <f t="shared" ca="1" si="1"/>
        <v>665</v>
      </c>
      <c r="P130" t="s">
        <v>589</v>
      </c>
    </row>
    <row r="131" spans="1:16" ht="12.75" customHeight="1" x14ac:dyDescent="0.2">
      <c r="A131" t="s">
        <v>604</v>
      </c>
      <c r="B131" t="s">
        <v>651</v>
      </c>
      <c r="C131" t="s">
        <v>707</v>
      </c>
      <c r="D131" t="s">
        <v>705</v>
      </c>
      <c r="E131" t="s">
        <v>399</v>
      </c>
      <c r="F131" s="1">
        <v>45482</v>
      </c>
      <c r="G131" s="1">
        <v>45512</v>
      </c>
      <c r="H131" t="s">
        <v>347</v>
      </c>
      <c r="I131">
        <v>-25155.9</v>
      </c>
      <c r="J131">
        <v>-25155.9</v>
      </c>
      <c r="K131">
        <v>0</v>
      </c>
      <c r="L131">
        <v>0</v>
      </c>
      <c r="M131">
        <v>0</v>
      </c>
      <c r="N131">
        <v>-25155.9</v>
      </c>
      <c r="O131" s="14">
        <f t="shared" ref="O131:O194" ca="1" si="2">TODAY()-G131</f>
        <v>658</v>
      </c>
      <c r="P131" t="s">
        <v>589</v>
      </c>
    </row>
    <row r="132" spans="1:16" ht="12.75" customHeight="1" x14ac:dyDescent="0.2">
      <c r="A132" t="s">
        <v>604</v>
      </c>
      <c r="B132" t="s">
        <v>651</v>
      </c>
      <c r="C132" t="s">
        <v>707</v>
      </c>
      <c r="D132" t="s">
        <v>705</v>
      </c>
      <c r="E132" t="s">
        <v>399</v>
      </c>
      <c r="F132" s="1">
        <v>45482</v>
      </c>
      <c r="G132" s="1">
        <v>45512</v>
      </c>
      <c r="H132" t="s">
        <v>247</v>
      </c>
      <c r="I132">
        <v>19602</v>
      </c>
      <c r="J132">
        <v>19602</v>
      </c>
      <c r="K132">
        <v>0</v>
      </c>
      <c r="L132">
        <v>0</v>
      </c>
      <c r="M132">
        <v>0</v>
      </c>
      <c r="N132">
        <v>19602</v>
      </c>
      <c r="O132" s="14">
        <f t="shared" ca="1" si="2"/>
        <v>658</v>
      </c>
      <c r="P132" t="s">
        <v>589</v>
      </c>
    </row>
    <row r="133" spans="1:16" ht="12.75" customHeight="1" x14ac:dyDescent="0.2">
      <c r="A133" t="s">
        <v>604</v>
      </c>
      <c r="B133" t="s">
        <v>651</v>
      </c>
      <c r="C133" t="s">
        <v>707</v>
      </c>
      <c r="D133" t="s">
        <v>705</v>
      </c>
      <c r="E133" t="s">
        <v>399</v>
      </c>
      <c r="F133" s="1">
        <v>45506</v>
      </c>
      <c r="G133" s="1">
        <v>45536</v>
      </c>
      <c r="H133" t="s">
        <v>588</v>
      </c>
      <c r="I133">
        <v>1815</v>
      </c>
      <c r="J133">
        <v>1815</v>
      </c>
      <c r="K133">
        <v>0</v>
      </c>
      <c r="L133">
        <v>0</v>
      </c>
      <c r="M133">
        <v>0</v>
      </c>
      <c r="N133">
        <v>1815</v>
      </c>
      <c r="O133" s="14">
        <f t="shared" ca="1" si="2"/>
        <v>634</v>
      </c>
      <c r="P133" t="s">
        <v>589</v>
      </c>
    </row>
    <row r="134" spans="1:16" ht="12.75" customHeight="1" x14ac:dyDescent="0.2">
      <c r="A134" t="s">
        <v>604</v>
      </c>
      <c r="B134" t="s">
        <v>651</v>
      </c>
      <c r="C134" t="s">
        <v>707</v>
      </c>
      <c r="D134" t="s">
        <v>705</v>
      </c>
      <c r="E134" t="s">
        <v>399</v>
      </c>
      <c r="F134" s="1">
        <v>45509</v>
      </c>
      <c r="G134" s="1">
        <v>45539</v>
      </c>
      <c r="H134" t="s">
        <v>587</v>
      </c>
      <c r="I134">
        <v>21845.34</v>
      </c>
      <c r="J134">
        <v>21845.34</v>
      </c>
      <c r="K134">
        <v>0</v>
      </c>
      <c r="L134">
        <v>0</v>
      </c>
      <c r="M134">
        <v>0</v>
      </c>
      <c r="N134">
        <v>21845.34</v>
      </c>
      <c r="O134" s="14">
        <f t="shared" ca="1" si="2"/>
        <v>631</v>
      </c>
      <c r="P134" t="s">
        <v>589</v>
      </c>
    </row>
    <row r="135" spans="1:16" ht="12.75" customHeight="1" x14ac:dyDescent="0.2">
      <c r="A135" t="s">
        <v>604</v>
      </c>
      <c r="B135" t="s">
        <v>651</v>
      </c>
      <c r="C135" t="s">
        <v>707</v>
      </c>
      <c r="D135" t="s">
        <v>705</v>
      </c>
      <c r="E135" t="s">
        <v>399</v>
      </c>
      <c r="F135" s="1">
        <v>45509</v>
      </c>
      <c r="G135" s="1">
        <v>45539</v>
      </c>
      <c r="H135" t="s">
        <v>586</v>
      </c>
      <c r="I135">
        <v>32365.83</v>
      </c>
      <c r="J135">
        <v>32365.83</v>
      </c>
      <c r="K135">
        <v>0</v>
      </c>
      <c r="L135">
        <v>0</v>
      </c>
      <c r="M135">
        <v>0</v>
      </c>
      <c r="N135">
        <v>32365.83</v>
      </c>
      <c r="O135" s="14">
        <f t="shared" ca="1" si="2"/>
        <v>631</v>
      </c>
      <c r="P135" t="s">
        <v>589</v>
      </c>
    </row>
    <row r="136" spans="1:16" ht="12.75" customHeight="1" x14ac:dyDescent="0.2">
      <c r="A136" t="s">
        <v>604</v>
      </c>
      <c r="B136" t="s">
        <v>651</v>
      </c>
      <c r="C136" t="s">
        <v>707</v>
      </c>
      <c r="D136" t="s">
        <v>705</v>
      </c>
      <c r="E136" t="s">
        <v>399</v>
      </c>
      <c r="F136" s="1">
        <v>45519</v>
      </c>
      <c r="G136" s="1">
        <v>45549</v>
      </c>
      <c r="H136" t="s">
        <v>995</v>
      </c>
      <c r="I136">
        <v>3539.25</v>
      </c>
      <c r="J136">
        <v>3539.25</v>
      </c>
      <c r="K136">
        <v>0</v>
      </c>
      <c r="L136">
        <v>0</v>
      </c>
      <c r="M136">
        <v>0</v>
      </c>
      <c r="N136">
        <v>3539.25</v>
      </c>
      <c r="O136" s="14">
        <f t="shared" ca="1" si="2"/>
        <v>621</v>
      </c>
      <c r="P136" t="s">
        <v>589</v>
      </c>
    </row>
    <row r="137" spans="1:16" ht="12.75" customHeight="1" x14ac:dyDescent="0.2">
      <c r="A137" t="s">
        <v>604</v>
      </c>
      <c r="B137" t="s">
        <v>651</v>
      </c>
      <c r="C137" t="s">
        <v>707</v>
      </c>
      <c r="D137" t="s">
        <v>705</v>
      </c>
      <c r="E137" t="s">
        <v>399</v>
      </c>
      <c r="F137" s="1">
        <v>45530</v>
      </c>
      <c r="G137" s="1">
        <v>45560</v>
      </c>
      <c r="H137" t="s">
        <v>523</v>
      </c>
      <c r="I137">
        <v>33215.089999999997</v>
      </c>
      <c r="J137">
        <v>33215.089999999997</v>
      </c>
      <c r="K137">
        <v>0</v>
      </c>
      <c r="L137">
        <v>0</v>
      </c>
      <c r="M137">
        <v>0</v>
      </c>
      <c r="N137">
        <v>33215.089999999997</v>
      </c>
      <c r="O137" s="14">
        <f t="shared" ca="1" si="2"/>
        <v>610</v>
      </c>
      <c r="P137" t="s">
        <v>589</v>
      </c>
    </row>
    <row r="138" spans="1:16" ht="12.75" customHeight="1" x14ac:dyDescent="0.2">
      <c r="A138" t="s">
        <v>604</v>
      </c>
      <c r="B138" t="s">
        <v>651</v>
      </c>
      <c r="C138" t="s">
        <v>707</v>
      </c>
      <c r="D138" t="s">
        <v>705</v>
      </c>
      <c r="E138" t="s">
        <v>399</v>
      </c>
      <c r="F138" s="1">
        <v>45530</v>
      </c>
      <c r="G138" s="1">
        <v>45560</v>
      </c>
      <c r="H138" t="s">
        <v>522</v>
      </c>
      <c r="I138">
        <v>16694.41</v>
      </c>
      <c r="J138">
        <v>16694.41</v>
      </c>
      <c r="K138">
        <v>0</v>
      </c>
      <c r="L138">
        <v>0</v>
      </c>
      <c r="M138">
        <v>0</v>
      </c>
      <c r="N138">
        <v>16694.41</v>
      </c>
      <c r="O138" s="14">
        <f t="shared" ca="1" si="2"/>
        <v>610</v>
      </c>
      <c r="P138" t="s">
        <v>589</v>
      </c>
    </row>
    <row r="139" spans="1:16" ht="12.75" customHeight="1" x14ac:dyDescent="0.2">
      <c r="A139" t="s">
        <v>604</v>
      </c>
      <c r="B139" t="s">
        <v>651</v>
      </c>
      <c r="C139" t="s">
        <v>707</v>
      </c>
      <c r="D139" t="s">
        <v>705</v>
      </c>
      <c r="E139" t="s">
        <v>399</v>
      </c>
      <c r="F139" s="1">
        <v>45532</v>
      </c>
      <c r="G139" s="1">
        <v>45562</v>
      </c>
      <c r="H139" t="s">
        <v>521</v>
      </c>
      <c r="I139">
        <v>55422.62</v>
      </c>
      <c r="J139">
        <v>55422.62</v>
      </c>
      <c r="K139">
        <v>0</v>
      </c>
      <c r="L139">
        <v>0</v>
      </c>
      <c r="M139">
        <v>0</v>
      </c>
      <c r="N139">
        <v>55422.62</v>
      </c>
      <c r="O139" s="14">
        <f t="shared" ca="1" si="2"/>
        <v>608</v>
      </c>
      <c r="P139" t="s">
        <v>589</v>
      </c>
    </row>
    <row r="140" spans="1:16" ht="12.75" customHeight="1" x14ac:dyDescent="0.2">
      <c r="A140" t="s">
        <v>604</v>
      </c>
      <c r="B140" t="s">
        <v>651</v>
      </c>
      <c r="C140" t="s">
        <v>707</v>
      </c>
      <c r="D140" t="s">
        <v>705</v>
      </c>
      <c r="E140" t="s">
        <v>399</v>
      </c>
      <c r="F140" s="1">
        <v>45538</v>
      </c>
      <c r="G140" s="1">
        <v>45568</v>
      </c>
      <c r="H140" t="s">
        <v>153</v>
      </c>
      <c r="I140">
        <v>54450</v>
      </c>
      <c r="J140">
        <v>54450</v>
      </c>
      <c r="K140">
        <v>0</v>
      </c>
      <c r="L140">
        <v>0</v>
      </c>
      <c r="M140">
        <v>0</v>
      </c>
      <c r="N140">
        <v>54450</v>
      </c>
      <c r="O140" s="14">
        <f t="shared" ca="1" si="2"/>
        <v>602</v>
      </c>
      <c r="P140" t="s">
        <v>589</v>
      </c>
    </row>
    <row r="141" spans="1:16" ht="12.75" customHeight="1" x14ac:dyDescent="0.2">
      <c r="A141" t="s">
        <v>604</v>
      </c>
      <c r="B141" t="s">
        <v>651</v>
      </c>
      <c r="C141" t="s">
        <v>707</v>
      </c>
      <c r="D141" t="s">
        <v>705</v>
      </c>
      <c r="E141" t="s">
        <v>399</v>
      </c>
      <c r="F141" s="1">
        <v>45540</v>
      </c>
      <c r="G141" s="1">
        <v>45570</v>
      </c>
      <c r="H141" t="s">
        <v>825</v>
      </c>
      <c r="I141">
        <v>23685.75</v>
      </c>
      <c r="J141">
        <v>23685.75</v>
      </c>
      <c r="K141">
        <v>0</v>
      </c>
      <c r="L141">
        <v>0</v>
      </c>
      <c r="M141">
        <v>0</v>
      </c>
      <c r="N141">
        <v>23685.75</v>
      </c>
      <c r="O141" s="14">
        <f t="shared" ca="1" si="2"/>
        <v>600</v>
      </c>
      <c r="P141" t="s">
        <v>589</v>
      </c>
    </row>
    <row r="142" spans="1:16" ht="12.75" customHeight="1" x14ac:dyDescent="0.2">
      <c r="A142" t="s">
        <v>604</v>
      </c>
      <c r="B142" t="s">
        <v>651</v>
      </c>
      <c r="C142" t="s">
        <v>707</v>
      </c>
      <c r="D142" t="s">
        <v>705</v>
      </c>
      <c r="E142" t="s">
        <v>399</v>
      </c>
      <c r="F142" s="1">
        <v>45541</v>
      </c>
      <c r="G142" s="1">
        <v>45571</v>
      </c>
      <c r="H142" t="s">
        <v>836</v>
      </c>
      <c r="I142">
        <v>32716.560000000001</v>
      </c>
      <c r="J142">
        <v>32716.560000000001</v>
      </c>
      <c r="K142">
        <v>0</v>
      </c>
      <c r="L142">
        <v>0</v>
      </c>
      <c r="M142">
        <v>0</v>
      </c>
      <c r="N142">
        <v>32716.560000000001</v>
      </c>
      <c r="O142" s="14">
        <f t="shared" ca="1" si="2"/>
        <v>599</v>
      </c>
      <c r="P142" t="s">
        <v>589</v>
      </c>
    </row>
    <row r="143" spans="1:16" ht="12.75" customHeight="1" x14ac:dyDescent="0.2">
      <c r="A143" t="s">
        <v>604</v>
      </c>
      <c r="B143" t="s">
        <v>651</v>
      </c>
      <c r="C143" t="s">
        <v>707</v>
      </c>
      <c r="D143" t="s">
        <v>705</v>
      </c>
      <c r="E143" t="s">
        <v>399</v>
      </c>
      <c r="F143" s="1">
        <v>45548</v>
      </c>
      <c r="G143" s="1">
        <v>45578</v>
      </c>
      <c r="H143" t="s">
        <v>1310</v>
      </c>
      <c r="I143">
        <v>71625.08</v>
      </c>
      <c r="J143">
        <v>71625.08</v>
      </c>
      <c r="K143">
        <v>0</v>
      </c>
      <c r="L143">
        <v>0</v>
      </c>
      <c r="M143">
        <v>0</v>
      </c>
      <c r="N143">
        <v>71625.08</v>
      </c>
      <c r="O143" s="14">
        <f t="shared" ca="1" si="2"/>
        <v>592</v>
      </c>
      <c r="P143" t="s">
        <v>589</v>
      </c>
    </row>
    <row r="144" spans="1:16" ht="12.75" customHeight="1" x14ac:dyDescent="0.2">
      <c r="A144" t="s">
        <v>604</v>
      </c>
      <c r="B144" t="s">
        <v>651</v>
      </c>
      <c r="C144" t="s">
        <v>707</v>
      </c>
      <c r="D144" t="s">
        <v>705</v>
      </c>
      <c r="E144" t="s">
        <v>399</v>
      </c>
      <c r="F144" s="1">
        <v>45565</v>
      </c>
      <c r="G144" s="1">
        <v>45595</v>
      </c>
      <c r="H144" t="s">
        <v>483</v>
      </c>
      <c r="I144">
        <v>25591.5</v>
      </c>
      <c r="J144">
        <v>25591.5</v>
      </c>
      <c r="K144">
        <v>0</v>
      </c>
      <c r="L144">
        <v>0</v>
      </c>
      <c r="M144">
        <v>0</v>
      </c>
      <c r="N144">
        <v>25591.5</v>
      </c>
      <c r="O144" s="14">
        <f t="shared" ca="1" si="2"/>
        <v>575</v>
      </c>
      <c r="P144" t="s">
        <v>589</v>
      </c>
    </row>
    <row r="145" spans="1:16" ht="12.75" customHeight="1" x14ac:dyDescent="0.2">
      <c r="A145" t="s">
        <v>604</v>
      </c>
      <c r="B145" t="s">
        <v>651</v>
      </c>
      <c r="C145" t="s">
        <v>707</v>
      </c>
      <c r="D145" t="s">
        <v>705</v>
      </c>
      <c r="E145" t="s">
        <v>399</v>
      </c>
      <c r="F145" s="1">
        <v>45565</v>
      </c>
      <c r="G145" s="1">
        <v>45595</v>
      </c>
      <c r="H145" t="s">
        <v>481</v>
      </c>
      <c r="I145">
        <v>3049.2</v>
      </c>
      <c r="J145">
        <v>3049.2</v>
      </c>
      <c r="K145">
        <v>0</v>
      </c>
      <c r="L145">
        <v>0</v>
      </c>
      <c r="M145">
        <v>0</v>
      </c>
      <c r="N145">
        <v>3049.2</v>
      </c>
      <c r="O145" s="14">
        <f t="shared" ca="1" si="2"/>
        <v>575</v>
      </c>
      <c r="P145" t="s">
        <v>589</v>
      </c>
    </row>
    <row r="146" spans="1:16" ht="12.75" customHeight="1" x14ac:dyDescent="0.2">
      <c r="A146" t="s">
        <v>604</v>
      </c>
      <c r="B146" t="s">
        <v>651</v>
      </c>
      <c r="C146" t="s">
        <v>707</v>
      </c>
      <c r="D146" t="s">
        <v>705</v>
      </c>
      <c r="E146" t="s">
        <v>399</v>
      </c>
      <c r="F146" s="1">
        <v>45565</v>
      </c>
      <c r="G146" s="1">
        <v>45595</v>
      </c>
      <c r="H146" t="s">
        <v>1081</v>
      </c>
      <c r="I146">
        <v>14157</v>
      </c>
      <c r="J146">
        <v>14157</v>
      </c>
      <c r="K146">
        <v>0</v>
      </c>
      <c r="L146">
        <v>0</v>
      </c>
      <c r="M146">
        <v>0</v>
      </c>
      <c r="N146">
        <v>14157</v>
      </c>
      <c r="O146" s="14">
        <f t="shared" ca="1" si="2"/>
        <v>575</v>
      </c>
      <c r="P146" t="s">
        <v>589</v>
      </c>
    </row>
    <row r="147" spans="1:16" ht="12.75" customHeight="1" x14ac:dyDescent="0.2">
      <c r="A147" t="s">
        <v>604</v>
      </c>
      <c r="B147" t="s">
        <v>651</v>
      </c>
      <c r="C147" t="s">
        <v>707</v>
      </c>
      <c r="D147" t="s">
        <v>705</v>
      </c>
      <c r="E147" t="s">
        <v>399</v>
      </c>
      <c r="F147" s="1">
        <v>45580</v>
      </c>
      <c r="G147" s="1">
        <v>45610</v>
      </c>
      <c r="H147" t="s">
        <v>583</v>
      </c>
      <c r="I147">
        <v>10617.75</v>
      </c>
      <c r="J147">
        <v>10617.75</v>
      </c>
      <c r="K147">
        <v>0</v>
      </c>
      <c r="L147">
        <v>0</v>
      </c>
      <c r="M147">
        <v>0</v>
      </c>
      <c r="N147">
        <v>10617.75</v>
      </c>
      <c r="O147" s="14">
        <f t="shared" ca="1" si="2"/>
        <v>560</v>
      </c>
      <c r="P147" t="s">
        <v>589</v>
      </c>
    </row>
    <row r="148" spans="1:16" ht="12.75" customHeight="1" x14ac:dyDescent="0.2">
      <c r="A148" t="s">
        <v>604</v>
      </c>
      <c r="B148" t="s">
        <v>651</v>
      </c>
      <c r="C148" t="s">
        <v>707</v>
      </c>
      <c r="D148" t="s">
        <v>705</v>
      </c>
      <c r="E148" t="s">
        <v>399</v>
      </c>
      <c r="F148" s="1">
        <v>45589</v>
      </c>
      <c r="G148" s="1">
        <v>45619</v>
      </c>
      <c r="H148" t="s">
        <v>591</v>
      </c>
      <c r="I148">
        <v>15790.5</v>
      </c>
      <c r="J148">
        <v>15790.5</v>
      </c>
      <c r="K148">
        <v>0</v>
      </c>
      <c r="L148">
        <v>0</v>
      </c>
      <c r="M148">
        <v>0</v>
      </c>
      <c r="N148">
        <v>15790.5</v>
      </c>
      <c r="O148" s="14">
        <f t="shared" ca="1" si="2"/>
        <v>551</v>
      </c>
      <c r="P148" t="s">
        <v>589</v>
      </c>
    </row>
    <row r="149" spans="1:16" ht="12.75" customHeight="1" x14ac:dyDescent="0.2">
      <c r="A149" t="s">
        <v>604</v>
      </c>
      <c r="B149" t="s">
        <v>651</v>
      </c>
      <c r="C149" t="s">
        <v>707</v>
      </c>
      <c r="D149" t="s">
        <v>705</v>
      </c>
      <c r="E149" t="s">
        <v>399</v>
      </c>
      <c r="F149" s="1">
        <v>45589</v>
      </c>
      <c r="G149" s="1">
        <v>45619</v>
      </c>
      <c r="H149" t="s">
        <v>1064</v>
      </c>
      <c r="I149">
        <v>60831.54</v>
      </c>
      <c r="J149">
        <v>60831.54</v>
      </c>
      <c r="K149">
        <v>0</v>
      </c>
      <c r="L149">
        <v>0</v>
      </c>
      <c r="M149">
        <v>0</v>
      </c>
      <c r="N149">
        <v>60831.54</v>
      </c>
      <c r="O149" s="14">
        <f t="shared" ca="1" si="2"/>
        <v>551</v>
      </c>
      <c r="P149" t="s">
        <v>589</v>
      </c>
    </row>
    <row r="150" spans="1:16" ht="12.75" customHeight="1" x14ac:dyDescent="0.2">
      <c r="A150" t="s">
        <v>604</v>
      </c>
      <c r="B150" t="s">
        <v>651</v>
      </c>
      <c r="C150" t="s">
        <v>707</v>
      </c>
      <c r="D150" t="s">
        <v>705</v>
      </c>
      <c r="E150" t="s">
        <v>399</v>
      </c>
      <c r="F150" s="1">
        <v>45590</v>
      </c>
      <c r="G150" s="1">
        <v>45620</v>
      </c>
      <c r="H150" t="s">
        <v>1062</v>
      </c>
      <c r="I150">
        <v>42383.88</v>
      </c>
      <c r="J150">
        <v>42383.88</v>
      </c>
      <c r="K150">
        <v>0</v>
      </c>
      <c r="L150">
        <v>0</v>
      </c>
      <c r="M150">
        <v>0</v>
      </c>
      <c r="N150">
        <v>42383.88</v>
      </c>
      <c r="O150" s="14">
        <f t="shared" ca="1" si="2"/>
        <v>550</v>
      </c>
      <c r="P150" t="s">
        <v>589</v>
      </c>
    </row>
    <row r="151" spans="1:16" ht="12.75" customHeight="1" x14ac:dyDescent="0.2">
      <c r="A151" t="s">
        <v>604</v>
      </c>
      <c r="B151" t="s">
        <v>651</v>
      </c>
      <c r="C151" t="s">
        <v>707</v>
      </c>
      <c r="D151" t="s">
        <v>705</v>
      </c>
      <c r="E151" t="s">
        <v>399</v>
      </c>
      <c r="F151" s="1">
        <v>45593</v>
      </c>
      <c r="G151" s="1">
        <v>45623</v>
      </c>
      <c r="H151" t="s">
        <v>1068</v>
      </c>
      <c r="I151">
        <v>5445</v>
      </c>
      <c r="J151">
        <v>5445</v>
      </c>
      <c r="K151">
        <v>0</v>
      </c>
      <c r="L151">
        <v>0</v>
      </c>
      <c r="M151">
        <v>0</v>
      </c>
      <c r="N151">
        <v>5445</v>
      </c>
      <c r="O151" s="14">
        <f t="shared" ca="1" si="2"/>
        <v>547</v>
      </c>
      <c r="P151" t="s">
        <v>589</v>
      </c>
    </row>
    <row r="152" spans="1:16" ht="12.75" customHeight="1" x14ac:dyDescent="0.2">
      <c r="A152" t="s">
        <v>604</v>
      </c>
      <c r="B152" t="s">
        <v>651</v>
      </c>
      <c r="C152" t="s">
        <v>707</v>
      </c>
      <c r="D152" t="s">
        <v>705</v>
      </c>
      <c r="E152" t="s">
        <v>399</v>
      </c>
      <c r="F152" s="1">
        <v>45600</v>
      </c>
      <c r="G152" s="1">
        <v>45630</v>
      </c>
      <c r="H152" t="s">
        <v>712</v>
      </c>
      <c r="I152">
        <v>60831.54</v>
      </c>
      <c r="J152">
        <v>60831.54</v>
      </c>
      <c r="K152">
        <v>0</v>
      </c>
      <c r="L152">
        <v>0</v>
      </c>
      <c r="M152">
        <v>0</v>
      </c>
      <c r="N152">
        <v>60831.54</v>
      </c>
      <c r="O152" s="14">
        <f t="shared" ca="1" si="2"/>
        <v>540</v>
      </c>
      <c r="P152" t="s">
        <v>589</v>
      </c>
    </row>
    <row r="153" spans="1:16" ht="12.75" customHeight="1" x14ac:dyDescent="0.2">
      <c r="A153" t="s">
        <v>604</v>
      </c>
      <c r="B153" t="s">
        <v>651</v>
      </c>
      <c r="C153" t="s">
        <v>707</v>
      </c>
      <c r="D153" t="s">
        <v>705</v>
      </c>
      <c r="E153" t="s">
        <v>399</v>
      </c>
      <c r="F153" s="1">
        <v>45604</v>
      </c>
      <c r="G153" s="1">
        <v>45634</v>
      </c>
      <c r="H153" t="s">
        <v>1082</v>
      </c>
      <c r="I153">
        <v>3267</v>
      </c>
      <c r="J153">
        <v>3267</v>
      </c>
      <c r="K153">
        <v>0</v>
      </c>
      <c r="L153">
        <v>0</v>
      </c>
      <c r="M153">
        <v>0</v>
      </c>
      <c r="N153">
        <v>3267</v>
      </c>
      <c r="O153" s="14">
        <f t="shared" ca="1" si="2"/>
        <v>536</v>
      </c>
      <c r="P153" t="s">
        <v>589</v>
      </c>
    </row>
    <row r="154" spans="1:16" ht="12.75" customHeight="1" x14ac:dyDescent="0.2">
      <c r="A154" t="s">
        <v>604</v>
      </c>
      <c r="B154" t="s">
        <v>651</v>
      </c>
      <c r="C154" t="s">
        <v>707</v>
      </c>
      <c r="D154" t="s">
        <v>705</v>
      </c>
      <c r="E154" t="s">
        <v>399</v>
      </c>
      <c r="F154" s="1">
        <v>45607</v>
      </c>
      <c r="G154" s="1">
        <v>45637</v>
      </c>
      <c r="H154" t="s">
        <v>1091</v>
      </c>
      <c r="I154">
        <v>5445</v>
      </c>
      <c r="J154">
        <v>5445</v>
      </c>
      <c r="K154">
        <v>0</v>
      </c>
      <c r="L154">
        <v>0</v>
      </c>
      <c r="M154">
        <v>0</v>
      </c>
      <c r="N154">
        <v>5445</v>
      </c>
      <c r="O154" s="14">
        <f t="shared" ca="1" si="2"/>
        <v>533</v>
      </c>
      <c r="P154" t="s">
        <v>589</v>
      </c>
    </row>
    <row r="155" spans="1:16" ht="12.75" customHeight="1" x14ac:dyDescent="0.2">
      <c r="A155" t="s">
        <v>604</v>
      </c>
      <c r="B155" t="s">
        <v>651</v>
      </c>
      <c r="C155" t="s">
        <v>707</v>
      </c>
      <c r="D155" t="s">
        <v>705</v>
      </c>
      <c r="E155" t="s">
        <v>399</v>
      </c>
      <c r="F155" s="1">
        <v>45610</v>
      </c>
      <c r="G155" s="1">
        <v>45640</v>
      </c>
      <c r="H155" t="s">
        <v>248</v>
      </c>
      <c r="I155">
        <v>9801</v>
      </c>
      <c r="J155">
        <v>9801</v>
      </c>
      <c r="K155">
        <v>0</v>
      </c>
      <c r="L155">
        <v>0</v>
      </c>
      <c r="M155">
        <v>0</v>
      </c>
      <c r="N155">
        <v>9801</v>
      </c>
      <c r="O155" s="14">
        <f t="shared" ca="1" si="2"/>
        <v>530</v>
      </c>
      <c r="P155" t="s">
        <v>589</v>
      </c>
    </row>
    <row r="156" spans="1:16" ht="12.75" customHeight="1" x14ac:dyDescent="0.2">
      <c r="A156" t="s">
        <v>604</v>
      </c>
      <c r="B156" t="s">
        <v>651</v>
      </c>
      <c r="C156" t="s">
        <v>707</v>
      </c>
      <c r="D156" t="s">
        <v>705</v>
      </c>
      <c r="E156" t="s">
        <v>399</v>
      </c>
      <c r="F156" s="1">
        <v>45610</v>
      </c>
      <c r="G156" s="1">
        <v>45640</v>
      </c>
      <c r="H156" t="s">
        <v>243</v>
      </c>
      <c r="I156">
        <v>5445</v>
      </c>
      <c r="J156">
        <v>5445</v>
      </c>
      <c r="K156">
        <v>0</v>
      </c>
      <c r="L156">
        <v>0</v>
      </c>
      <c r="M156">
        <v>0</v>
      </c>
      <c r="N156">
        <v>5445</v>
      </c>
      <c r="O156" s="14">
        <f t="shared" ca="1" si="2"/>
        <v>530</v>
      </c>
      <c r="P156" t="s">
        <v>589</v>
      </c>
    </row>
    <row r="157" spans="1:16" ht="12.75" customHeight="1" x14ac:dyDescent="0.2">
      <c r="A157" t="s">
        <v>604</v>
      </c>
      <c r="B157" t="s">
        <v>651</v>
      </c>
      <c r="C157" t="s">
        <v>707</v>
      </c>
      <c r="D157" t="s">
        <v>705</v>
      </c>
      <c r="E157" t="s">
        <v>399</v>
      </c>
      <c r="F157" s="1">
        <v>45610</v>
      </c>
      <c r="G157" s="1">
        <v>45640</v>
      </c>
      <c r="H157" t="s">
        <v>242</v>
      </c>
      <c r="I157">
        <v>128018.34</v>
      </c>
      <c r="J157">
        <v>128018.34</v>
      </c>
      <c r="K157">
        <v>0</v>
      </c>
      <c r="L157">
        <v>0</v>
      </c>
      <c r="M157">
        <v>0</v>
      </c>
      <c r="N157">
        <v>128018.34</v>
      </c>
      <c r="O157" s="14">
        <f t="shared" ca="1" si="2"/>
        <v>530</v>
      </c>
      <c r="P157" t="s">
        <v>589</v>
      </c>
    </row>
    <row r="158" spans="1:16" ht="12.75" customHeight="1" x14ac:dyDescent="0.2">
      <c r="A158" t="s">
        <v>604</v>
      </c>
      <c r="B158" t="s">
        <v>651</v>
      </c>
      <c r="C158" t="s">
        <v>707</v>
      </c>
      <c r="D158" t="s">
        <v>705</v>
      </c>
      <c r="E158" t="s">
        <v>399</v>
      </c>
      <c r="F158" s="1">
        <v>45623</v>
      </c>
      <c r="G158" s="1">
        <v>45653</v>
      </c>
      <c r="H158" t="s">
        <v>244</v>
      </c>
      <c r="I158">
        <v>174383.42</v>
      </c>
      <c r="J158">
        <v>174383.42</v>
      </c>
      <c r="K158">
        <v>0</v>
      </c>
      <c r="L158">
        <v>0</v>
      </c>
      <c r="M158">
        <v>0</v>
      </c>
      <c r="N158">
        <v>174383.42</v>
      </c>
      <c r="O158" s="14">
        <f t="shared" ca="1" si="2"/>
        <v>517</v>
      </c>
      <c r="P158" t="s">
        <v>589</v>
      </c>
    </row>
    <row r="159" spans="1:16" ht="12.75" customHeight="1" x14ac:dyDescent="0.2">
      <c r="A159" t="s">
        <v>604</v>
      </c>
      <c r="B159" t="s">
        <v>651</v>
      </c>
      <c r="C159" t="s">
        <v>707</v>
      </c>
      <c r="D159" t="s">
        <v>705</v>
      </c>
      <c r="E159" t="s">
        <v>399</v>
      </c>
      <c r="F159" s="1">
        <v>45630</v>
      </c>
      <c r="G159" s="1">
        <v>45660</v>
      </c>
      <c r="H159" t="s">
        <v>1022</v>
      </c>
      <c r="I159">
        <v>4791.6000000000004</v>
      </c>
      <c r="J159">
        <v>4791.6000000000004</v>
      </c>
      <c r="K159">
        <v>0</v>
      </c>
      <c r="L159">
        <v>0</v>
      </c>
      <c r="M159">
        <v>0</v>
      </c>
      <c r="N159">
        <v>4791.6000000000004</v>
      </c>
      <c r="O159" s="14">
        <f t="shared" ca="1" si="2"/>
        <v>510</v>
      </c>
      <c r="P159" t="s">
        <v>589</v>
      </c>
    </row>
    <row r="160" spans="1:16" ht="12.75" customHeight="1" x14ac:dyDescent="0.2">
      <c r="A160" t="s">
        <v>604</v>
      </c>
      <c r="B160" t="s">
        <v>651</v>
      </c>
      <c r="C160" t="s">
        <v>707</v>
      </c>
      <c r="D160" t="s">
        <v>705</v>
      </c>
      <c r="E160" t="s">
        <v>399</v>
      </c>
      <c r="F160" s="1">
        <v>45635</v>
      </c>
      <c r="G160" s="1">
        <v>45665</v>
      </c>
      <c r="H160" t="s">
        <v>1025</v>
      </c>
      <c r="I160">
        <v>59352.4</v>
      </c>
      <c r="J160">
        <v>59352.4</v>
      </c>
      <c r="K160">
        <v>0</v>
      </c>
      <c r="L160">
        <v>0</v>
      </c>
      <c r="M160">
        <v>0</v>
      </c>
      <c r="N160">
        <v>59352.4</v>
      </c>
      <c r="O160" s="14">
        <f t="shared" ca="1" si="2"/>
        <v>505</v>
      </c>
      <c r="P160" t="s">
        <v>589</v>
      </c>
    </row>
    <row r="161" spans="1:16" ht="12.75" customHeight="1" x14ac:dyDescent="0.2">
      <c r="A161" t="s">
        <v>604</v>
      </c>
      <c r="B161" t="s">
        <v>651</v>
      </c>
      <c r="C161" t="s">
        <v>707</v>
      </c>
      <c r="D161" t="s">
        <v>705</v>
      </c>
      <c r="E161" t="s">
        <v>399</v>
      </c>
      <c r="F161" s="1">
        <v>45638</v>
      </c>
      <c r="G161" s="1">
        <v>45668</v>
      </c>
      <c r="H161" t="s">
        <v>1028</v>
      </c>
      <c r="I161">
        <v>5445</v>
      </c>
      <c r="J161">
        <v>5445</v>
      </c>
      <c r="K161">
        <v>0</v>
      </c>
      <c r="L161">
        <v>0</v>
      </c>
      <c r="M161">
        <v>0</v>
      </c>
      <c r="N161">
        <v>5445</v>
      </c>
      <c r="O161" s="14">
        <f t="shared" ca="1" si="2"/>
        <v>502</v>
      </c>
      <c r="P161" t="s">
        <v>589</v>
      </c>
    </row>
    <row r="162" spans="1:16" ht="12.75" customHeight="1" x14ac:dyDescent="0.2">
      <c r="A162" t="s">
        <v>604</v>
      </c>
      <c r="B162" t="s">
        <v>651</v>
      </c>
      <c r="C162" t="s">
        <v>707</v>
      </c>
      <c r="D162" t="s">
        <v>705</v>
      </c>
      <c r="E162" t="s">
        <v>399</v>
      </c>
      <c r="F162" s="1">
        <v>45642</v>
      </c>
      <c r="G162" s="1">
        <v>45672</v>
      </c>
      <c r="H162" t="s">
        <v>175</v>
      </c>
      <c r="I162">
        <v>27225</v>
      </c>
      <c r="J162">
        <v>27225</v>
      </c>
      <c r="K162">
        <v>0</v>
      </c>
      <c r="L162">
        <v>0</v>
      </c>
      <c r="M162">
        <v>0</v>
      </c>
      <c r="N162">
        <v>27225</v>
      </c>
      <c r="O162" s="14">
        <f t="shared" ca="1" si="2"/>
        <v>498</v>
      </c>
      <c r="P162" t="s">
        <v>589</v>
      </c>
    </row>
    <row r="163" spans="1:16" ht="12.75" customHeight="1" x14ac:dyDescent="0.2">
      <c r="A163" t="s">
        <v>604</v>
      </c>
      <c r="B163" t="s">
        <v>651</v>
      </c>
      <c r="C163" t="s">
        <v>707</v>
      </c>
      <c r="D163" t="s">
        <v>705</v>
      </c>
      <c r="E163" t="s">
        <v>399</v>
      </c>
      <c r="F163" s="1">
        <v>45645</v>
      </c>
      <c r="G163" s="1">
        <v>45675</v>
      </c>
      <c r="H163" t="s">
        <v>176</v>
      </c>
      <c r="I163">
        <v>5445</v>
      </c>
      <c r="J163">
        <v>5445</v>
      </c>
      <c r="K163">
        <v>0</v>
      </c>
      <c r="L163">
        <v>0</v>
      </c>
      <c r="M163">
        <v>0</v>
      </c>
      <c r="N163">
        <v>5445</v>
      </c>
      <c r="O163" s="14">
        <f t="shared" ca="1" si="2"/>
        <v>495</v>
      </c>
      <c r="P163" t="s">
        <v>589</v>
      </c>
    </row>
    <row r="164" spans="1:16" ht="12.75" customHeight="1" x14ac:dyDescent="0.2">
      <c r="A164" t="s">
        <v>604</v>
      </c>
      <c r="B164" t="s">
        <v>651</v>
      </c>
      <c r="C164" t="s">
        <v>707</v>
      </c>
      <c r="D164" t="s">
        <v>705</v>
      </c>
      <c r="E164" t="s">
        <v>399</v>
      </c>
      <c r="F164" s="1">
        <v>45645</v>
      </c>
      <c r="G164" s="1">
        <v>45675</v>
      </c>
      <c r="H164" t="s">
        <v>177</v>
      </c>
      <c r="I164">
        <v>5445</v>
      </c>
      <c r="J164">
        <v>5445</v>
      </c>
      <c r="K164">
        <v>0</v>
      </c>
      <c r="L164">
        <v>0</v>
      </c>
      <c r="M164">
        <v>0</v>
      </c>
      <c r="N164">
        <v>5445</v>
      </c>
      <c r="O164" s="14">
        <f t="shared" ca="1" si="2"/>
        <v>495</v>
      </c>
      <c r="P164" t="s">
        <v>589</v>
      </c>
    </row>
    <row r="165" spans="1:16" ht="12.75" customHeight="1" x14ac:dyDescent="0.2">
      <c r="A165" t="s">
        <v>604</v>
      </c>
      <c r="B165" t="s">
        <v>651</v>
      </c>
      <c r="C165" t="s">
        <v>707</v>
      </c>
      <c r="D165" t="s">
        <v>705</v>
      </c>
      <c r="E165" t="s">
        <v>399</v>
      </c>
      <c r="F165" s="1">
        <v>45653</v>
      </c>
      <c r="G165" s="1">
        <v>45683</v>
      </c>
      <c r="H165" t="s">
        <v>172</v>
      </c>
      <c r="I165">
        <v>58806</v>
      </c>
      <c r="J165">
        <v>58806</v>
      </c>
      <c r="K165">
        <v>0</v>
      </c>
      <c r="L165">
        <v>0</v>
      </c>
      <c r="M165">
        <v>0</v>
      </c>
      <c r="N165">
        <v>58806</v>
      </c>
      <c r="O165" s="14">
        <f t="shared" ca="1" si="2"/>
        <v>487</v>
      </c>
      <c r="P165" t="s">
        <v>589</v>
      </c>
    </row>
    <row r="166" spans="1:16" ht="12.75" customHeight="1" x14ac:dyDescent="0.2">
      <c r="A166" t="s">
        <v>604</v>
      </c>
      <c r="B166" t="s">
        <v>651</v>
      </c>
      <c r="C166" t="s">
        <v>707</v>
      </c>
      <c r="D166" t="s">
        <v>705</v>
      </c>
      <c r="E166" t="s">
        <v>399</v>
      </c>
      <c r="F166" s="1">
        <v>45653</v>
      </c>
      <c r="G166" s="1">
        <v>45683</v>
      </c>
      <c r="H166" t="s">
        <v>171</v>
      </c>
      <c r="I166">
        <v>68611.53</v>
      </c>
      <c r="J166">
        <v>68611.53</v>
      </c>
      <c r="K166">
        <v>0</v>
      </c>
      <c r="L166">
        <v>0</v>
      </c>
      <c r="M166">
        <v>0</v>
      </c>
      <c r="N166">
        <v>68611.53</v>
      </c>
      <c r="O166" s="14">
        <f t="shared" ca="1" si="2"/>
        <v>487</v>
      </c>
      <c r="P166" t="s">
        <v>589</v>
      </c>
    </row>
    <row r="167" spans="1:16" ht="12.75" customHeight="1" x14ac:dyDescent="0.2">
      <c r="A167" t="s">
        <v>604</v>
      </c>
      <c r="B167" t="s">
        <v>651</v>
      </c>
      <c r="C167" t="s">
        <v>707</v>
      </c>
      <c r="D167" t="s">
        <v>705</v>
      </c>
      <c r="E167" t="s">
        <v>399</v>
      </c>
      <c r="F167" s="1">
        <v>45656</v>
      </c>
      <c r="G167" s="1">
        <v>45686</v>
      </c>
      <c r="H167" t="s">
        <v>173</v>
      </c>
      <c r="I167">
        <v>10890</v>
      </c>
      <c r="J167">
        <v>10890</v>
      </c>
      <c r="K167">
        <v>0</v>
      </c>
      <c r="L167">
        <v>0</v>
      </c>
      <c r="M167">
        <v>0</v>
      </c>
      <c r="N167">
        <v>10890</v>
      </c>
      <c r="O167" s="14">
        <f t="shared" ca="1" si="2"/>
        <v>484</v>
      </c>
      <c r="P167" t="s">
        <v>589</v>
      </c>
    </row>
    <row r="168" spans="1:16" ht="12.75" customHeight="1" x14ac:dyDescent="0.2">
      <c r="A168" t="s">
        <v>604</v>
      </c>
      <c r="B168" t="s">
        <v>651</v>
      </c>
      <c r="C168" t="s">
        <v>707</v>
      </c>
      <c r="D168" t="s">
        <v>705</v>
      </c>
      <c r="E168" t="s">
        <v>399</v>
      </c>
      <c r="F168" s="1">
        <v>45657</v>
      </c>
      <c r="G168" s="1">
        <v>45687</v>
      </c>
      <c r="H168" t="s">
        <v>669</v>
      </c>
      <c r="I168">
        <v>5445</v>
      </c>
      <c r="J168">
        <v>5445</v>
      </c>
      <c r="K168">
        <v>0</v>
      </c>
      <c r="L168">
        <v>0</v>
      </c>
      <c r="M168">
        <v>0</v>
      </c>
      <c r="N168">
        <v>5445</v>
      </c>
      <c r="O168" s="14">
        <f t="shared" ca="1" si="2"/>
        <v>483</v>
      </c>
      <c r="P168" t="s">
        <v>589</v>
      </c>
    </row>
    <row r="169" spans="1:16" ht="12.75" customHeight="1" x14ac:dyDescent="0.2">
      <c r="A169" t="s">
        <v>604</v>
      </c>
      <c r="B169" t="s">
        <v>651</v>
      </c>
      <c r="C169" t="s">
        <v>707</v>
      </c>
      <c r="D169" t="s">
        <v>705</v>
      </c>
      <c r="E169" t="s">
        <v>399</v>
      </c>
      <c r="F169" s="1">
        <v>45664</v>
      </c>
      <c r="G169" s="1">
        <v>45694</v>
      </c>
      <c r="H169" t="s">
        <v>155</v>
      </c>
      <c r="I169">
        <v>79710.62</v>
      </c>
      <c r="J169">
        <v>79710.62</v>
      </c>
      <c r="K169">
        <v>0</v>
      </c>
      <c r="L169">
        <v>0</v>
      </c>
      <c r="M169">
        <v>0</v>
      </c>
      <c r="N169">
        <v>79710.62</v>
      </c>
      <c r="O169" s="14">
        <f t="shared" ca="1" si="2"/>
        <v>476</v>
      </c>
      <c r="P169" t="s">
        <v>589</v>
      </c>
    </row>
    <row r="170" spans="1:16" ht="12.75" customHeight="1" x14ac:dyDescent="0.2">
      <c r="A170" t="s">
        <v>604</v>
      </c>
      <c r="B170" t="s">
        <v>651</v>
      </c>
      <c r="C170" t="s">
        <v>707</v>
      </c>
      <c r="D170" t="s">
        <v>705</v>
      </c>
      <c r="E170" t="s">
        <v>399</v>
      </c>
      <c r="F170" s="1">
        <v>45677</v>
      </c>
      <c r="G170" s="1">
        <v>45707</v>
      </c>
      <c r="H170" t="s">
        <v>264</v>
      </c>
      <c r="I170">
        <v>10500</v>
      </c>
      <c r="J170">
        <v>10500</v>
      </c>
      <c r="K170">
        <v>0</v>
      </c>
      <c r="L170">
        <v>0</v>
      </c>
      <c r="M170">
        <v>0</v>
      </c>
      <c r="N170">
        <v>10500</v>
      </c>
      <c r="O170" s="14">
        <f t="shared" ca="1" si="2"/>
        <v>463</v>
      </c>
      <c r="P170" t="s">
        <v>589</v>
      </c>
    </row>
    <row r="171" spans="1:16" ht="12.75" customHeight="1" x14ac:dyDescent="0.2">
      <c r="A171" t="s">
        <v>604</v>
      </c>
      <c r="B171" t="s">
        <v>651</v>
      </c>
      <c r="C171" t="s">
        <v>707</v>
      </c>
      <c r="D171" t="s">
        <v>705</v>
      </c>
      <c r="E171" t="s">
        <v>399</v>
      </c>
      <c r="F171" s="1">
        <v>45677</v>
      </c>
      <c r="G171" s="1">
        <v>45707</v>
      </c>
      <c r="H171" t="s">
        <v>267</v>
      </c>
      <c r="I171">
        <v>8031.38</v>
      </c>
      <c r="J171">
        <v>8031.38</v>
      </c>
      <c r="K171">
        <v>0</v>
      </c>
      <c r="L171">
        <v>0</v>
      </c>
      <c r="M171">
        <v>0</v>
      </c>
      <c r="N171">
        <v>8031.38</v>
      </c>
      <c r="O171" s="14">
        <f t="shared" ca="1" si="2"/>
        <v>463</v>
      </c>
      <c r="P171" t="s">
        <v>589</v>
      </c>
    </row>
    <row r="172" spans="1:16" ht="12.75" customHeight="1" x14ac:dyDescent="0.2">
      <c r="A172" t="s">
        <v>604</v>
      </c>
      <c r="B172" t="s">
        <v>651</v>
      </c>
      <c r="C172" t="s">
        <v>707</v>
      </c>
      <c r="D172" t="s">
        <v>705</v>
      </c>
      <c r="E172" t="s">
        <v>399</v>
      </c>
      <c r="F172" s="1">
        <v>45678</v>
      </c>
      <c r="G172" s="1">
        <v>45708</v>
      </c>
      <c r="H172" t="s">
        <v>265</v>
      </c>
      <c r="I172">
        <v>10890</v>
      </c>
      <c r="J172">
        <v>10890</v>
      </c>
      <c r="K172">
        <v>0</v>
      </c>
      <c r="L172">
        <v>0</v>
      </c>
      <c r="M172">
        <v>0</v>
      </c>
      <c r="N172">
        <v>10890</v>
      </c>
      <c r="O172" s="14">
        <f t="shared" ca="1" si="2"/>
        <v>462</v>
      </c>
      <c r="P172" t="s">
        <v>589</v>
      </c>
    </row>
    <row r="173" spans="1:16" ht="12.75" customHeight="1" x14ac:dyDescent="0.2">
      <c r="A173" t="s">
        <v>604</v>
      </c>
      <c r="B173" t="s">
        <v>651</v>
      </c>
      <c r="C173" t="s">
        <v>707</v>
      </c>
      <c r="D173" t="s">
        <v>705</v>
      </c>
      <c r="E173" t="s">
        <v>399</v>
      </c>
      <c r="F173" s="1">
        <v>45687</v>
      </c>
      <c r="G173" s="1">
        <v>45717</v>
      </c>
      <c r="H173" t="s">
        <v>756</v>
      </c>
      <c r="I173">
        <v>14157</v>
      </c>
      <c r="J173">
        <v>14157</v>
      </c>
      <c r="K173">
        <v>0</v>
      </c>
      <c r="L173">
        <v>0</v>
      </c>
      <c r="M173">
        <v>0</v>
      </c>
      <c r="N173">
        <v>14157</v>
      </c>
      <c r="O173" s="14">
        <f t="shared" ca="1" si="2"/>
        <v>453</v>
      </c>
      <c r="P173" t="s">
        <v>589</v>
      </c>
    </row>
    <row r="174" spans="1:16" ht="12.75" customHeight="1" x14ac:dyDescent="0.2">
      <c r="A174" t="s">
        <v>604</v>
      </c>
      <c r="B174" t="s">
        <v>651</v>
      </c>
      <c r="C174" t="s">
        <v>707</v>
      </c>
      <c r="D174" t="s">
        <v>705</v>
      </c>
      <c r="E174" t="s">
        <v>399</v>
      </c>
      <c r="F174" s="1">
        <v>45692</v>
      </c>
      <c r="G174" s="1">
        <v>45722</v>
      </c>
      <c r="H174" t="s">
        <v>613</v>
      </c>
      <c r="I174">
        <v>55539</v>
      </c>
      <c r="J174">
        <v>55539</v>
      </c>
      <c r="K174">
        <v>0</v>
      </c>
      <c r="L174">
        <v>0</v>
      </c>
      <c r="M174">
        <v>0</v>
      </c>
      <c r="N174">
        <v>55539</v>
      </c>
      <c r="O174" s="14">
        <f t="shared" ca="1" si="2"/>
        <v>448</v>
      </c>
      <c r="P174" t="s">
        <v>589</v>
      </c>
    </row>
    <row r="175" spans="1:16" ht="12.75" customHeight="1" x14ac:dyDescent="0.2">
      <c r="A175" t="s">
        <v>604</v>
      </c>
      <c r="B175" t="s">
        <v>651</v>
      </c>
      <c r="C175" t="s">
        <v>707</v>
      </c>
      <c r="D175" t="s">
        <v>705</v>
      </c>
      <c r="E175" t="s">
        <v>399</v>
      </c>
      <c r="F175" s="1">
        <v>45692</v>
      </c>
      <c r="G175" s="1">
        <v>45722</v>
      </c>
      <c r="H175" t="s">
        <v>531</v>
      </c>
      <c r="I175">
        <v>27541.15</v>
      </c>
      <c r="J175">
        <v>27541.15</v>
      </c>
      <c r="K175">
        <v>0</v>
      </c>
      <c r="L175">
        <v>0</v>
      </c>
      <c r="M175">
        <v>0</v>
      </c>
      <c r="N175">
        <v>27541.15</v>
      </c>
      <c r="O175" s="14">
        <f t="shared" ca="1" si="2"/>
        <v>448</v>
      </c>
      <c r="P175" t="s">
        <v>589</v>
      </c>
    </row>
    <row r="176" spans="1:16" ht="12.75" customHeight="1" x14ac:dyDescent="0.2">
      <c r="A176" t="s">
        <v>604</v>
      </c>
      <c r="B176" t="s">
        <v>651</v>
      </c>
      <c r="C176" t="s">
        <v>707</v>
      </c>
      <c r="D176" t="s">
        <v>705</v>
      </c>
      <c r="E176" t="s">
        <v>399</v>
      </c>
      <c r="F176" s="1">
        <v>45698</v>
      </c>
      <c r="G176" s="1">
        <v>45728</v>
      </c>
      <c r="H176" t="s">
        <v>290</v>
      </c>
      <c r="I176">
        <v>32125.5</v>
      </c>
      <c r="J176">
        <v>32125.5</v>
      </c>
      <c r="K176">
        <v>0</v>
      </c>
      <c r="L176">
        <v>0</v>
      </c>
      <c r="M176">
        <v>0</v>
      </c>
      <c r="N176">
        <v>32125.5</v>
      </c>
      <c r="O176" s="14">
        <f t="shared" ca="1" si="2"/>
        <v>442</v>
      </c>
      <c r="P176" t="s">
        <v>589</v>
      </c>
    </row>
    <row r="177" spans="1:16" ht="12.75" customHeight="1" x14ac:dyDescent="0.2">
      <c r="A177" t="s">
        <v>604</v>
      </c>
      <c r="B177" t="s">
        <v>651</v>
      </c>
      <c r="C177" t="s">
        <v>707</v>
      </c>
      <c r="D177" t="s">
        <v>705</v>
      </c>
      <c r="E177" t="s">
        <v>399</v>
      </c>
      <c r="F177" s="1">
        <v>45702</v>
      </c>
      <c r="G177" s="1">
        <v>45732</v>
      </c>
      <c r="H177" t="s">
        <v>297</v>
      </c>
      <c r="I177">
        <v>53905.5</v>
      </c>
      <c r="J177">
        <v>53905.5</v>
      </c>
      <c r="K177">
        <v>0</v>
      </c>
      <c r="L177">
        <v>0</v>
      </c>
      <c r="M177">
        <v>0</v>
      </c>
      <c r="N177">
        <v>53905.5</v>
      </c>
      <c r="O177" s="14">
        <f t="shared" ca="1" si="2"/>
        <v>438</v>
      </c>
      <c r="P177" t="s">
        <v>589</v>
      </c>
    </row>
    <row r="178" spans="1:16" ht="12.75" customHeight="1" x14ac:dyDescent="0.2">
      <c r="A178" t="s">
        <v>604</v>
      </c>
      <c r="B178" t="s">
        <v>651</v>
      </c>
      <c r="C178" t="s">
        <v>707</v>
      </c>
      <c r="D178" t="s">
        <v>705</v>
      </c>
      <c r="E178" t="s">
        <v>399</v>
      </c>
      <c r="F178" s="1">
        <v>45706</v>
      </c>
      <c r="G178" s="1">
        <v>45736</v>
      </c>
      <c r="H178" t="s">
        <v>296</v>
      </c>
      <c r="I178">
        <v>4356</v>
      </c>
      <c r="J178">
        <v>4356</v>
      </c>
      <c r="K178">
        <v>0</v>
      </c>
      <c r="L178">
        <v>0</v>
      </c>
      <c r="M178">
        <v>0</v>
      </c>
      <c r="N178">
        <v>4356</v>
      </c>
      <c r="O178" s="14">
        <f t="shared" ca="1" si="2"/>
        <v>434</v>
      </c>
      <c r="P178" t="s">
        <v>589</v>
      </c>
    </row>
    <row r="179" spans="1:16" ht="12.75" customHeight="1" x14ac:dyDescent="0.2">
      <c r="A179" t="s">
        <v>604</v>
      </c>
      <c r="B179" t="s">
        <v>651</v>
      </c>
      <c r="C179" t="s">
        <v>707</v>
      </c>
      <c r="D179" t="s">
        <v>705</v>
      </c>
      <c r="E179" t="s">
        <v>399</v>
      </c>
      <c r="F179" s="1">
        <v>45726</v>
      </c>
      <c r="G179" s="1">
        <v>45756</v>
      </c>
      <c r="H179" t="s">
        <v>214</v>
      </c>
      <c r="I179">
        <v>7623</v>
      </c>
      <c r="J179">
        <v>7623</v>
      </c>
      <c r="K179">
        <v>0</v>
      </c>
      <c r="L179">
        <v>0</v>
      </c>
      <c r="M179">
        <v>0</v>
      </c>
      <c r="N179">
        <v>7623</v>
      </c>
      <c r="O179" s="14">
        <f t="shared" ca="1" si="2"/>
        <v>414</v>
      </c>
      <c r="P179" t="s">
        <v>589</v>
      </c>
    </row>
    <row r="180" spans="1:16" ht="12.75" customHeight="1" x14ac:dyDescent="0.2">
      <c r="A180" t="s">
        <v>604</v>
      </c>
      <c r="B180" t="s">
        <v>651</v>
      </c>
      <c r="C180" t="s">
        <v>707</v>
      </c>
      <c r="D180" t="s">
        <v>705</v>
      </c>
      <c r="E180" t="s">
        <v>399</v>
      </c>
      <c r="F180" s="1">
        <v>45726</v>
      </c>
      <c r="G180" s="1">
        <v>45756</v>
      </c>
      <c r="H180" t="s">
        <v>215</v>
      </c>
      <c r="I180">
        <v>106027.23</v>
      </c>
      <c r="J180">
        <v>106027.23</v>
      </c>
      <c r="K180">
        <v>0</v>
      </c>
      <c r="L180">
        <v>0</v>
      </c>
      <c r="M180">
        <v>0</v>
      </c>
      <c r="N180">
        <v>106027.23</v>
      </c>
      <c r="O180" s="14">
        <f t="shared" ca="1" si="2"/>
        <v>414</v>
      </c>
      <c r="P180" t="s">
        <v>589</v>
      </c>
    </row>
    <row r="181" spans="1:16" ht="12.75" customHeight="1" x14ac:dyDescent="0.2">
      <c r="A181" t="s">
        <v>604</v>
      </c>
      <c r="B181" t="s">
        <v>651</v>
      </c>
      <c r="C181" t="s">
        <v>707</v>
      </c>
      <c r="D181" t="s">
        <v>705</v>
      </c>
      <c r="E181" t="s">
        <v>399</v>
      </c>
      <c r="F181" s="1">
        <v>45733</v>
      </c>
      <c r="G181" s="1">
        <v>45763</v>
      </c>
      <c r="H181" t="s">
        <v>539</v>
      </c>
      <c r="I181">
        <v>34690.129999999997</v>
      </c>
      <c r="J181">
        <v>34690.129999999997</v>
      </c>
      <c r="K181">
        <v>0</v>
      </c>
      <c r="L181">
        <v>0</v>
      </c>
      <c r="M181">
        <v>0</v>
      </c>
      <c r="N181">
        <v>34690.129999999997</v>
      </c>
      <c r="O181" s="14">
        <f t="shared" ca="1" si="2"/>
        <v>407</v>
      </c>
      <c r="P181" t="s">
        <v>589</v>
      </c>
    </row>
    <row r="182" spans="1:16" ht="12.75" customHeight="1" x14ac:dyDescent="0.2">
      <c r="A182" t="s">
        <v>604</v>
      </c>
      <c r="B182" t="s">
        <v>651</v>
      </c>
      <c r="C182" t="s">
        <v>707</v>
      </c>
      <c r="D182" t="s">
        <v>705</v>
      </c>
      <c r="E182" t="s">
        <v>399</v>
      </c>
      <c r="F182" s="1">
        <v>45733</v>
      </c>
      <c r="G182" s="1">
        <v>45763</v>
      </c>
      <c r="H182" t="s">
        <v>540</v>
      </c>
      <c r="I182">
        <v>5445</v>
      </c>
      <c r="J182">
        <v>5445</v>
      </c>
      <c r="K182">
        <v>0</v>
      </c>
      <c r="L182">
        <v>0</v>
      </c>
      <c r="M182">
        <v>0</v>
      </c>
      <c r="N182">
        <v>5445</v>
      </c>
      <c r="O182" s="14">
        <f t="shared" ca="1" si="2"/>
        <v>407</v>
      </c>
      <c r="P182" t="s">
        <v>589</v>
      </c>
    </row>
    <row r="183" spans="1:16" ht="12.75" customHeight="1" x14ac:dyDescent="0.2">
      <c r="A183" t="s">
        <v>604</v>
      </c>
      <c r="B183" t="s">
        <v>651</v>
      </c>
      <c r="C183" t="s">
        <v>707</v>
      </c>
      <c r="D183" t="s">
        <v>705</v>
      </c>
      <c r="E183" t="s">
        <v>399</v>
      </c>
      <c r="F183" s="1">
        <v>45735</v>
      </c>
      <c r="G183" s="1">
        <v>45765</v>
      </c>
      <c r="H183" t="s">
        <v>545</v>
      </c>
      <c r="I183">
        <v>5445</v>
      </c>
      <c r="J183">
        <v>5445</v>
      </c>
      <c r="K183">
        <v>0</v>
      </c>
      <c r="L183">
        <v>0</v>
      </c>
      <c r="M183">
        <v>0</v>
      </c>
      <c r="N183">
        <v>5445</v>
      </c>
      <c r="O183" s="14">
        <f t="shared" ca="1" si="2"/>
        <v>405</v>
      </c>
      <c r="P183" t="s">
        <v>589</v>
      </c>
    </row>
    <row r="184" spans="1:16" ht="12.75" customHeight="1" x14ac:dyDescent="0.2">
      <c r="A184" t="s">
        <v>604</v>
      </c>
      <c r="B184" t="s">
        <v>651</v>
      </c>
      <c r="C184" t="s">
        <v>707</v>
      </c>
      <c r="D184" t="s">
        <v>705</v>
      </c>
      <c r="E184" t="s">
        <v>399</v>
      </c>
      <c r="F184" s="1">
        <v>45735</v>
      </c>
      <c r="G184" s="1">
        <v>45765</v>
      </c>
      <c r="H184" t="s">
        <v>1019</v>
      </c>
      <c r="I184">
        <v>4356</v>
      </c>
      <c r="J184">
        <v>4356</v>
      </c>
      <c r="K184">
        <v>0</v>
      </c>
      <c r="L184">
        <v>0</v>
      </c>
      <c r="M184">
        <v>0</v>
      </c>
      <c r="N184">
        <v>4356</v>
      </c>
      <c r="O184" s="14">
        <f t="shared" ca="1" si="2"/>
        <v>405</v>
      </c>
      <c r="P184" t="s">
        <v>589</v>
      </c>
    </row>
    <row r="185" spans="1:16" ht="12.75" customHeight="1" x14ac:dyDescent="0.2">
      <c r="A185" t="s">
        <v>604</v>
      </c>
      <c r="B185" t="s">
        <v>651</v>
      </c>
      <c r="C185" t="s">
        <v>707</v>
      </c>
      <c r="D185" t="s">
        <v>705</v>
      </c>
      <c r="E185" t="s">
        <v>399</v>
      </c>
      <c r="F185" s="1">
        <v>45742</v>
      </c>
      <c r="G185" s="1">
        <v>45772</v>
      </c>
      <c r="H185" t="s">
        <v>1015</v>
      </c>
      <c r="I185">
        <v>17424</v>
      </c>
      <c r="J185">
        <v>17424</v>
      </c>
      <c r="K185">
        <v>0</v>
      </c>
      <c r="L185">
        <v>0</v>
      </c>
      <c r="M185">
        <v>0</v>
      </c>
      <c r="N185">
        <v>17424</v>
      </c>
      <c r="O185" s="14">
        <f t="shared" ca="1" si="2"/>
        <v>398</v>
      </c>
      <c r="P185" t="s">
        <v>589</v>
      </c>
    </row>
    <row r="186" spans="1:16" ht="12.75" customHeight="1" x14ac:dyDescent="0.2">
      <c r="A186" t="s">
        <v>604</v>
      </c>
      <c r="B186" t="s">
        <v>651</v>
      </c>
      <c r="C186" t="s">
        <v>707</v>
      </c>
      <c r="D186" t="s">
        <v>705</v>
      </c>
      <c r="E186" t="s">
        <v>399</v>
      </c>
      <c r="F186" s="1">
        <v>45747</v>
      </c>
      <c r="G186" s="1">
        <v>45777</v>
      </c>
      <c r="H186" t="s">
        <v>702</v>
      </c>
      <c r="I186">
        <v>16335</v>
      </c>
      <c r="J186">
        <v>16335</v>
      </c>
      <c r="K186">
        <v>0</v>
      </c>
      <c r="L186">
        <v>0</v>
      </c>
      <c r="M186">
        <v>0</v>
      </c>
      <c r="N186">
        <v>16335</v>
      </c>
      <c r="O186" s="14">
        <f t="shared" ca="1" si="2"/>
        <v>393</v>
      </c>
      <c r="P186" t="s">
        <v>589</v>
      </c>
    </row>
    <row r="187" spans="1:16" ht="12.75" customHeight="1" x14ac:dyDescent="0.2">
      <c r="A187" t="s">
        <v>604</v>
      </c>
      <c r="B187" t="s">
        <v>651</v>
      </c>
      <c r="C187" t="s">
        <v>707</v>
      </c>
      <c r="D187" t="s">
        <v>705</v>
      </c>
      <c r="E187" t="s">
        <v>399</v>
      </c>
      <c r="F187" s="1">
        <v>45763</v>
      </c>
      <c r="G187" s="1">
        <v>45793</v>
      </c>
      <c r="H187" t="s">
        <v>728</v>
      </c>
      <c r="I187">
        <v>19602</v>
      </c>
      <c r="J187">
        <v>19602</v>
      </c>
      <c r="K187">
        <v>0</v>
      </c>
      <c r="L187">
        <v>0</v>
      </c>
      <c r="M187">
        <v>0</v>
      </c>
      <c r="N187">
        <v>19602</v>
      </c>
      <c r="O187" s="14">
        <f t="shared" ca="1" si="2"/>
        <v>377</v>
      </c>
      <c r="P187" t="s">
        <v>589</v>
      </c>
    </row>
    <row r="188" spans="1:16" ht="12.75" customHeight="1" x14ac:dyDescent="0.2">
      <c r="A188" t="s">
        <v>604</v>
      </c>
      <c r="B188" t="s">
        <v>651</v>
      </c>
      <c r="C188" t="s">
        <v>707</v>
      </c>
      <c r="D188" t="s">
        <v>705</v>
      </c>
      <c r="E188" t="s">
        <v>399</v>
      </c>
      <c r="F188" s="1">
        <v>45769</v>
      </c>
      <c r="G188" s="1">
        <v>45799</v>
      </c>
      <c r="H188" t="s">
        <v>1012</v>
      </c>
      <c r="I188">
        <v>91119.41</v>
      </c>
      <c r="J188">
        <v>91119.41</v>
      </c>
      <c r="K188">
        <v>0</v>
      </c>
      <c r="L188">
        <v>0</v>
      </c>
      <c r="M188">
        <v>0</v>
      </c>
      <c r="N188">
        <v>91119.41</v>
      </c>
      <c r="O188" s="14">
        <f t="shared" ca="1" si="2"/>
        <v>371</v>
      </c>
      <c r="P188" t="s">
        <v>589</v>
      </c>
    </row>
    <row r="189" spans="1:16" ht="12.75" customHeight="1" x14ac:dyDescent="0.2">
      <c r="A189" t="s">
        <v>604</v>
      </c>
      <c r="B189" t="s">
        <v>651</v>
      </c>
      <c r="C189" t="s">
        <v>707</v>
      </c>
      <c r="D189" t="s">
        <v>705</v>
      </c>
      <c r="E189" t="s">
        <v>399</v>
      </c>
      <c r="F189" s="1">
        <v>45783</v>
      </c>
      <c r="G189" s="1">
        <v>45813</v>
      </c>
      <c r="H189" t="s">
        <v>915</v>
      </c>
      <c r="I189">
        <v>93113.09</v>
      </c>
      <c r="J189">
        <v>93113.09</v>
      </c>
      <c r="K189">
        <v>0</v>
      </c>
      <c r="L189">
        <v>0</v>
      </c>
      <c r="M189">
        <v>0</v>
      </c>
      <c r="N189">
        <v>93113.09</v>
      </c>
      <c r="O189" s="14">
        <f t="shared" ca="1" si="2"/>
        <v>357</v>
      </c>
      <c r="P189" t="s">
        <v>589</v>
      </c>
    </row>
    <row r="190" spans="1:16" ht="12.75" customHeight="1" x14ac:dyDescent="0.2">
      <c r="A190" t="s">
        <v>604</v>
      </c>
      <c r="B190" t="s">
        <v>651</v>
      </c>
      <c r="C190" t="s">
        <v>707</v>
      </c>
      <c r="D190" t="s">
        <v>705</v>
      </c>
      <c r="E190" t="s">
        <v>399</v>
      </c>
      <c r="F190" s="1">
        <v>45790</v>
      </c>
      <c r="G190" s="1">
        <v>45820</v>
      </c>
      <c r="H190" t="s">
        <v>65</v>
      </c>
      <c r="I190">
        <v>64277.33</v>
      </c>
      <c r="J190">
        <v>64277.33</v>
      </c>
      <c r="K190">
        <v>0</v>
      </c>
      <c r="L190">
        <v>0</v>
      </c>
      <c r="M190">
        <v>0</v>
      </c>
      <c r="N190">
        <v>64277.33</v>
      </c>
      <c r="O190" s="14">
        <f t="shared" ca="1" si="2"/>
        <v>350</v>
      </c>
      <c r="P190" t="s">
        <v>589</v>
      </c>
    </row>
    <row r="191" spans="1:16" ht="12.75" customHeight="1" x14ac:dyDescent="0.2">
      <c r="A191" t="s">
        <v>604</v>
      </c>
      <c r="B191" t="s">
        <v>651</v>
      </c>
      <c r="C191" t="s">
        <v>707</v>
      </c>
      <c r="D191" t="s">
        <v>705</v>
      </c>
      <c r="E191" t="s">
        <v>399</v>
      </c>
      <c r="F191" s="1">
        <v>45799</v>
      </c>
      <c r="G191" s="1">
        <v>45829</v>
      </c>
      <c r="H191" t="s">
        <v>68</v>
      </c>
      <c r="I191">
        <v>15790.5</v>
      </c>
      <c r="J191">
        <v>15790.5</v>
      </c>
      <c r="K191">
        <v>0</v>
      </c>
      <c r="L191">
        <v>0</v>
      </c>
      <c r="M191">
        <v>0</v>
      </c>
      <c r="N191">
        <v>15790.5</v>
      </c>
      <c r="O191" s="14">
        <f t="shared" ca="1" si="2"/>
        <v>341</v>
      </c>
      <c r="P191" t="s">
        <v>589</v>
      </c>
    </row>
    <row r="192" spans="1:16" ht="12.75" customHeight="1" x14ac:dyDescent="0.2">
      <c r="A192" t="s">
        <v>604</v>
      </c>
      <c r="B192" t="s">
        <v>651</v>
      </c>
      <c r="C192" t="s">
        <v>707</v>
      </c>
      <c r="D192" t="s">
        <v>705</v>
      </c>
      <c r="E192" t="s">
        <v>399</v>
      </c>
      <c r="F192" s="1">
        <v>45803</v>
      </c>
      <c r="G192" s="1">
        <v>45833</v>
      </c>
      <c r="H192" t="s">
        <v>69</v>
      </c>
      <c r="I192">
        <v>39204</v>
      </c>
      <c r="J192">
        <v>39204</v>
      </c>
      <c r="K192">
        <v>0</v>
      </c>
      <c r="L192">
        <v>0</v>
      </c>
      <c r="M192">
        <v>0</v>
      </c>
      <c r="N192">
        <v>39204</v>
      </c>
      <c r="O192" s="14">
        <f t="shared" ca="1" si="2"/>
        <v>337</v>
      </c>
      <c r="P192" t="s">
        <v>589</v>
      </c>
    </row>
    <row r="193" spans="1:16" ht="12.75" customHeight="1" x14ac:dyDescent="0.2">
      <c r="A193" t="s">
        <v>604</v>
      </c>
      <c r="B193" t="s">
        <v>651</v>
      </c>
      <c r="C193" t="s">
        <v>707</v>
      </c>
      <c r="D193" t="s">
        <v>705</v>
      </c>
      <c r="E193" t="s">
        <v>399</v>
      </c>
      <c r="F193" s="1">
        <v>45811</v>
      </c>
      <c r="G193" s="1">
        <v>45841</v>
      </c>
      <c r="H193" t="s">
        <v>321</v>
      </c>
      <c r="I193">
        <v>16200</v>
      </c>
      <c r="J193">
        <v>16200</v>
      </c>
      <c r="K193">
        <v>0</v>
      </c>
      <c r="L193">
        <v>0</v>
      </c>
      <c r="M193">
        <v>0</v>
      </c>
      <c r="N193">
        <v>16200</v>
      </c>
      <c r="O193" s="14">
        <f t="shared" ca="1" si="2"/>
        <v>329</v>
      </c>
      <c r="P193" t="s">
        <v>589</v>
      </c>
    </row>
    <row r="194" spans="1:16" ht="12.75" customHeight="1" x14ac:dyDescent="0.2">
      <c r="A194" t="s">
        <v>604</v>
      </c>
      <c r="B194" t="s">
        <v>651</v>
      </c>
      <c r="C194" t="s">
        <v>707</v>
      </c>
      <c r="D194" t="s">
        <v>705</v>
      </c>
      <c r="E194" t="s">
        <v>399</v>
      </c>
      <c r="F194" s="1">
        <v>45826</v>
      </c>
      <c r="G194" s="1">
        <v>45856</v>
      </c>
      <c r="H194" t="s">
        <v>802</v>
      </c>
      <c r="I194">
        <v>27225</v>
      </c>
      <c r="J194">
        <v>27225</v>
      </c>
      <c r="K194">
        <v>0</v>
      </c>
      <c r="L194">
        <v>0</v>
      </c>
      <c r="M194">
        <v>0</v>
      </c>
      <c r="N194">
        <v>27225</v>
      </c>
      <c r="O194" s="14">
        <f t="shared" ca="1" si="2"/>
        <v>314</v>
      </c>
      <c r="P194" t="s">
        <v>589</v>
      </c>
    </row>
    <row r="195" spans="1:16" ht="12.75" customHeight="1" x14ac:dyDescent="0.2">
      <c r="A195" t="s">
        <v>604</v>
      </c>
      <c r="B195" t="s">
        <v>651</v>
      </c>
      <c r="C195" t="s">
        <v>707</v>
      </c>
      <c r="D195" t="s">
        <v>705</v>
      </c>
      <c r="E195" t="s">
        <v>399</v>
      </c>
      <c r="F195" s="1">
        <v>45828</v>
      </c>
      <c r="G195" s="1">
        <v>45858</v>
      </c>
      <c r="H195" t="s">
        <v>803</v>
      </c>
      <c r="I195">
        <v>105383.35</v>
      </c>
      <c r="J195">
        <v>105383.35</v>
      </c>
      <c r="K195">
        <v>0</v>
      </c>
      <c r="L195">
        <v>0</v>
      </c>
      <c r="M195">
        <v>0</v>
      </c>
      <c r="N195">
        <v>105383.35</v>
      </c>
      <c r="O195" s="14">
        <f t="shared" ref="O195:O258" ca="1" si="3">TODAY()-G195</f>
        <v>312</v>
      </c>
      <c r="P195" t="s">
        <v>589</v>
      </c>
    </row>
    <row r="196" spans="1:16" ht="12.75" customHeight="1" x14ac:dyDescent="0.2">
      <c r="A196" t="s">
        <v>604</v>
      </c>
      <c r="B196" t="s">
        <v>651</v>
      </c>
      <c r="C196" t="s">
        <v>707</v>
      </c>
      <c r="D196" t="s">
        <v>705</v>
      </c>
      <c r="E196" t="s">
        <v>399</v>
      </c>
      <c r="F196" s="1">
        <v>45831</v>
      </c>
      <c r="G196" s="1">
        <v>45861</v>
      </c>
      <c r="H196" t="s">
        <v>1105</v>
      </c>
      <c r="I196">
        <v>93190.7</v>
      </c>
      <c r="J196">
        <v>93190.7</v>
      </c>
      <c r="K196">
        <v>0</v>
      </c>
      <c r="L196">
        <v>0</v>
      </c>
      <c r="M196">
        <v>0</v>
      </c>
      <c r="N196">
        <v>93190.7</v>
      </c>
      <c r="O196" s="14">
        <f t="shared" ca="1" si="3"/>
        <v>309</v>
      </c>
      <c r="P196" t="s">
        <v>589</v>
      </c>
    </row>
    <row r="197" spans="1:16" ht="12.75" customHeight="1" x14ac:dyDescent="0.2">
      <c r="A197" t="s">
        <v>604</v>
      </c>
      <c r="B197" t="s">
        <v>651</v>
      </c>
      <c r="C197" t="s">
        <v>707</v>
      </c>
      <c r="D197" t="s">
        <v>705</v>
      </c>
      <c r="E197" t="s">
        <v>399</v>
      </c>
      <c r="F197" s="1">
        <v>45839</v>
      </c>
      <c r="G197" s="1">
        <v>45869</v>
      </c>
      <c r="H197" t="s">
        <v>27</v>
      </c>
      <c r="I197">
        <v>54527.62</v>
      </c>
      <c r="J197">
        <v>54527.62</v>
      </c>
      <c r="K197">
        <v>0</v>
      </c>
      <c r="L197">
        <v>0</v>
      </c>
      <c r="M197">
        <v>0</v>
      </c>
      <c r="N197">
        <v>54527.62</v>
      </c>
      <c r="O197" s="14">
        <f t="shared" ca="1" si="3"/>
        <v>301</v>
      </c>
      <c r="P197" t="s">
        <v>589</v>
      </c>
    </row>
    <row r="198" spans="1:16" ht="12.75" customHeight="1" x14ac:dyDescent="0.2">
      <c r="A198" t="s">
        <v>604</v>
      </c>
      <c r="B198" t="s">
        <v>651</v>
      </c>
      <c r="C198" t="s">
        <v>707</v>
      </c>
      <c r="D198" t="s">
        <v>705</v>
      </c>
      <c r="E198" t="s">
        <v>399</v>
      </c>
      <c r="F198" s="1">
        <v>45856</v>
      </c>
      <c r="G198" s="1">
        <v>45886</v>
      </c>
      <c r="H198" t="s">
        <v>1034</v>
      </c>
      <c r="I198">
        <v>18850.439999999999</v>
      </c>
      <c r="J198">
        <v>18850.439999999999</v>
      </c>
      <c r="K198">
        <v>0</v>
      </c>
      <c r="L198">
        <v>0</v>
      </c>
      <c r="M198">
        <v>0</v>
      </c>
      <c r="N198">
        <v>18850.439999999999</v>
      </c>
      <c r="O198" s="14">
        <f t="shared" ca="1" si="3"/>
        <v>284</v>
      </c>
      <c r="P198" t="s">
        <v>589</v>
      </c>
    </row>
    <row r="199" spans="1:16" ht="12.75" customHeight="1" x14ac:dyDescent="0.2">
      <c r="A199" t="s">
        <v>604</v>
      </c>
      <c r="B199" t="s">
        <v>651</v>
      </c>
      <c r="C199" t="s">
        <v>707</v>
      </c>
      <c r="D199" t="s">
        <v>705</v>
      </c>
      <c r="E199" t="s">
        <v>399</v>
      </c>
      <c r="F199" s="1">
        <v>45876</v>
      </c>
      <c r="G199" s="1">
        <v>45906</v>
      </c>
      <c r="H199" t="s">
        <v>1103</v>
      </c>
      <c r="I199">
        <v>46295.47</v>
      </c>
      <c r="J199">
        <v>46295.47</v>
      </c>
      <c r="K199">
        <v>0</v>
      </c>
      <c r="L199">
        <v>0</v>
      </c>
      <c r="M199">
        <v>0</v>
      </c>
      <c r="N199">
        <v>46295.47</v>
      </c>
      <c r="O199" s="14">
        <f t="shared" ca="1" si="3"/>
        <v>264</v>
      </c>
      <c r="P199" t="s">
        <v>589</v>
      </c>
    </row>
    <row r="200" spans="1:16" ht="12.75" customHeight="1" x14ac:dyDescent="0.2">
      <c r="A200" t="s">
        <v>604</v>
      </c>
      <c r="B200" t="s">
        <v>651</v>
      </c>
      <c r="C200" t="s">
        <v>707</v>
      </c>
      <c r="D200" t="s">
        <v>705</v>
      </c>
      <c r="E200" t="s">
        <v>399</v>
      </c>
      <c r="F200" s="1">
        <v>45877</v>
      </c>
      <c r="G200" s="1">
        <v>45907</v>
      </c>
      <c r="H200" t="s">
        <v>1172</v>
      </c>
      <c r="I200">
        <v>16988.400000000001</v>
      </c>
      <c r="J200">
        <v>16988.400000000001</v>
      </c>
      <c r="K200">
        <v>0</v>
      </c>
      <c r="L200">
        <v>0</v>
      </c>
      <c r="M200">
        <v>0</v>
      </c>
      <c r="N200">
        <v>16988.400000000001</v>
      </c>
      <c r="O200" s="14">
        <f t="shared" ca="1" si="3"/>
        <v>263</v>
      </c>
      <c r="P200" t="s">
        <v>589</v>
      </c>
    </row>
    <row r="201" spans="1:16" ht="12.75" customHeight="1" x14ac:dyDescent="0.2">
      <c r="A201" t="s">
        <v>604</v>
      </c>
      <c r="B201" t="s">
        <v>651</v>
      </c>
      <c r="C201" t="s">
        <v>707</v>
      </c>
      <c r="D201" t="s">
        <v>705</v>
      </c>
      <c r="E201" t="s">
        <v>399</v>
      </c>
      <c r="F201" s="1">
        <v>45881</v>
      </c>
      <c r="G201" s="1">
        <v>45911</v>
      </c>
      <c r="H201" t="s">
        <v>1170</v>
      </c>
      <c r="I201">
        <v>54101.47</v>
      </c>
      <c r="J201">
        <v>54101.47</v>
      </c>
      <c r="K201">
        <v>0</v>
      </c>
      <c r="L201">
        <v>0</v>
      </c>
      <c r="M201">
        <v>0</v>
      </c>
      <c r="N201">
        <v>54101.47</v>
      </c>
      <c r="O201" s="14">
        <f t="shared" ca="1" si="3"/>
        <v>259</v>
      </c>
      <c r="P201" t="s">
        <v>589</v>
      </c>
    </row>
    <row r="202" spans="1:16" ht="12.75" customHeight="1" x14ac:dyDescent="0.2">
      <c r="A202" t="s">
        <v>604</v>
      </c>
      <c r="B202" t="s">
        <v>651</v>
      </c>
      <c r="C202" t="s">
        <v>707</v>
      </c>
      <c r="D202" t="s">
        <v>705</v>
      </c>
      <c r="E202" t="s">
        <v>399</v>
      </c>
      <c r="F202" s="1">
        <v>45902</v>
      </c>
      <c r="G202" s="1">
        <v>45932</v>
      </c>
      <c r="H202" t="s">
        <v>1123</v>
      </c>
      <c r="I202">
        <v>9256.5</v>
      </c>
      <c r="J202">
        <v>9256.5</v>
      </c>
      <c r="K202">
        <v>0</v>
      </c>
      <c r="L202">
        <v>0</v>
      </c>
      <c r="M202">
        <v>0</v>
      </c>
      <c r="N202">
        <v>9256.5</v>
      </c>
      <c r="O202" s="14">
        <f t="shared" ca="1" si="3"/>
        <v>238</v>
      </c>
      <c r="P202" t="s">
        <v>589</v>
      </c>
    </row>
    <row r="203" spans="1:16" ht="12.75" customHeight="1" x14ac:dyDescent="0.2">
      <c r="A203" t="s">
        <v>604</v>
      </c>
      <c r="B203" t="s">
        <v>651</v>
      </c>
      <c r="C203" t="s">
        <v>707</v>
      </c>
      <c r="D203" t="s">
        <v>705</v>
      </c>
      <c r="E203" t="s">
        <v>399</v>
      </c>
      <c r="F203" s="1">
        <v>45905</v>
      </c>
      <c r="G203" s="1">
        <v>45935</v>
      </c>
      <c r="H203" t="s">
        <v>684</v>
      </c>
      <c r="I203">
        <v>50638.92</v>
      </c>
      <c r="J203">
        <v>50638.92</v>
      </c>
      <c r="K203">
        <v>0</v>
      </c>
      <c r="L203">
        <v>0</v>
      </c>
      <c r="M203">
        <v>0</v>
      </c>
      <c r="N203">
        <v>50638.92</v>
      </c>
      <c r="O203" s="14">
        <f t="shared" ca="1" si="3"/>
        <v>235</v>
      </c>
      <c r="P203" t="s">
        <v>589</v>
      </c>
    </row>
    <row r="204" spans="1:16" ht="12.75" customHeight="1" x14ac:dyDescent="0.2">
      <c r="A204" t="s">
        <v>604</v>
      </c>
      <c r="B204" t="s">
        <v>651</v>
      </c>
      <c r="C204" t="s">
        <v>707</v>
      </c>
      <c r="D204" t="s">
        <v>705</v>
      </c>
      <c r="E204" t="s">
        <v>399</v>
      </c>
      <c r="F204" s="1">
        <v>45915</v>
      </c>
      <c r="G204" s="1">
        <v>45945</v>
      </c>
      <c r="H204" t="s">
        <v>682</v>
      </c>
      <c r="I204">
        <v>182928.15</v>
      </c>
      <c r="J204">
        <v>175000</v>
      </c>
      <c r="K204">
        <v>0</v>
      </c>
      <c r="L204">
        <v>0</v>
      </c>
      <c r="M204">
        <v>0</v>
      </c>
      <c r="N204">
        <v>175000</v>
      </c>
      <c r="O204" s="14">
        <f t="shared" ca="1" si="3"/>
        <v>225</v>
      </c>
      <c r="P204" t="s">
        <v>589</v>
      </c>
    </row>
    <row r="205" spans="1:16" ht="12.75" customHeight="1" x14ac:dyDescent="0.2">
      <c r="A205" t="s">
        <v>604</v>
      </c>
      <c r="B205" t="s">
        <v>651</v>
      </c>
      <c r="C205" t="s">
        <v>707</v>
      </c>
      <c r="D205" t="s">
        <v>705</v>
      </c>
      <c r="E205" t="s">
        <v>399</v>
      </c>
      <c r="F205" s="1">
        <v>45926</v>
      </c>
      <c r="G205" s="1">
        <v>45956</v>
      </c>
      <c r="H205" t="s">
        <v>1171</v>
      </c>
      <c r="I205">
        <v>54450.42</v>
      </c>
      <c r="J205">
        <v>54450.42</v>
      </c>
      <c r="K205">
        <v>0</v>
      </c>
      <c r="L205">
        <v>0</v>
      </c>
      <c r="M205">
        <v>0</v>
      </c>
      <c r="N205">
        <v>54450.42</v>
      </c>
      <c r="O205" s="14">
        <f t="shared" ca="1" si="3"/>
        <v>214</v>
      </c>
      <c r="P205" t="s">
        <v>589</v>
      </c>
    </row>
    <row r="206" spans="1:16" ht="12.75" customHeight="1" x14ac:dyDescent="0.2">
      <c r="A206" t="s">
        <v>604</v>
      </c>
      <c r="B206" t="s">
        <v>651</v>
      </c>
      <c r="C206" t="s">
        <v>707</v>
      </c>
      <c r="D206" t="s">
        <v>705</v>
      </c>
      <c r="E206" t="s">
        <v>399</v>
      </c>
      <c r="F206" s="1">
        <v>45936</v>
      </c>
      <c r="G206" s="1">
        <v>45966</v>
      </c>
      <c r="H206" t="s">
        <v>1180</v>
      </c>
      <c r="I206">
        <v>16335</v>
      </c>
      <c r="J206">
        <v>16335</v>
      </c>
      <c r="K206">
        <v>0</v>
      </c>
      <c r="L206">
        <v>0</v>
      </c>
      <c r="M206">
        <v>0</v>
      </c>
      <c r="N206">
        <v>16335</v>
      </c>
      <c r="O206" s="14">
        <f t="shared" ca="1" si="3"/>
        <v>204</v>
      </c>
      <c r="P206" t="s">
        <v>589</v>
      </c>
    </row>
    <row r="207" spans="1:16" ht="12.75" customHeight="1" x14ac:dyDescent="0.2">
      <c r="A207" t="s">
        <v>604</v>
      </c>
      <c r="B207" t="s">
        <v>651</v>
      </c>
      <c r="C207" t="s">
        <v>707</v>
      </c>
      <c r="D207" t="s">
        <v>705</v>
      </c>
      <c r="E207" t="s">
        <v>399</v>
      </c>
      <c r="F207" s="1">
        <v>45939</v>
      </c>
      <c r="G207" s="1">
        <v>45969</v>
      </c>
      <c r="H207" t="s">
        <v>525</v>
      </c>
      <c r="I207">
        <v>16335</v>
      </c>
      <c r="J207">
        <v>16335</v>
      </c>
      <c r="K207">
        <v>0</v>
      </c>
      <c r="L207">
        <v>0</v>
      </c>
      <c r="M207">
        <v>0</v>
      </c>
      <c r="N207">
        <v>16335</v>
      </c>
      <c r="O207" s="14">
        <f t="shared" ca="1" si="3"/>
        <v>201</v>
      </c>
      <c r="P207" t="s">
        <v>589</v>
      </c>
    </row>
    <row r="208" spans="1:16" ht="12.75" customHeight="1" x14ac:dyDescent="0.2">
      <c r="A208" t="s">
        <v>604</v>
      </c>
      <c r="B208" t="s">
        <v>651</v>
      </c>
      <c r="C208" t="s">
        <v>707</v>
      </c>
      <c r="D208" t="s">
        <v>705</v>
      </c>
      <c r="E208" t="s">
        <v>399</v>
      </c>
      <c r="F208" s="1">
        <v>45943</v>
      </c>
      <c r="G208" s="1">
        <v>45973</v>
      </c>
      <c r="H208" t="s">
        <v>520</v>
      </c>
      <c r="I208">
        <v>55278.06</v>
      </c>
      <c r="J208">
        <v>55278.06</v>
      </c>
      <c r="K208">
        <v>0</v>
      </c>
      <c r="L208">
        <v>0</v>
      </c>
      <c r="M208">
        <v>0</v>
      </c>
      <c r="N208">
        <v>55278.06</v>
      </c>
      <c r="O208" s="14">
        <f t="shared" ca="1" si="3"/>
        <v>197</v>
      </c>
      <c r="P208" t="s">
        <v>589</v>
      </c>
    </row>
    <row r="209" spans="1:16" ht="12.75" customHeight="1" x14ac:dyDescent="0.2">
      <c r="A209" t="s">
        <v>604</v>
      </c>
      <c r="B209" t="s">
        <v>651</v>
      </c>
      <c r="C209" t="s">
        <v>707</v>
      </c>
      <c r="D209" t="s">
        <v>705</v>
      </c>
      <c r="E209" t="s">
        <v>399</v>
      </c>
      <c r="F209" s="1">
        <v>45946</v>
      </c>
      <c r="G209" s="1">
        <v>45976</v>
      </c>
      <c r="H209" t="s">
        <v>839</v>
      </c>
      <c r="I209">
        <v>27225</v>
      </c>
      <c r="J209">
        <v>27225</v>
      </c>
      <c r="K209">
        <v>0</v>
      </c>
      <c r="L209">
        <v>0</v>
      </c>
      <c r="M209">
        <v>0</v>
      </c>
      <c r="N209">
        <v>27225</v>
      </c>
      <c r="O209" s="14">
        <f t="shared" ca="1" si="3"/>
        <v>194</v>
      </c>
      <c r="P209" t="s">
        <v>589</v>
      </c>
    </row>
    <row r="210" spans="1:16" ht="12.75" customHeight="1" x14ac:dyDescent="0.2">
      <c r="A210" t="s">
        <v>604</v>
      </c>
      <c r="B210" t="s">
        <v>651</v>
      </c>
      <c r="C210" t="s">
        <v>707</v>
      </c>
      <c r="D210" t="s">
        <v>705</v>
      </c>
      <c r="E210" t="s">
        <v>399</v>
      </c>
      <c r="F210" s="1">
        <v>45946</v>
      </c>
      <c r="G210" s="1">
        <v>45976</v>
      </c>
      <c r="H210" t="s">
        <v>1043</v>
      </c>
      <c r="I210">
        <v>39204</v>
      </c>
      <c r="J210">
        <v>39204</v>
      </c>
      <c r="K210">
        <v>0</v>
      </c>
      <c r="L210">
        <v>0</v>
      </c>
      <c r="M210">
        <v>0</v>
      </c>
      <c r="N210">
        <v>39204</v>
      </c>
      <c r="O210" s="14">
        <f t="shared" ca="1" si="3"/>
        <v>194</v>
      </c>
      <c r="P210" t="s">
        <v>589</v>
      </c>
    </row>
    <row r="211" spans="1:16" ht="12.75" customHeight="1" x14ac:dyDescent="0.2">
      <c r="A211" t="s">
        <v>604</v>
      </c>
      <c r="B211" t="s">
        <v>651</v>
      </c>
      <c r="C211" t="s">
        <v>707</v>
      </c>
      <c r="D211" t="s">
        <v>705</v>
      </c>
      <c r="E211" t="s">
        <v>399</v>
      </c>
      <c r="F211" s="1">
        <v>45947</v>
      </c>
      <c r="G211" s="1">
        <v>45977</v>
      </c>
      <c r="H211" t="s">
        <v>1109</v>
      </c>
      <c r="I211">
        <v>-39204</v>
      </c>
      <c r="J211">
        <v>-39204</v>
      </c>
      <c r="K211">
        <v>0</v>
      </c>
      <c r="L211">
        <v>0</v>
      </c>
      <c r="M211">
        <v>0</v>
      </c>
      <c r="N211">
        <v>-39204</v>
      </c>
      <c r="O211" s="14">
        <f t="shared" ca="1" si="3"/>
        <v>193</v>
      </c>
      <c r="P211" t="s">
        <v>589</v>
      </c>
    </row>
    <row r="212" spans="1:16" ht="12.75" customHeight="1" x14ac:dyDescent="0.2">
      <c r="A212" t="s">
        <v>604</v>
      </c>
      <c r="B212" t="s">
        <v>651</v>
      </c>
      <c r="C212" t="s">
        <v>707</v>
      </c>
      <c r="D212" t="s">
        <v>705</v>
      </c>
      <c r="E212" t="s">
        <v>399</v>
      </c>
      <c r="F212" s="1">
        <v>45947</v>
      </c>
      <c r="G212" s="1">
        <v>45977</v>
      </c>
      <c r="H212" t="s">
        <v>832</v>
      </c>
      <c r="I212">
        <v>26801.5</v>
      </c>
      <c r="J212">
        <v>26801.5</v>
      </c>
      <c r="K212">
        <v>0</v>
      </c>
      <c r="L212">
        <v>0</v>
      </c>
      <c r="M212">
        <v>0</v>
      </c>
      <c r="N212">
        <v>26801.5</v>
      </c>
      <c r="O212" s="14">
        <f t="shared" ca="1" si="3"/>
        <v>193</v>
      </c>
      <c r="P212" t="s">
        <v>589</v>
      </c>
    </row>
    <row r="213" spans="1:16" ht="12.75" customHeight="1" x14ac:dyDescent="0.2">
      <c r="A213" t="s">
        <v>604</v>
      </c>
      <c r="B213" t="s">
        <v>651</v>
      </c>
      <c r="C213" t="s">
        <v>707</v>
      </c>
      <c r="D213" t="s">
        <v>705</v>
      </c>
      <c r="E213" t="s">
        <v>399</v>
      </c>
      <c r="F213" s="1">
        <v>45953</v>
      </c>
      <c r="G213" s="1">
        <v>45983</v>
      </c>
      <c r="H213" t="s">
        <v>975</v>
      </c>
      <c r="I213">
        <v>84518.5</v>
      </c>
      <c r="J213">
        <v>84518.5</v>
      </c>
      <c r="K213">
        <v>0</v>
      </c>
      <c r="L213">
        <v>0</v>
      </c>
      <c r="M213">
        <v>0</v>
      </c>
      <c r="N213">
        <v>84518.5</v>
      </c>
      <c r="O213" s="14">
        <f t="shared" ca="1" si="3"/>
        <v>187</v>
      </c>
      <c r="P213" t="s">
        <v>589</v>
      </c>
    </row>
    <row r="214" spans="1:16" ht="12.75" customHeight="1" x14ac:dyDescent="0.2">
      <c r="A214" t="s">
        <v>604</v>
      </c>
      <c r="B214" t="s">
        <v>651</v>
      </c>
      <c r="C214" t="s">
        <v>707</v>
      </c>
      <c r="D214" t="s">
        <v>705</v>
      </c>
      <c r="E214" t="s">
        <v>399</v>
      </c>
      <c r="F214" s="1">
        <v>45957</v>
      </c>
      <c r="G214" s="1">
        <v>45987</v>
      </c>
      <c r="H214" t="s">
        <v>565</v>
      </c>
      <c r="I214">
        <v>49005</v>
      </c>
      <c r="J214">
        <v>49005</v>
      </c>
      <c r="K214">
        <v>0</v>
      </c>
      <c r="L214">
        <v>0</v>
      </c>
      <c r="M214">
        <v>0</v>
      </c>
      <c r="N214">
        <v>49005</v>
      </c>
      <c r="O214" s="14">
        <f t="shared" ca="1" si="3"/>
        <v>183</v>
      </c>
      <c r="P214" t="s">
        <v>589</v>
      </c>
    </row>
    <row r="215" spans="1:16" ht="12.75" customHeight="1" x14ac:dyDescent="0.2">
      <c r="A215" t="s">
        <v>604</v>
      </c>
      <c r="B215" t="s">
        <v>651</v>
      </c>
      <c r="C215" t="s">
        <v>707</v>
      </c>
      <c r="D215" t="s">
        <v>705</v>
      </c>
      <c r="E215" t="s">
        <v>399</v>
      </c>
      <c r="F215" s="1">
        <v>45964</v>
      </c>
      <c r="G215" s="1">
        <v>45994</v>
      </c>
      <c r="H215" t="s">
        <v>422</v>
      </c>
      <c r="I215">
        <v>7623</v>
      </c>
      <c r="J215">
        <v>7623</v>
      </c>
      <c r="K215">
        <v>0</v>
      </c>
      <c r="L215">
        <v>0</v>
      </c>
      <c r="M215">
        <v>0</v>
      </c>
      <c r="N215">
        <v>7623</v>
      </c>
      <c r="O215" s="14">
        <f t="shared" ca="1" si="3"/>
        <v>176</v>
      </c>
      <c r="P215" t="s">
        <v>589</v>
      </c>
    </row>
    <row r="216" spans="1:16" ht="12.75" customHeight="1" x14ac:dyDescent="0.2">
      <c r="A216" t="s">
        <v>604</v>
      </c>
      <c r="B216" t="s">
        <v>651</v>
      </c>
      <c r="C216" t="s">
        <v>707</v>
      </c>
      <c r="D216" t="s">
        <v>705</v>
      </c>
      <c r="E216" t="s">
        <v>399</v>
      </c>
      <c r="F216" s="1">
        <v>45967</v>
      </c>
      <c r="G216" s="1">
        <v>45997</v>
      </c>
      <c r="H216" t="s">
        <v>1227</v>
      </c>
      <c r="I216">
        <v>134103.89000000001</v>
      </c>
      <c r="J216">
        <v>134103.89000000001</v>
      </c>
      <c r="K216">
        <v>0</v>
      </c>
      <c r="L216">
        <v>0</v>
      </c>
      <c r="M216">
        <v>0</v>
      </c>
      <c r="N216">
        <v>134103.89000000001</v>
      </c>
      <c r="O216" s="14">
        <f t="shared" ca="1" si="3"/>
        <v>173</v>
      </c>
      <c r="P216" t="s">
        <v>589</v>
      </c>
    </row>
    <row r="217" spans="1:16" ht="12.75" customHeight="1" x14ac:dyDescent="0.2">
      <c r="A217" t="s">
        <v>604</v>
      </c>
      <c r="B217" t="s">
        <v>651</v>
      </c>
      <c r="C217" t="s">
        <v>707</v>
      </c>
      <c r="D217" t="s">
        <v>705</v>
      </c>
      <c r="E217" t="s">
        <v>399</v>
      </c>
      <c r="F217" s="1">
        <v>45967</v>
      </c>
      <c r="G217" s="1">
        <v>45997</v>
      </c>
      <c r="H217" t="s">
        <v>595</v>
      </c>
      <c r="I217">
        <v>86168.94</v>
      </c>
      <c r="J217">
        <v>86168.94</v>
      </c>
      <c r="K217">
        <v>0</v>
      </c>
      <c r="L217">
        <v>0</v>
      </c>
      <c r="M217">
        <v>0</v>
      </c>
      <c r="N217">
        <v>86168.94</v>
      </c>
      <c r="O217" s="14">
        <f t="shared" ca="1" si="3"/>
        <v>173</v>
      </c>
      <c r="P217" t="s">
        <v>589</v>
      </c>
    </row>
    <row r="218" spans="1:16" ht="12.75" customHeight="1" x14ac:dyDescent="0.2">
      <c r="A218" t="s">
        <v>604</v>
      </c>
      <c r="B218" t="s">
        <v>651</v>
      </c>
      <c r="C218" t="s">
        <v>707</v>
      </c>
      <c r="D218" t="s">
        <v>705</v>
      </c>
      <c r="E218" t="s">
        <v>399</v>
      </c>
      <c r="F218" s="1">
        <v>45968</v>
      </c>
      <c r="G218" s="1">
        <v>45998</v>
      </c>
      <c r="H218" t="s">
        <v>594</v>
      </c>
      <c r="I218">
        <v>6534</v>
      </c>
      <c r="J218">
        <v>6534</v>
      </c>
      <c r="K218">
        <v>0</v>
      </c>
      <c r="L218">
        <v>0</v>
      </c>
      <c r="M218">
        <v>0</v>
      </c>
      <c r="N218">
        <v>6534</v>
      </c>
      <c r="O218" s="14">
        <f t="shared" ca="1" si="3"/>
        <v>172</v>
      </c>
      <c r="P218" t="s">
        <v>589</v>
      </c>
    </row>
    <row r="219" spans="1:16" ht="12.75" customHeight="1" x14ac:dyDescent="0.2">
      <c r="A219" t="s">
        <v>604</v>
      </c>
      <c r="B219" t="s">
        <v>651</v>
      </c>
      <c r="C219" t="s">
        <v>707</v>
      </c>
      <c r="D219" t="s">
        <v>705</v>
      </c>
      <c r="E219" t="s">
        <v>399</v>
      </c>
      <c r="F219" s="1">
        <v>45971</v>
      </c>
      <c r="G219" s="1">
        <v>46001</v>
      </c>
      <c r="H219" t="s">
        <v>905</v>
      </c>
      <c r="I219">
        <v>9801</v>
      </c>
      <c r="J219">
        <v>9801</v>
      </c>
      <c r="K219">
        <v>0</v>
      </c>
      <c r="L219">
        <v>0</v>
      </c>
      <c r="M219">
        <v>0</v>
      </c>
      <c r="N219">
        <v>9801</v>
      </c>
      <c r="O219" s="14">
        <f t="shared" ca="1" si="3"/>
        <v>169</v>
      </c>
      <c r="P219" t="s">
        <v>589</v>
      </c>
    </row>
    <row r="220" spans="1:16" ht="12.75" customHeight="1" x14ac:dyDescent="0.2">
      <c r="A220" t="s">
        <v>604</v>
      </c>
      <c r="B220" t="s">
        <v>651</v>
      </c>
      <c r="C220" t="s">
        <v>707</v>
      </c>
      <c r="D220" t="s">
        <v>705</v>
      </c>
      <c r="E220" t="s">
        <v>399</v>
      </c>
      <c r="F220" s="1">
        <v>45978</v>
      </c>
      <c r="G220" s="1">
        <v>46008</v>
      </c>
      <c r="H220" t="s">
        <v>910</v>
      </c>
      <c r="I220">
        <v>5445</v>
      </c>
      <c r="J220">
        <v>5445</v>
      </c>
      <c r="K220">
        <v>0</v>
      </c>
      <c r="L220">
        <v>0</v>
      </c>
      <c r="M220">
        <v>0</v>
      </c>
      <c r="N220">
        <v>5445</v>
      </c>
      <c r="O220" s="14">
        <f t="shared" ca="1" si="3"/>
        <v>162</v>
      </c>
      <c r="P220" t="s">
        <v>589</v>
      </c>
    </row>
    <row r="221" spans="1:16" ht="12.75" customHeight="1" x14ac:dyDescent="0.2">
      <c r="A221" t="s">
        <v>604</v>
      </c>
      <c r="B221" t="s">
        <v>651</v>
      </c>
      <c r="C221" t="s">
        <v>707</v>
      </c>
      <c r="D221" t="s">
        <v>705</v>
      </c>
      <c r="E221" t="s">
        <v>399</v>
      </c>
      <c r="F221" s="1">
        <v>45978</v>
      </c>
      <c r="G221" s="1">
        <v>46008</v>
      </c>
      <c r="H221" t="s">
        <v>909</v>
      </c>
      <c r="I221">
        <v>9801</v>
      </c>
      <c r="J221">
        <v>9801</v>
      </c>
      <c r="K221">
        <v>0</v>
      </c>
      <c r="L221">
        <v>0</v>
      </c>
      <c r="M221">
        <v>0</v>
      </c>
      <c r="N221">
        <v>9801</v>
      </c>
      <c r="O221" s="14">
        <f t="shared" ca="1" si="3"/>
        <v>162</v>
      </c>
      <c r="P221" t="s">
        <v>589</v>
      </c>
    </row>
    <row r="222" spans="1:16" ht="12.75" customHeight="1" x14ac:dyDescent="0.2">
      <c r="A222" t="s">
        <v>604</v>
      </c>
      <c r="B222" t="s">
        <v>651</v>
      </c>
      <c r="C222" t="s">
        <v>707</v>
      </c>
      <c r="D222" t="s">
        <v>705</v>
      </c>
      <c r="E222" t="s">
        <v>399</v>
      </c>
      <c r="F222" s="1">
        <v>45982</v>
      </c>
      <c r="G222" s="1">
        <v>46012</v>
      </c>
      <c r="H222" t="s">
        <v>306</v>
      </c>
      <c r="I222">
        <v>-9801</v>
      </c>
      <c r="J222">
        <v>-9801</v>
      </c>
      <c r="K222">
        <v>0</v>
      </c>
      <c r="L222">
        <v>0</v>
      </c>
      <c r="M222">
        <v>0</v>
      </c>
      <c r="N222">
        <v>-9801</v>
      </c>
      <c r="O222" s="14">
        <f t="shared" ca="1" si="3"/>
        <v>158</v>
      </c>
      <c r="P222" t="s">
        <v>589</v>
      </c>
    </row>
    <row r="223" spans="1:16" ht="12.75" customHeight="1" x14ac:dyDescent="0.2">
      <c r="A223" t="s">
        <v>604</v>
      </c>
      <c r="B223" t="s">
        <v>651</v>
      </c>
      <c r="C223" t="s">
        <v>707</v>
      </c>
      <c r="D223" t="s">
        <v>705</v>
      </c>
      <c r="E223" t="s">
        <v>399</v>
      </c>
      <c r="F223" s="1">
        <v>45982</v>
      </c>
      <c r="G223" s="1">
        <v>46012</v>
      </c>
      <c r="H223" t="s">
        <v>313</v>
      </c>
      <c r="I223">
        <v>8712</v>
      </c>
      <c r="J223">
        <v>8712</v>
      </c>
      <c r="K223">
        <v>0</v>
      </c>
      <c r="L223">
        <v>0</v>
      </c>
      <c r="M223">
        <v>0</v>
      </c>
      <c r="N223">
        <v>8712</v>
      </c>
      <c r="O223" s="14">
        <f t="shared" ca="1" si="3"/>
        <v>158</v>
      </c>
      <c r="P223" t="s">
        <v>589</v>
      </c>
    </row>
    <row r="224" spans="1:16" ht="12.75" customHeight="1" x14ac:dyDescent="0.2">
      <c r="A224" t="s">
        <v>604</v>
      </c>
      <c r="B224" t="s">
        <v>651</v>
      </c>
      <c r="C224" t="s">
        <v>707</v>
      </c>
      <c r="D224" t="s">
        <v>705</v>
      </c>
      <c r="E224" t="s">
        <v>399</v>
      </c>
      <c r="F224" s="1">
        <v>45985</v>
      </c>
      <c r="G224" s="1">
        <v>46015</v>
      </c>
      <c r="H224" t="s">
        <v>307</v>
      </c>
      <c r="I224">
        <v>5445</v>
      </c>
      <c r="J224">
        <v>5445</v>
      </c>
      <c r="K224">
        <v>0</v>
      </c>
      <c r="L224">
        <v>0</v>
      </c>
      <c r="M224">
        <v>0</v>
      </c>
      <c r="N224">
        <v>5445</v>
      </c>
      <c r="O224" s="14">
        <f t="shared" ca="1" si="3"/>
        <v>155</v>
      </c>
      <c r="P224" t="s">
        <v>589</v>
      </c>
    </row>
    <row r="225" spans="1:16" ht="12.75" customHeight="1" x14ac:dyDescent="0.2">
      <c r="A225" t="s">
        <v>604</v>
      </c>
      <c r="B225" t="s">
        <v>651</v>
      </c>
      <c r="C225" t="s">
        <v>707</v>
      </c>
      <c r="D225" t="s">
        <v>705</v>
      </c>
      <c r="E225" t="s">
        <v>399</v>
      </c>
      <c r="F225" s="1">
        <v>45985</v>
      </c>
      <c r="G225" s="1">
        <v>46015</v>
      </c>
      <c r="H225" t="s">
        <v>308</v>
      </c>
      <c r="I225">
        <v>54450.36</v>
      </c>
      <c r="J225">
        <v>54450.36</v>
      </c>
      <c r="K225">
        <v>0</v>
      </c>
      <c r="L225">
        <v>0</v>
      </c>
      <c r="M225">
        <v>0</v>
      </c>
      <c r="N225">
        <v>54450.36</v>
      </c>
      <c r="O225" s="14">
        <f t="shared" ca="1" si="3"/>
        <v>155</v>
      </c>
      <c r="P225" t="s">
        <v>589</v>
      </c>
    </row>
    <row r="226" spans="1:16" ht="12.75" customHeight="1" x14ac:dyDescent="0.2">
      <c r="A226" t="s">
        <v>604</v>
      </c>
      <c r="B226" t="s">
        <v>651</v>
      </c>
      <c r="C226" t="s">
        <v>707</v>
      </c>
      <c r="D226" t="s">
        <v>705</v>
      </c>
      <c r="E226" t="s">
        <v>399</v>
      </c>
      <c r="F226" s="1">
        <v>45989</v>
      </c>
      <c r="G226" s="1">
        <v>46019</v>
      </c>
      <c r="H226" t="s">
        <v>317</v>
      </c>
      <c r="I226">
        <v>54678.41</v>
      </c>
      <c r="J226">
        <v>54678.41</v>
      </c>
      <c r="K226">
        <v>0</v>
      </c>
      <c r="L226">
        <v>0</v>
      </c>
      <c r="M226">
        <v>0</v>
      </c>
      <c r="N226">
        <v>54678.41</v>
      </c>
      <c r="O226" s="14">
        <f t="shared" ca="1" si="3"/>
        <v>151</v>
      </c>
      <c r="P226" t="s">
        <v>589</v>
      </c>
    </row>
    <row r="227" spans="1:16" ht="12.75" customHeight="1" x14ac:dyDescent="0.2">
      <c r="A227" t="s">
        <v>604</v>
      </c>
      <c r="B227" t="s">
        <v>651</v>
      </c>
      <c r="C227" t="s">
        <v>707</v>
      </c>
      <c r="D227" t="s">
        <v>705</v>
      </c>
      <c r="E227" t="s">
        <v>399</v>
      </c>
      <c r="F227" s="1">
        <v>45992</v>
      </c>
      <c r="G227" s="1">
        <v>46022</v>
      </c>
      <c r="H227" t="s">
        <v>388</v>
      </c>
      <c r="I227">
        <v>11979</v>
      </c>
      <c r="J227">
        <v>11979</v>
      </c>
      <c r="K227">
        <v>0</v>
      </c>
      <c r="L227">
        <v>0</v>
      </c>
      <c r="M227">
        <v>0</v>
      </c>
      <c r="N227">
        <v>11979</v>
      </c>
      <c r="O227" s="14">
        <f t="shared" ca="1" si="3"/>
        <v>148</v>
      </c>
      <c r="P227" t="s">
        <v>589</v>
      </c>
    </row>
    <row r="228" spans="1:16" ht="12.75" customHeight="1" x14ac:dyDescent="0.2">
      <c r="A228" t="s">
        <v>604</v>
      </c>
      <c r="B228" t="s">
        <v>651</v>
      </c>
      <c r="C228" t="s">
        <v>707</v>
      </c>
      <c r="D228" t="s">
        <v>705</v>
      </c>
      <c r="E228" t="s">
        <v>399</v>
      </c>
      <c r="F228" s="1">
        <v>45992</v>
      </c>
      <c r="G228" s="1">
        <v>46022</v>
      </c>
      <c r="H228" t="s">
        <v>1143</v>
      </c>
      <c r="I228">
        <v>20790</v>
      </c>
      <c r="J228">
        <v>20790</v>
      </c>
      <c r="K228">
        <v>0</v>
      </c>
      <c r="L228">
        <v>0</v>
      </c>
      <c r="M228">
        <v>0</v>
      </c>
      <c r="N228">
        <v>20790</v>
      </c>
      <c r="O228" s="14">
        <f t="shared" ca="1" si="3"/>
        <v>148</v>
      </c>
      <c r="P228" t="s">
        <v>589</v>
      </c>
    </row>
    <row r="229" spans="1:16" ht="12.75" customHeight="1" x14ac:dyDescent="0.2">
      <c r="A229" t="s">
        <v>604</v>
      </c>
      <c r="B229" t="s">
        <v>651</v>
      </c>
      <c r="C229" t="s">
        <v>707</v>
      </c>
      <c r="D229" t="s">
        <v>705</v>
      </c>
      <c r="E229" t="s">
        <v>399</v>
      </c>
      <c r="F229" s="1">
        <v>45992</v>
      </c>
      <c r="G229" s="1">
        <v>46022</v>
      </c>
      <c r="H229" t="s">
        <v>899</v>
      </c>
      <c r="I229">
        <v>18778.72</v>
      </c>
      <c r="J229">
        <v>18778.72</v>
      </c>
      <c r="K229">
        <v>0</v>
      </c>
      <c r="L229">
        <v>0</v>
      </c>
      <c r="M229">
        <v>0</v>
      </c>
      <c r="N229">
        <v>18778.72</v>
      </c>
      <c r="O229" s="14">
        <f t="shared" ca="1" si="3"/>
        <v>148</v>
      </c>
      <c r="P229" t="s">
        <v>589</v>
      </c>
    </row>
    <row r="230" spans="1:16" ht="12.75" customHeight="1" x14ac:dyDescent="0.2">
      <c r="A230" t="s">
        <v>604</v>
      </c>
      <c r="B230" t="s">
        <v>651</v>
      </c>
      <c r="C230" t="s">
        <v>707</v>
      </c>
      <c r="D230" t="s">
        <v>705</v>
      </c>
      <c r="E230" t="s">
        <v>399</v>
      </c>
      <c r="F230" s="1">
        <v>45995</v>
      </c>
      <c r="G230" s="1">
        <v>46025</v>
      </c>
      <c r="H230" t="s">
        <v>798</v>
      </c>
      <c r="I230">
        <v>-20790</v>
      </c>
      <c r="J230">
        <v>-20790</v>
      </c>
      <c r="K230">
        <v>0</v>
      </c>
      <c r="L230">
        <v>0</v>
      </c>
      <c r="M230">
        <v>0</v>
      </c>
      <c r="N230">
        <v>-20790</v>
      </c>
      <c r="O230" s="14">
        <f t="shared" ca="1" si="3"/>
        <v>145</v>
      </c>
      <c r="P230" t="s">
        <v>589</v>
      </c>
    </row>
    <row r="231" spans="1:16" ht="12.75" customHeight="1" x14ac:dyDescent="0.2">
      <c r="A231" t="s">
        <v>604</v>
      </c>
      <c r="B231" t="s">
        <v>651</v>
      </c>
      <c r="C231" t="s">
        <v>707</v>
      </c>
      <c r="D231" t="s">
        <v>705</v>
      </c>
      <c r="E231" t="s">
        <v>399</v>
      </c>
      <c r="F231" s="1">
        <v>45995</v>
      </c>
      <c r="G231" s="1">
        <v>46025</v>
      </c>
      <c r="H231" t="s">
        <v>1234</v>
      </c>
      <c r="I231">
        <v>22869</v>
      </c>
      <c r="J231">
        <v>22869</v>
      </c>
      <c r="K231">
        <v>0</v>
      </c>
      <c r="L231">
        <v>0</v>
      </c>
      <c r="M231">
        <v>0</v>
      </c>
      <c r="N231">
        <v>22869</v>
      </c>
      <c r="O231" s="14">
        <f t="shared" ca="1" si="3"/>
        <v>145</v>
      </c>
      <c r="P231" t="s">
        <v>589</v>
      </c>
    </row>
    <row r="232" spans="1:16" ht="12.75" customHeight="1" x14ac:dyDescent="0.2">
      <c r="A232" t="s">
        <v>604</v>
      </c>
      <c r="B232" t="s">
        <v>651</v>
      </c>
      <c r="C232" t="s">
        <v>707</v>
      </c>
      <c r="D232" t="s">
        <v>705</v>
      </c>
      <c r="E232" t="s">
        <v>399</v>
      </c>
      <c r="F232" s="1">
        <v>46003</v>
      </c>
      <c r="G232" s="1">
        <v>46033</v>
      </c>
      <c r="H232" t="s">
        <v>379</v>
      </c>
      <c r="I232">
        <v>34848</v>
      </c>
      <c r="J232">
        <v>34848</v>
      </c>
      <c r="K232">
        <v>0</v>
      </c>
      <c r="L232">
        <v>0</v>
      </c>
      <c r="M232">
        <v>0</v>
      </c>
      <c r="N232">
        <v>34848</v>
      </c>
      <c r="O232" s="14">
        <f t="shared" ca="1" si="3"/>
        <v>137</v>
      </c>
      <c r="P232" t="s">
        <v>589</v>
      </c>
    </row>
    <row r="233" spans="1:16" ht="12.75" customHeight="1" x14ac:dyDescent="0.2">
      <c r="A233" t="s">
        <v>604</v>
      </c>
      <c r="B233" t="s">
        <v>651</v>
      </c>
      <c r="C233" t="s">
        <v>707</v>
      </c>
      <c r="D233" t="s">
        <v>705</v>
      </c>
      <c r="E233" t="s">
        <v>399</v>
      </c>
      <c r="F233" s="1">
        <v>46010</v>
      </c>
      <c r="G233" s="1">
        <v>46040</v>
      </c>
      <c r="H233" t="s">
        <v>1206</v>
      </c>
      <c r="I233">
        <v>7623</v>
      </c>
      <c r="J233">
        <v>7623</v>
      </c>
      <c r="K233">
        <v>0</v>
      </c>
      <c r="L233">
        <v>0</v>
      </c>
      <c r="M233">
        <v>0</v>
      </c>
      <c r="N233">
        <v>7623</v>
      </c>
      <c r="O233" s="14">
        <f t="shared" ca="1" si="3"/>
        <v>130</v>
      </c>
      <c r="P233" t="s">
        <v>589</v>
      </c>
    </row>
    <row r="234" spans="1:16" ht="12.75" customHeight="1" x14ac:dyDescent="0.2">
      <c r="A234" t="s">
        <v>604</v>
      </c>
      <c r="B234" t="s">
        <v>651</v>
      </c>
      <c r="C234" t="s">
        <v>707</v>
      </c>
      <c r="D234" t="s">
        <v>705</v>
      </c>
      <c r="E234" t="s">
        <v>399</v>
      </c>
      <c r="F234" s="1">
        <v>46028</v>
      </c>
      <c r="G234" s="1">
        <v>46058</v>
      </c>
      <c r="H234" t="s">
        <v>698</v>
      </c>
      <c r="I234">
        <v>8167.5</v>
      </c>
      <c r="J234">
        <v>8167.5</v>
      </c>
      <c r="K234">
        <v>0</v>
      </c>
      <c r="L234">
        <v>0</v>
      </c>
      <c r="M234">
        <v>0</v>
      </c>
      <c r="N234">
        <v>8167.5</v>
      </c>
      <c r="O234" s="14">
        <f t="shared" ca="1" si="3"/>
        <v>112</v>
      </c>
      <c r="P234" t="s">
        <v>589</v>
      </c>
    </row>
    <row r="235" spans="1:16" ht="12.75" customHeight="1" x14ac:dyDescent="0.2">
      <c r="A235" t="s">
        <v>604</v>
      </c>
      <c r="B235" t="s">
        <v>651</v>
      </c>
      <c r="C235" t="s">
        <v>707</v>
      </c>
      <c r="D235" t="s">
        <v>705</v>
      </c>
      <c r="E235" t="s">
        <v>399</v>
      </c>
      <c r="F235" s="1">
        <v>46041</v>
      </c>
      <c r="G235" s="1">
        <v>46071</v>
      </c>
      <c r="H235" t="s">
        <v>102</v>
      </c>
      <c r="I235">
        <v>44104.5</v>
      </c>
      <c r="J235">
        <v>44104.5</v>
      </c>
      <c r="K235">
        <v>0</v>
      </c>
      <c r="L235">
        <v>0</v>
      </c>
      <c r="M235">
        <v>0</v>
      </c>
      <c r="N235">
        <v>44104.5</v>
      </c>
      <c r="O235" s="14">
        <f t="shared" ca="1" si="3"/>
        <v>99</v>
      </c>
      <c r="P235" t="s">
        <v>589</v>
      </c>
    </row>
    <row r="236" spans="1:16" ht="12.75" customHeight="1" x14ac:dyDescent="0.2">
      <c r="A236" t="s">
        <v>604</v>
      </c>
      <c r="B236" t="s">
        <v>651</v>
      </c>
      <c r="C236" t="s">
        <v>707</v>
      </c>
      <c r="D236" t="s">
        <v>705</v>
      </c>
      <c r="E236" t="s">
        <v>399</v>
      </c>
      <c r="F236" s="1">
        <v>46044</v>
      </c>
      <c r="G236" s="1">
        <v>46074</v>
      </c>
      <c r="H236" t="s">
        <v>99</v>
      </c>
      <c r="I236">
        <v>6969.6</v>
      </c>
      <c r="J236">
        <v>6969.6</v>
      </c>
      <c r="K236">
        <v>0</v>
      </c>
      <c r="L236">
        <v>0</v>
      </c>
      <c r="M236">
        <v>0</v>
      </c>
      <c r="N236">
        <v>6969.6</v>
      </c>
      <c r="O236" s="14">
        <f t="shared" ca="1" si="3"/>
        <v>96</v>
      </c>
      <c r="P236" t="s">
        <v>589</v>
      </c>
    </row>
    <row r="237" spans="1:16" ht="12.75" customHeight="1" x14ac:dyDescent="0.2">
      <c r="A237" t="s">
        <v>604</v>
      </c>
      <c r="B237" t="s">
        <v>651</v>
      </c>
      <c r="C237" t="s">
        <v>707</v>
      </c>
      <c r="D237" t="s">
        <v>705</v>
      </c>
      <c r="E237" t="s">
        <v>399</v>
      </c>
      <c r="F237" s="1">
        <v>46049</v>
      </c>
      <c r="G237" s="1">
        <v>46079</v>
      </c>
      <c r="H237" t="s">
        <v>896</v>
      </c>
      <c r="I237">
        <v>88211.31</v>
      </c>
      <c r="J237">
        <v>88211.31</v>
      </c>
      <c r="K237">
        <v>0</v>
      </c>
      <c r="L237">
        <v>0</v>
      </c>
      <c r="M237">
        <v>0</v>
      </c>
      <c r="N237">
        <v>88211.31</v>
      </c>
      <c r="O237" s="14">
        <f t="shared" ca="1" si="3"/>
        <v>91</v>
      </c>
      <c r="P237" t="s">
        <v>589</v>
      </c>
    </row>
    <row r="238" spans="1:16" ht="12.75" customHeight="1" x14ac:dyDescent="0.2">
      <c r="A238" t="s">
        <v>604</v>
      </c>
      <c r="B238" t="s">
        <v>651</v>
      </c>
      <c r="C238" t="s">
        <v>707</v>
      </c>
      <c r="D238" t="s">
        <v>705</v>
      </c>
      <c r="E238" t="s">
        <v>399</v>
      </c>
      <c r="F238" s="1">
        <v>46055</v>
      </c>
      <c r="G238" s="1">
        <v>46085</v>
      </c>
      <c r="H238" t="s">
        <v>590</v>
      </c>
      <c r="I238">
        <v>7078.5</v>
      </c>
      <c r="J238">
        <v>7078.5</v>
      </c>
      <c r="K238">
        <v>0</v>
      </c>
      <c r="L238">
        <v>0</v>
      </c>
      <c r="M238">
        <v>7078.5</v>
      </c>
      <c r="N238">
        <v>0</v>
      </c>
      <c r="O238" s="14">
        <f t="shared" ca="1" si="3"/>
        <v>85</v>
      </c>
      <c r="P238" t="s">
        <v>589</v>
      </c>
    </row>
    <row r="239" spans="1:16" ht="12.75" customHeight="1" x14ac:dyDescent="0.2">
      <c r="A239" t="s">
        <v>604</v>
      </c>
      <c r="B239" t="s">
        <v>651</v>
      </c>
      <c r="C239" t="s">
        <v>707</v>
      </c>
      <c r="D239" t="s">
        <v>705</v>
      </c>
      <c r="E239" t="s">
        <v>399</v>
      </c>
      <c r="F239" s="1">
        <v>46062</v>
      </c>
      <c r="G239" s="1">
        <v>46092</v>
      </c>
      <c r="H239" t="s">
        <v>6</v>
      </c>
      <c r="I239">
        <v>90757.04</v>
      </c>
      <c r="J239">
        <v>90757.04</v>
      </c>
      <c r="K239">
        <v>0</v>
      </c>
      <c r="L239">
        <v>0</v>
      </c>
      <c r="M239">
        <v>90757.04</v>
      </c>
      <c r="N239">
        <v>0</v>
      </c>
      <c r="O239" s="14">
        <f t="shared" ca="1" si="3"/>
        <v>78</v>
      </c>
      <c r="P239" t="s">
        <v>589</v>
      </c>
    </row>
    <row r="240" spans="1:16" ht="12.75" customHeight="1" x14ac:dyDescent="0.2">
      <c r="A240" t="s">
        <v>604</v>
      </c>
      <c r="B240" t="s">
        <v>651</v>
      </c>
      <c r="C240" t="s">
        <v>707</v>
      </c>
      <c r="D240" t="s">
        <v>705</v>
      </c>
      <c r="E240" t="s">
        <v>399</v>
      </c>
      <c r="F240" s="1">
        <v>46062</v>
      </c>
      <c r="G240" s="1">
        <v>46092</v>
      </c>
      <c r="H240" t="s">
        <v>7</v>
      </c>
      <c r="I240">
        <v>25482.6</v>
      </c>
      <c r="J240">
        <v>25482.6</v>
      </c>
      <c r="K240">
        <v>0</v>
      </c>
      <c r="L240">
        <v>0</v>
      </c>
      <c r="M240">
        <v>25482.6</v>
      </c>
      <c r="N240">
        <v>0</v>
      </c>
      <c r="O240" s="14">
        <f t="shared" ca="1" si="3"/>
        <v>78</v>
      </c>
      <c r="P240" t="s">
        <v>589</v>
      </c>
    </row>
    <row r="241" spans="1:16" ht="12.75" customHeight="1" x14ac:dyDescent="0.2">
      <c r="A241" t="s">
        <v>604</v>
      </c>
      <c r="B241" t="s">
        <v>651</v>
      </c>
      <c r="C241" t="s">
        <v>707</v>
      </c>
      <c r="D241" t="s">
        <v>705</v>
      </c>
      <c r="E241" t="s">
        <v>399</v>
      </c>
      <c r="F241" s="1">
        <v>46076</v>
      </c>
      <c r="G241" s="1">
        <v>46106</v>
      </c>
      <c r="H241" t="s">
        <v>1</v>
      </c>
      <c r="I241">
        <v>22732.880000000001</v>
      </c>
      <c r="J241">
        <v>22732.880000000001</v>
      </c>
      <c r="K241">
        <v>0</v>
      </c>
      <c r="L241">
        <v>0</v>
      </c>
      <c r="M241">
        <v>22732.880000000001</v>
      </c>
      <c r="N241">
        <v>0</v>
      </c>
      <c r="O241" s="14">
        <f t="shared" ca="1" si="3"/>
        <v>64</v>
      </c>
      <c r="P241" t="s">
        <v>589</v>
      </c>
    </row>
    <row r="242" spans="1:16" ht="12.75" customHeight="1" x14ac:dyDescent="0.2">
      <c r="A242" t="s">
        <v>604</v>
      </c>
      <c r="B242" t="s">
        <v>651</v>
      </c>
      <c r="C242" t="s">
        <v>707</v>
      </c>
      <c r="D242" t="s">
        <v>705</v>
      </c>
      <c r="E242" t="s">
        <v>399</v>
      </c>
      <c r="F242" s="1">
        <v>46076</v>
      </c>
      <c r="G242" s="1">
        <v>46106</v>
      </c>
      <c r="H242" t="s">
        <v>1305</v>
      </c>
      <c r="I242">
        <v>22732.880000000001</v>
      </c>
      <c r="J242">
        <v>22732.880000000001</v>
      </c>
      <c r="K242">
        <v>0</v>
      </c>
      <c r="L242">
        <v>0</v>
      </c>
      <c r="M242">
        <v>22732.880000000001</v>
      </c>
      <c r="N242">
        <v>0</v>
      </c>
      <c r="O242" s="14">
        <f t="shared" ca="1" si="3"/>
        <v>64</v>
      </c>
      <c r="P242" t="s">
        <v>589</v>
      </c>
    </row>
    <row r="243" spans="1:16" ht="12.75" customHeight="1" x14ac:dyDescent="0.2">
      <c r="A243" t="s">
        <v>604</v>
      </c>
      <c r="B243" t="s">
        <v>651</v>
      </c>
      <c r="C243" t="s">
        <v>707</v>
      </c>
      <c r="D243" t="s">
        <v>705</v>
      </c>
      <c r="E243" t="s">
        <v>399</v>
      </c>
      <c r="F243" s="1">
        <v>46076</v>
      </c>
      <c r="G243" s="1">
        <v>46106</v>
      </c>
      <c r="H243" t="s">
        <v>1027</v>
      </c>
      <c r="I243">
        <v>9801</v>
      </c>
      <c r="J243">
        <v>9801</v>
      </c>
      <c r="K243">
        <v>0</v>
      </c>
      <c r="L243">
        <v>0</v>
      </c>
      <c r="M243">
        <v>9801</v>
      </c>
      <c r="N243">
        <v>0</v>
      </c>
      <c r="O243" s="14">
        <f t="shared" ca="1" si="3"/>
        <v>64</v>
      </c>
      <c r="P243" t="s">
        <v>589</v>
      </c>
    </row>
    <row r="244" spans="1:16" ht="12.75" customHeight="1" x14ac:dyDescent="0.2">
      <c r="A244" t="s">
        <v>604</v>
      </c>
      <c r="B244" t="s">
        <v>651</v>
      </c>
      <c r="C244" t="s">
        <v>707</v>
      </c>
      <c r="D244" t="s">
        <v>705</v>
      </c>
      <c r="E244" t="s">
        <v>399</v>
      </c>
      <c r="F244" s="1">
        <v>46080</v>
      </c>
      <c r="G244" s="1">
        <v>46110</v>
      </c>
      <c r="H244" t="s">
        <v>462</v>
      </c>
      <c r="I244">
        <v>8712</v>
      </c>
      <c r="J244">
        <v>8712</v>
      </c>
      <c r="K244">
        <v>0</v>
      </c>
      <c r="L244">
        <v>8712</v>
      </c>
      <c r="M244">
        <v>0</v>
      </c>
      <c r="N244">
        <v>0</v>
      </c>
      <c r="O244" s="14">
        <f t="shared" ca="1" si="3"/>
        <v>60</v>
      </c>
      <c r="P244" t="s">
        <v>589</v>
      </c>
    </row>
    <row r="245" spans="1:16" ht="12.75" customHeight="1" x14ac:dyDescent="0.2">
      <c r="A245" t="s">
        <v>604</v>
      </c>
      <c r="B245" t="s">
        <v>651</v>
      </c>
      <c r="C245" t="s">
        <v>707</v>
      </c>
      <c r="D245" t="s">
        <v>705</v>
      </c>
      <c r="E245" t="s">
        <v>399</v>
      </c>
      <c r="F245" s="1">
        <v>46094</v>
      </c>
      <c r="G245" s="1">
        <v>46124</v>
      </c>
      <c r="H245" t="s">
        <v>53</v>
      </c>
      <c r="I245">
        <v>79225.84</v>
      </c>
      <c r="J245">
        <v>79225.84</v>
      </c>
      <c r="K245">
        <v>0</v>
      </c>
      <c r="L245">
        <v>79225.84</v>
      </c>
      <c r="M245">
        <v>0</v>
      </c>
      <c r="N245">
        <v>0</v>
      </c>
      <c r="O245" s="14">
        <f t="shared" ca="1" si="3"/>
        <v>46</v>
      </c>
      <c r="P245" t="s">
        <v>589</v>
      </c>
    </row>
    <row r="246" spans="1:16" ht="12.75" customHeight="1" x14ac:dyDescent="0.2">
      <c r="A246" t="s">
        <v>604</v>
      </c>
      <c r="B246" t="s">
        <v>651</v>
      </c>
      <c r="C246" t="s">
        <v>707</v>
      </c>
      <c r="D246" t="s">
        <v>705</v>
      </c>
      <c r="E246" t="s">
        <v>399</v>
      </c>
      <c r="F246" s="1">
        <v>46101</v>
      </c>
      <c r="G246" s="1">
        <v>46131</v>
      </c>
      <c r="H246" t="s">
        <v>62</v>
      </c>
      <c r="I246">
        <v>25047</v>
      </c>
      <c r="J246">
        <v>25047</v>
      </c>
      <c r="K246">
        <v>0</v>
      </c>
      <c r="L246">
        <v>25047</v>
      </c>
      <c r="M246">
        <v>0</v>
      </c>
      <c r="N246">
        <v>0</v>
      </c>
      <c r="O246" s="14">
        <f t="shared" ca="1" si="3"/>
        <v>39</v>
      </c>
      <c r="P246" t="s">
        <v>589</v>
      </c>
    </row>
    <row r="247" spans="1:16" ht="12.75" customHeight="1" x14ac:dyDescent="0.2">
      <c r="A247" t="s">
        <v>604</v>
      </c>
      <c r="B247" t="s">
        <v>651</v>
      </c>
      <c r="C247" t="s">
        <v>707</v>
      </c>
      <c r="D247" t="s">
        <v>705</v>
      </c>
      <c r="E247" t="s">
        <v>399</v>
      </c>
      <c r="F247" s="1">
        <v>46105</v>
      </c>
      <c r="G247" s="1">
        <v>46135</v>
      </c>
      <c r="H247" t="s">
        <v>1204</v>
      </c>
      <c r="I247">
        <v>30492</v>
      </c>
      <c r="J247">
        <v>30492</v>
      </c>
      <c r="K247">
        <v>0</v>
      </c>
      <c r="L247">
        <v>30492</v>
      </c>
      <c r="M247">
        <v>0</v>
      </c>
      <c r="N247">
        <v>0</v>
      </c>
      <c r="O247" s="14">
        <f t="shared" ca="1" si="3"/>
        <v>35</v>
      </c>
      <c r="P247" t="s">
        <v>589</v>
      </c>
    </row>
    <row r="248" spans="1:16" ht="12.75" customHeight="1" x14ac:dyDescent="0.2">
      <c r="A248" t="s">
        <v>604</v>
      </c>
      <c r="B248" t="s">
        <v>651</v>
      </c>
      <c r="C248" t="s">
        <v>707</v>
      </c>
      <c r="D248" t="s">
        <v>705</v>
      </c>
      <c r="E248" t="s">
        <v>399</v>
      </c>
      <c r="F248" s="1">
        <v>46105</v>
      </c>
      <c r="G248" s="1">
        <v>46135</v>
      </c>
      <c r="H248" t="s">
        <v>621</v>
      </c>
      <c r="I248">
        <v>32125.5</v>
      </c>
      <c r="J248">
        <v>32125.5</v>
      </c>
      <c r="K248">
        <v>0</v>
      </c>
      <c r="L248">
        <v>32125.5</v>
      </c>
      <c r="M248">
        <v>0</v>
      </c>
      <c r="N248">
        <v>0</v>
      </c>
      <c r="O248" s="14">
        <f t="shared" ca="1" si="3"/>
        <v>35</v>
      </c>
      <c r="P248" t="s">
        <v>589</v>
      </c>
    </row>
    <row r="249" spans="1:16" ht="12.75" customHeight="1" x14ac:dyDescent="0.2">
      <c r="A249" t="s">
        <v>604</v>
      </c>
      <c r="B249" t="s">
        <v>651</v>
      </c>
      <c r="C249" t="s">
        <v>707</v>
      </c>
      <c r="D249" t="s">
        <v>705</v>
      </c>
      <c r="E249" t="s">
        <v>399</v>
      </c>
      <c r="F249" s="1">
        <v>46107</v>
      </c>
      <c r="G249" s="1">
        <v>46137</v>
      </c>
      <c r="H249" t="s">
        <v>626</v>
      </c>
      <c r="I249">
        <v>53656.98</v>
      </c>
      <c r="J249">
        <v>53656.98</v>
      </c>
      <c r="K249">
        <v>0</v>
      </c>
      <c r="L249">
        <v>53656.98</v>
      </c>
      <c r="M249">
        <v>0</v>
      </c>
      <c r="N249">
        <v>0</v>
      </c>
      <c r="O249" s="14">
        <f t="shared" ca="1" si="3"/>
        <v>33</v>
      </c>
      <c r="P249" t="s">
        <v>589</v>
      </c>
    </row>
    <row r="250" spans="1:16" ht="12.75" customHeight="1" x14ac:dyDescent="0.2">
      <c r="A250" t="s">
        <v>604</v>
      </c>
      <c r="B250" t="s">
        <v>651</v>
      </c>
      <c r="C250" t="s">
        <v>707</v>
      </c>
      <c r="D250" t="s">
        <v>705</v>
      </c>
      <c r="E250" t="s">
        <v>399</v>
      </c>
      <c r="F250" s="1">
        <v>46108</v>
      </c>
      <c r="G250" s="1">
        <v>46138</v>
      </c>
      <c r="H250" t="s">
        <v>122</v>
      </c>
      <c r="I250">
        <v>14157</v>
      </c>
      <c r="J250">
        <v>14157</v>
      </c>
      <c r="K250">
        <v>0</v>
      </c>
      <c r="L250">
        <v>14157</v>
      </c>
      <c r="M250">
        <v>0</v>
      </c>
      <c r="N250">
        <v>0</v>
      </c>
      <c r="O250" s="14">
        <f t="shared" ca="1" si="3"/>
        <v>32</v>
      </c>
      <c r="P250" t="s">
        <v>589</v>
      </c>
    </row>
    <row r="251" spans="1:16" ht="12.75" customHeight="1" x14ac:dyDescent="0.2">
      <c r="A251" t="s">
        <v>604</v>
      </c>
      <c r="B251" t="s">
        <v>651</v>
      </c>
      <c r="C251" t="s">
        <v>707</v>
      </c>
      <c r="D251" t="s">
        <v>705</v>
      </c>
      <c r="E251" t="s">
        <v>399</v>
      </c>
      <c r="F251" s="1">
        <v>46114</v>
      </c>
      <c r="G251" s="1">
        <v>46144</v>
      </c>
      <c r="H251" t="s">
        <v>447</v>
      </c>
      <c r="I251">
        <v>59895</v>
      </c>
      <c r="J251">
        <v>59895</v>
      </c>
      <c r="K251">
        <v>59895</v>
      </c>
      <c r="L251">
        <v>0</v>
      </c>
      <c r="M251">
        <v>0</v>
      </c>
      <c r="N251">
        <v>0</v>
      </c>
      <c r="O251" s="14">
        <f t="shared" ca="1" si="3"/>
        <v>26</v>
      </c>
      <c r="P251" t="s">
        <v>589</v>
      </c>
    </row>
    <row r="252" spans="1:16" ht="12.75" customHeight="1" x14ac:dyDescent="0.2">
      <c r="A252" t="s">
        <v>604</v>
      </c>
      <c r="B252" t="s">
        <v>651</v>
      </c>
      <c r="C252" t="s">
        <v>707</v>
      </c>
      <c r="D252" t="s">
        <v>705</v>
      </c>
      <c r="E252" t="s">
        <v>399</v>
      </c>
      <c r="F252" s="1">
        <v>46121</v>
      </c>
      <c r="G252" s="1">
        <v>46151</v>
      </c>
      <c r="H252" t="s">
        <v>23</v>
      </c>
      <c r="I252">
        <v>57746.02</v>
      </c>
      <c r="J252">
        <v>57746.02</v>
      </c>
      <c r="K252">
        <v>57746.02</v>
      </c>
      <c r="L252">
        <v>0</v>
      </c>
      <c r="M252">
        <v>0</v>
      </c>
      <c r="N252">
        <v>0</v>
      </c>
      <c r="O252" s="14">
        <f t="shared" ca="1" si="3"/>
        <v>19</v>
      </c>
      <c r="P252" t="s">
        <v>589</v>
      </c>
    </row>
    <row r="253" spans="1:16" ht="12.75" customHeight="1" x14ac:dyDescent="0.2">
      <c r="A253" t="s">
        <v>604</v>
      </c>
      <c r="B253" t="s">
        <v>651</v>
      </c>
      <c r="C253" t="s">
        <v>707</v>
      </c>
      <c r="D253" t="s">
        <v>705</v>
      </c>
      <c r="E253" t="s">
        <v>399</v>
      </c>
      <c r="F253" s="1">
        <v>46127</v>
      </c>
      <c r="G253" s="1">
        <v>46157</v>
      </c>
      <c r="H253" t="s">
        <v>502</v>
      </c>
      <c r="I253">
        <v>5445</v>
      </c>
      <c r="J253">
        <v>5445</v>
      </c>
      <c r="K253">
        <v>5445</v>
      </c>
      <c r="L253">
        <v>0</v>
      </c>
      <c r="M253">
        <v>0</v>
      </c>
      <c r="N253">
        <v>0</v>
      </c>
      <c r="O253" s="14">
        <f t="shared" ca="1" si="3"/>
        <v>13</v>
      </c>
      <c r="P253" t="s">
        <v>589</v>
      </c>
    </row>
    <row r="254" spans="1:16" ht="12.75" customHeight="1" x14ac:dyDescent="0.2">
      <c r="A254" t="s">
        <v>604</v>
      </c>
      <c r="B254" t="s">
        <v>651</v>
      </c>
      <c r="C254" t="s">
        <v>707</v>
      </c>
      <c r="D254" t="s">
        <v>705</v>
      </c>
      <c r="E254" t="s">
        <v>399</v>
      </c>
      <c r="F254" s="1">
        <v>46129</v>
      </c>
      <c r="G254" s="1">
        <v>46159</v>
      </c>
      <c r="H254" t="s">
        <v>1299</v>
      </c>
      <c r="I254">
        <v>26462.880000000001</v>
      </c>
      <c r="J254">
        <v>26462.880000000001</v>
      </c>
      <c r="K254">
        <v>26462.880000000001</v>
      </c>
      <c r="L254">
        <v>0</v>
      </c>
      <c r="M254">
        <v>0</v>
      </c>
      <c r="N254">
        <v>0</v>
      </c>
      <c r="O254" s="14">
        <f t="shared" ca="1" si="3"/>
        <v>11</v>
      </c>
      <c r="P254" t="s">
        <v>589</v>
      </c>
    </row>
    <row r="255" spans="1:16" ht="12.75" customHeight="1" x14ac:dyDescent="0.2">
      <c r="A255" t="s">
        <v>604</v>
      </c>
      <c r="B255" t="s">
        <v>651</v>
      </c>
      <c r="C255" t="s">
        <v>707</v>
      </c>
      <c r="D255" t="s">
        <v>705</v>
      </c>
      <c r="E255" t="s">
        <v>399</v>
      </c>
      <c r="F255" s="1">
        <v>46129</v>
      </c>
      <c r="G255" s="1">
        <v>46159</v>
      </c>
      <c r="H255" t="s">
        <v>507</v>
      </c>
      <c r="I255">
        <v>10890</v>
      </c>
      <c r="J255">
        <v>10890</v>
      </c>
      <c r="K255">
        <v>10890</v>
      </c>
      <c r="L255">
        <v>0</v>
      </c>
      <c r="M255">
        <v>0</v>
      </c>
      <c r="N255">
        <v>0</v>
      </c>
      <c r="O255" s="14">
        <f t="shared" ca="1" si="3"/>
        <v>11</v>
      </c>
      <c r="P255" t="s">
        <v>589</v>
      </c>
    </row>
    <row r="256" spans="1:16" ht="12.75" customHeight="1" x14ac:dyDescent="0.2">
      <c r="A256" t="s">
        <v>604</v>
      </c>
      <c r="B256" t="s">
        <v>651</v>
      </c>
      <c r="C256" t="s">
        <v>707</v>
      </c>
      <c r="D256" t="s">
        <v>705</v>
      </c>
      <c r="E256" t="s">
        <v>399</v>
      </c>
      <c r="F256" s="1">
        <v>46133</v>
      </c>
      <c r="G256" s="1">
        <v>46163</v>
      </c>
      <c r="H256" t="s">
        <v>506</v>
      </c>
      <c r="I256">
        <v>5230.8100000000004</v>
      </c>
      <c r="J256">
        <v>5230.8100000000004</v>
      </c>
      <c r="K256">
        <v>5230.8100000000004</v>
      </c>
      <c r="L256">
        <v>0</v>
      </c>
      <c r="M256">
        <v>0</v>
      </c>
      <c r="N256">
        <v>0</v>
      </c>
      <c r="O256" s="14">
        <f t="shared" ca="1" si="3"/>
        <v>7</v>
      </c>
      <c r="P256" t="s">
        <v>589</v>
      </c>
    </row>
    <row r="257" spans="1:16" ht="12.75" customHeight="1" x14ac:dyDescent="0.2">
      <c r="A257" t="s">
        <v>604</v>
      </c>
      <c r="B257" t="s">
        <v>651</v>
      </c>
      <c r="C257" t="s">
        <v>707</v>
      </c>
      <c r="D257" t="s">
        <v>705</v>
      </c>
      <c r="E257" t="s">
        <v>399</v>
      </c>
      <c r="F257" s="1">
        <v>46133</v>
      </c>
      <c r="G257" s="1">
        <v>46163</v>
      </c>
      <c r="H257" t="s">
        <v>18</v>
      </c>
      <c r="I257">
        <v>3497.57</v>
      </c>
      <c r="J257">
        <v>3497.57</v>
      </c>
      <c r="K257">
        <v>3497.57</v>
      </c>
      <c r="L257">
        <v>0</v>
      </c>
      <c r="M257">
        <v>0</v>
      </c>
      <c r="N257">
        <v>0</v>
      </c>
      <c r="O257" s="14">
        <f t="shared" ca="1" si="3"/>
        <v>7</v>
      </c>
      <c r="P257" t="s">
        <v>589</v>
      </c>
    </row>
    <row r="258" spans="1:16" ht="12.75" customHeight="1" x14ac:dyDescent="0.2">
      <c r="A258" t="s">
        <v>604</v>
      </c>
      <c r="B258" t="s">
        <v>651</v>
      </c>
      <c r="C258" t="s">
        <v>700</v>
      </c>
      <c r="D258" t="s">
        <v>1159</v>
      </c>
      <c r="E258" t="s">
        <v>399</v>
      </c>
      <c r="F258" s="1">
        <v>45684</v>
      </c>
      <c r="G258" s="1">
        <v>45714</v>
      </c>
      <c r="H258" t="s">
        <v>274</v>
      </c>
      <c r="I258">
        <v>7865</v>
      </c>
      <c r="J258">
        <v>5865</v>
      </c>
      <c r="K258">
        <v>0</v>
      </c>
      <c r="L258">
        <v>0</v>
      </c>
      <c r="M258">
        <v>0</v>
      </c>
      <c r="N258">
        <v>5865</v>
      </c>
      <c r="O258" s="14">
        <f t="shared" ca="1" si="3"/>
        <v>456</v>
      </c>
      <c r="P258" t="s">
        <v>589</v>
      </c>
    </row>
    <row r="259" spans="1:16" ht="12.75" customHeight="1" x14ac:dyDescent="0.2">
      <c r="A259" t="s">
        <v>604</v>
      </c>
      <c r="B259" t="s">
        <v>651</v>
      </c>
      <c r="C259" t="s">
        <v>700</v>
      </c>
      <c r="D259" t="s">
        <v>1159</v>
      </c>
      <c r="E259" t="s">
        <v>399</v>
      </c>
      <c r="F259" s="1">
        <v>45684</v>
      </c>
      <c r="G259" s="1">
        <v>45714</v>
      </c>
      <c r="H259" t="s">
        <v>760</v>
      </c>
      <c r="I259">
        <v>7865</v>
      </c>
      <c r="J259">
        <v>7865</v>
      </c>
      <c r="K259">
        <v>0</v>
      </c>
      <c r="L259">
        <v>0</v>
      </c>
      <c r="M259">
        <v>0</v>
      </c>
      <c r="N259">
        <v>7865</v>
      </c>
      <c r="O259" s="14">
        <f t="shared" ref="O259:O322" ca="1" si="4">TODAY()-G259</f>
        <v>456</v>
      </c>
      <c r="P259" t="s">
        <v>589</v>
      </c>
    </row>
    <row r="260" spans="1:16" ht="12.75" customHeight="1" x14ac:dyDescent="0.2">
      <c r="A260" t="s">
        <v>604</v>
      </c>
      <c r="B260" t="s">
        <v>651</v>
      </c>
      <c r="C260" t="s">
        <v>700</v>
      </c>
      <c r="D260" t="s">
        <v>1159</v>
      </c>
      <c r="E260" t="s">
        <v>399</v>
      </c>
      <c r="F260" s="1">
        <v>45684</v>
      </c>
      <c r="G260" s="1">
        <v>45714</v>
      </c>
      <c r="H260" t="s">
        <v>761</v>
      </c>
      <c r="I260">
        <v>8470</v>
      </c>
      <c r="J260">
        <v>8470</v>
      </c>
      <c r="K260">
        <v>0</v>
      </c>
      <c r="L260">
        <v>0</v>
      </c>
      <c r="M260">
        <v>0</v>
      </c>
      <c r="N260">
        <v>8470</v>
      </c>
      <c r="O260" s="14">
        <f t="shared" ca="1" si="4"/>
        <v>456</v>
      </c>
      <c r="P260" t="s">
        <v>589</v>
      </c>
    </row>
    <row r="261" spans="1:16" ht="12.75" customHeight="1" x14ac:dyDescent="0.2">
      <c r="A261" t="s">
        <v>604</v>
      </c>
      <c r="B261" t="s">
        <v>651</v>
      </c>
      <c r="C261" t="s">
        <v>700</v>
      </c>
      <c r="D261" t="s">
        <v>1159</v>
      </c>
      <c r="E261" t="s">
        <v>399</v>
      </c>
      <c r="F261" s="1">
        <v>45684</v>
      </c>
      <c r="G261" s="1">
        <v>45714</v>
      </c>
      <c r="H261" t="s">
        <v>759</v>
      </c>
      <c r="I261">
        <v>9075</v>
      </c>
      <c r="J261">
        <v>8075</v>
      </c>
      <c r="K261">
        <v>0</v>
      </c>
      <c r="L261">
        <v>0</v>
      </c>
      <c r="M261">
        <v>0</v>
      </c>
      <c r="N261">
        <v>8075</v>
      </c>
      <c r="O261" s="14">
        <f t="shared" ca="1" si="4"/>
        <v>456</v>
      </c>
      <c r="P261" t="s">
        <v>589</v>
      </c>
    </row>
    <row r="262" spans="1:16" ht="12.75" customHeight="1" x14ac:dyDescent="0.2">
      <c r="A262" t="s">
        <v>604</v>
      </c>
      <c r="B262" t="s">
        <v>651</v>
      </c>
      <c r="C262" t="s">
        <v>700</v>
      </c>
      <c r="D262" t="s">
        <v>1159</v>
      </c>
      <c r="E262" t="s">
        <v>399</v>
      </c>
      <c r="F262" s="1">
        <v>45902</v>
      </c>
      <c r="G262" s="1">
        <v>45932</v>
      </c>
      <c r="H262" t="s">
        <v>686</v>
      </c>
      <c r="I262">
        <v>9075</v>
      </c>
      <c r="J262">
        <v>9075</v>
      </c>
      <c r="K262">
        <v>0</v>
      </c>
      <c r="L262">
        <v>0</v>
      </c>
      <c r="M262">
        <v>0</v>
      </c>
      <c r="N262">
        <v>9075</v>
      </c>
      <c r="O262" s="14">
        <f t="shared" ca="1" si="4"/>
        <v>238</v>
      </c>
      <c r="P262" t="s">
        <v>589</v>
      </c>
    </row>
    <row r="263" spans="1:16" ht="12.75" customHeight="1" x14ac:dyDescent="0.2">
      <c r="A263" t="s">
        <v>604</v>
      </c>
      <c r="B263" t="s">
        <v>651</v>
      </c>
      <c r="C263" t="s">
        <v>700</v>
      </c>
      <c r="D263" t="s">
        <v>1159</v>
      </c>
      <c r="E263" t="s">
        <v>399</v>
      </c>
      <c r="F263" s="1">
        <v>45902</v>
      </c>
      <c r="G263" s="1">
        <v>45932</v>
      </c>
      <c r="H263" t="s">
        <v>699</v>
      </c>
      <c r="I263">
        <v>9075</v>
      </c>
      <c r="J263">
        <v>5075</v>
      </c>
      <c r="K263">
        <v>0</v>
      </c>
      <c r="L263">
        <v>0</v>
      </c>
      <c r="M263">
        <v>0</v>
      </c>
      <c r="N263">
        <v>5075</v>
      </c>
      <c r="O263" s="14">
        <f t="shared" ca="1" si="4"/>
        <v>238</v>
      </c>
      <c r="P263" t="s">
        <v>589</v>
      </c>
    </row>
    <row r="264" spans="1:16" ht="12.75" customHeight="1" x14ac:dyDescent="0.2">
      <c r="A264" t="s">
        <v>604</v>
      </c>
      <c r="B264" t="s">
        <v>651</v>
      </c>
      <c r="C264" t="s">
        <v>778</v>
      </c>
      <c r="D264" t="s">
        <v>547</v>
      </c>
      <c r="E264" t="s">
        <v>399</v>
      </c>
      <c r="F264" s="1">
        <v>46104</v>
      </c>
      <c r="G264" s="1">
        <v>46134</v>
      </c>
      <c r="H264" t="s">
        <v>377</v>
      </c>
      <c r="I264">
        <v>9164.18</v>
      </c>
      <c r="J264">
        <v>9164.18</v>
      </c>
      <c r="K264">
        <v>0</v>
      </c>
      <c r="L264">
        <v>9164.18</v>
      </c>
      <c r="M264">
        <v>0</v>
      </c>
      <c r="N264">
        <v>0</v>
      </c>
      <c r="O264" s="14">
        <f t="shared" ca="1" si="4"/>
        <v>36</v>
      </c>
      <c r="P264" t="s">
        <v>589</v>
      </c>
    </row>
    <row r="265" spans="1:16" ht="12.75" customHeight="1" x14ac:dyDescent="0.2">
      <c r="A265" t="s">
        <v>604</v>
      </c>
      <c r="B265" t="s">
        <v>651</v>
      </c>
      <c r="C265" t="s">
        <v>778</v>
      </c>
      <c r="D265" t="s">
        <v>547</v>
      </c>
      <c r="E265" t="s">
        <v>399</v>
      </c>
      <c r="F265" s="1">
        <v>46113</v>
      </c>
      <c r="G265" s="1">
        <v>46143</v>
      </c>
      <c r="H265" t="s">
        <v>124</v>
      </c>
      <c r="I265">
        <v>2998.38</v>
      </c>
      <c r="J265">
        <v>2998.38</v>
      </c>
      <c r="K265">
        <v>2998.38</v>
      </c>
      <c r="L265">
        <v>0</v>
      </c>
      <c r="M265">
        <v>0</v>
      </c>
      <c r="N265">
        <v>0</v>
      </c>
      <c r="O265" s="14">
        <f t="shared" ca="1" si="4"/>
        <v>27</v>
      </c>
      <c r="P265" t="s">
        <v>589</v>
      </c>
    </row>
    <row r="266" spans="1:16" ht="12.75" customHeight="1" x14ac:dyDescent="0.2">
      <c r="A266" t="s">
        <v>604</v>
      </c>
      <c r="B266" t="s">
        <v>651</v>
      </c>
      <c r="C266" t="s">
        <v>609</v>
      </c>
      <c r="D266" t="s">
        <v>841</v>
      </c>
      <c r="E266" t="s">
        <v>399</v>
      </c>
      <c r="F266" s="1">
        <v>46030</v>
      </c>
      <c r="G266" s="1">
        <v>46060</v>
      </c>
      <c r="H266" t="s">
        <v>354</v>
      </c>
      <c r="I266">
        <v>496.1</v>
      </c>
      <c r="J266">
        <v>496.1</v>
      </c>
      <c r="K266">
        <v>0</v>
      </c>
      <c r="L266">
        <v>0</v>
      </c>
      <c r="M266">
        <v>0</v>
      </c>
      <c r="N266">
        <v>496.1</v>
      </c>
      <c r="O266" s="14">
        <f t="shared" ca="1" si="4"/>
        <v>110</v>
      </c>
      <c r="P266" t="s">
        <v>589</v>
      </c>
    </row>
    <row r="267" spans="1:16" ht="12.75" customHeight="1" x14ac:dyDescent="0.2">
      <c r="A267" t="s">
        <v>604</v>
      </c>
      <c r="B267" t="s">
        <v>651</v>
      </c>
      <c r="C267" t="s">
        <v>609</v>
      </c>
      <c r="D267" t="s">
        <v>841</v>
      </c>
      <c r="E267" t="s">
        <v>399</v>
      </c>
      <c r="F267" s="1">
        <v>46030</v>
      </c>
      <c r="G267" s="1">
        <v>46060</v>
      </c>
      <c r="H267" t="s">
        <v>768</v>
      </c>
      <c r="I267">
        <v>79.86</v>
      </c>
      <c r="J267">
        <v>79.86</v>
      </c>
      <c r="K267">
        <v>0</v>
      </c>
      <c r="L267">
        <v>0</v>
      </c>
      <c r="M267">
        <v>0</v>
      </c>
      <c r="N267">
        <v>79.86</v>
      </c>
      <c r="O267" s="14">
        <f t="shared" ca="1" si="4"/>
        <v>110</v>
      </c>
      <c r="P267" t="s">
        <v>589</v>
      </c>
    </row>
    <row r="268" spans="1:16" ht="12.75" customHeight="1" x14ac:dyDescent="0.2">
      <c r="A268" t="s">
        <v>604</v>
      </c>
      <c r="B268" t="s">
        <v>651</v>
      </c>
      <c r="C268" t="s">
        <v>609</v>
      </c>
      <c r="D268" t="s">
        <v>841</v>
      </c>
      <c r="E268" t="s">
        <v>399</v>
      </c>
      <c r="F268" s="1">
        <v>46118</v>
      </c>
      <c r="G268" s="1">
        <v>46148</v>
      </c>
      <c r="H268" t="s">
        <v>1094</v>
      </c>
      <c r="I268">
        <v>496.1</v>
      </c>
      <c r="J268">
        <v>496.1</v>
      </c>
      <c r="K268">
        <v>496.1</v>
      </c>
      <c r="L268">
        <v>0</v>
      </c>
      <c r="M268">
        <v>0</v>
      </c>
      <c r="N268">
        <v>0</v>
      </c>
      <c r="O268" s="14">
        <f t="shared" ca="1" si="4"/>
        <v>22</v>
      </c>
      <c r="P268" t="s">
        <v>589</v>
      </c>
    </row>
    <row r="269" spans="1:16" ht="12.75" customHeight="1" x14ac:dyDescent="0.2">
      <c r="A269" t="s">
        <v>604</v>
      </c>
      <c r="B269" t="s">
        <v>651</v>
      </c>
      <c r="C269" t="s">
        <v>609</v>
      </c>
      <c r="D269" t="s">
        <v>841</v>
      </c>
      <c r="E269" t="s">
        <v>399</v>
      </c>
      <c r="F269" s="1">
        <v>46118</v>
      </c>
      <c r="G269" s="1">
        <v>46148</v>
      </c>
      <c r="H269" t="s">
        <v>646</v>
      </c>
      <c r="I269">
        <v>79.86</v>
      </c>
      <c r="J269">
        <v>79.86</v>
      </c>
      <c r="K269">
        <v>79.86</v>
      </c>
      <c r="L269">
        <v>0</v>
      </c>
      <c r="M269">
        <v>0</v>
      </c>
      <c r="N269">
        <v>0</v>
      </c>
      <c r="O269" s="14">
        <f t="shared" ca="1" si="4"/>
        <v>22</v>
      </c>
      <c r="P269" t="s">
        <v>589</v>
      </c>
    </row>
    <row r="270" spans="1:16" ht="12.75" customHeight="1" x14ac:dyDescent="0.2">
      <c r="A270" t="s">
        <v>604</v>
      </c>
      <c r="B270" t="s">
        <v>651</v>
      </c>
      <c r="C270" t="s">
        <v>107</v>
      </c>
      <c r="D270" t="s">
        <v>964</v>
      </c>
      <c r="E270" t="s">
        <v>399</v>
      </c>
      <c r="F270" s="1">
        <v>46118</v>
      </c>
      <c r="G270" s="1">
        <v>46148</v>
      </c>
      <c r="H270" t="s">
        <v>1093</v>
      </c>
      <c r="I270">
        <v>635.25</v>
      </c>
      <c r="J270">
        <v>635.25</v>
      </c>
      <c r="K270">
        <v>635.25</v>
      </c>
      <c r="L270">
        <v>0</v>
      </c>
      <c r="M270">
        <v>0</v>
      </c>
      <c r="N270">
        <v>0</v>
      </c>
      <c r="O270" s="14">
        <f t="shared" ca="1" si="4"/>
        <v>22</v>
      </c>
      <c r="P270" t="s">
        <v>589</v>
      </c>
    </row>
    <row r="271" spans="1:16" ht="12.75" customHeight="1" x14ac:dyDescent="0.2">
      <c r="A271" t="s">
        <v>604</v>
      </c>
      <c r="B271" t="s">
        <v>651</v>
      </c>
      <c r="C271" t="s">
        <v>107</v>
      </c>
      <c r="D271" t="s">
        <v>964</v>
      </c>
      <c r="E271" t="s">
        <v>399</v>
      </c>
      <c r="F271" s="1">
        <v>46118</v>
      </c>
      <c r="G271" s="1">
        <v>46148</v>
      </c>
      <c r="H271" t="s">
        <v>180</v>
      </c>
      <c r="I271">
        <v>79.86</v>
      </c>
      <c r="J271">
        <v>79.86</v>
      </c>
      <c r="K271">
        <v>79.86</v>
      </c>
      <c r="L271">
        <v>0</v>
      </c>
      <c r="M271">
        <v>0</v>
      </c>
      <c r="N271">
        <v>0</v>
      </c>
      <c r="O271" s="14">
        <f t="shared" ca="1" si="4"/>
        <v>22</v>
      </c>
      <c r="P271" t="s">
        <v>589</v>
      </c>
    </row>
    <row r="272" spans="1:16" ht="12.75" customHeight="1" x14ac:dyDescent="0.2">
      <c r="A272" t="s">
        <v>604</v>
      </c>
      <c r="B272" t="s">
        <v>651</v>
      </c>
      <c r="C272" t="s">
        <v>470</v>
      </c>
      <c r="D272" t="s">
        <v>405</v>
      </c>
      <c r="E272" t="s">
        <v>399</v>
      </c>
      <c r="F272" s="1">
        <v>46118</v>
      </c>
      <c r="G272" s="1">
        <v>46148</v>
      </c>
      <c r="H272" t="s">
        <v>255</v>
      </c>
      <c r="I272">
        <v>484</v>
      </c>
      <c r="J272">
        <v>484</v>
      </c>
      <c r="K272">
        <v>484</v>
      </c>
      <c r="L272">
        <v>0</v>
      </c>
      <c r="M272">
        <v>0</v>
      </c>
      <c r="N272">
        <v>0</v>
      </c>
      <c r="O272" s="14">
        <f t="shared" ca="1" si="4"/>
        <v>22</v>
      </c>
      <c r="P272" t="s">
        <v>589</v>
      </c>
    </row>
    <row r="273" spans="1:16" ht="12.75" customHeight="1" x14ac:dyDescent="0.2">
      <c r="A273" t="s">
        <v>604</v>
      </c>
      <c r="B273" t="s">
        <v>651</v>
      </c>
      <c r="C273" t="s">
        <v>470</v>
      </c>
      <c r="D273" t="s">
        <v>405</v>
      </c>
      <c r="E273" t="s">
        <v>399</v>
      </c>
      <c r="F273" s="1">
        <v>46118</v>
      </c>
      <c r="G273" s="1">
        <v>46148</v>
      </c>
      <c r="H273" t="s">
        <v>184</v>
      </c>
      <c r="I273">
        <v>79.86</v>
      </c>
      <c r="J273">
        <v>79.86</v>
      </c>
      <c r="K273">
        <v>79.86</v>
      </c>
      <c r="L273">
        <v>0</v>
      </c>
      <c r="M273">
        <v>0</v>
      </c>
      <c r="N273">
        <v>0</v>
      </c>
      <c r="O273" s="14">
        <f t="shared" ca="1" si="4"/>
        <v>22</v>
      </c>
      <c r="P273" t="s">
        <v>589</v>
      </c>
    </row>
    <row r="274" spans="1:16" ht="12.75" customHeight="1" x14ac:dyDescent="0.2">
      <c r="A274" t="s">
        <v>604</v>
      </c>
      <c r="B274" t="s">
        <v>651</v>
      </c>
      <c r="C274" t="s">
        <v>546</v>
      </c>
      <c r="D274" t="s">
        <v>165</v>
      </c>
      <c r="E274" t="s">
        <v>1194</v>
      </c>
      <c r="F274" s="1">
        <v>45951</v>
      </c>
      <c r="G274" s="1">
        <v>45981</v>
      </c>
      <c r="H274" t="s">
        <v>900</v>
      </c>
      <c r="I274">
        <v>361.77</v>
      </c>
      <c r="J274">
        <v>361.77</v>
      </c>
      <c r="K274">
        <v>0</v>
      </c>
      <c r="L274">
        <v>0</v>
      </c>
      <c r="M274">
        <v>0</v>
      </c>
      <c r="N274">
        <v>361.77</v>
      </c>
      <c r="O274" s="14">
        <f t="shared" ca="1" si="4"/>
        <v>189</v>
      </c>
      <c r="P274" t="s">
        <v>589</v>
      </c>
    </row>
    <row r="275" spans="1:16" ht="12.75" customHeight="1" x14ac:dyDescent="0.2">
      <c r="A275" t="s">
        <v>604</v>
      </c>
      <c r="B275" t="s">
        <v>651</v>
      </c>
      <c r="C275" t="s">
        <v>1196</v>
      </c>
      <c r="D275" t="s">
        <v>168</v>
      </c>
      <c r="E275" t="s">
        <v>399</v>
      </c>
      <c r="F275" s="1">
        <v>44796</v>
      </c>
      <c r="G275" s="1">
        <v>44826</v>
      </c>
      <c r="H275" t="s">
        <v>763</v>
      </c>
      <c r="I275">
        <v>1725.26</v>
      </c>
      <c r="J275">
        <v>1725.26</v>
      </c>
      <c r="K275">
        <v>0</v>
      </c>
      <c r="L275">
        <v>0</v>
      </c>
      <c r="M275">
        <v>0</v>
      </c>
      <c r="N275">
        <v>1725.26</v>
      </c>
      <c r="O275" s="14">
        <f t="shared" ca="1" si="4"/>
        <v>1344</v>
      </c>
      <c r="P275" t="s">
        <v>1066</v>
      </c>
    </row>
    <row r="276" spans="1:16" ht="12.75" customHeight="1" x14ac:dyDescent="0.2">
      <c r="A276" t="s">
        <v>604</v>
      </c>
      <c r="B276" t="s">
        <v>651</v>
      </c>
      <c r="C276" t="s">
        <v>635</v>
      </c>
      <c r="D276" t="s">
        <v>823</v>
      </c>
      <c r="E276" t="s">
        <v>1194</v>
      </c>
      <c r="F276" s="1">
        <v>45699</v>
      </c>
      <c r="G276" s="1">
        <v>45729</v>
      </c>
      <c r="H276" t="s">
        <v>900</v>
      </c>
      <c r="I276">
        <v>-242</v>
      </c>
      <c r="J276">
        <v>-242</v>
      </c>
      <c r="K276">
        <v>0</v>
      </c>
      <c r="L276">
        <v>0</v>
      </c>
      <c r="M276">
        <v>0</v>
      </c>
      <c r="N276">
        <v>-242</v>
      </c>
      <c r="O276" s="14">
        <f t="shared" ca="1" si="4"/>
        <v>441</v>
      </c>
      <c r="P276" t="s">
        <v>589</v>
      </c>
    </row>
    <row r="277" spans="1:16" ht="12.75" customHeight="1" x14ac:dyDescent="0.2">
      <c r="A277" t="s">
        <v>604</v>
      </c>
      <c r="B277" t="s">
        <v>651</v>
      </c>
      <c r="C277" t="s">
        <v>635</v>
      </c>
      <c r="D277" t="s">
        <v>823</v>
      </c>
      <c r="E277" t="s">
        <v>399</v>
      </c>
      <c r="F277" s="1">
        <v>45966</v>
      </c>
      <c r="G277" s="1">
        <v>45996</v>
      </c>
      <c r="H277" t="s">
        <v>421</v>
      </c>
      <c r="I277">
        <v>9965.26</v>
      </c>
      <c r="J277">
        <v>9965.26</v>
      </c>
      <c r="K277">
        <v>0</v>
      </c>
      <c r="L277">
        <v>0</v>
      </c>
      <c r="M277">
        <v>0</v>
      </c>
      <c r="N277">
        <v>9965.26</v>
      </c>
      <c r="O277" s="14">
        <f t="shared" ca="1" si="4"/>
        <v>174</v>
      </c>
      <c r="P277" t="s">
        <v>589</v>
      </c>
    </row>
    <row r="278" spans="1:16" ht="12.75" customHeight="1" x14ac:dyDescent="0.2">
      <c r="A278" t="s">
        <v>604</v>
      </c>
      <c r="B278" t="s">
        <v>651</v>
      </c>
      <c r="C278" t="s">
        <v>635</v>
      </c>
      <c r="D278" t="s">
        <v>823</v>
      </c>
      <c r="E278" t="s">
        <v>399</v>
      </c>
      <c r="F278" s="1">
        <v>46055</v>
      </c>
      <c r="G278" s="1">
        <v>46085</v>
      </c>
      <c r="H278" t="s">
        <v>494</v>
      </c>
      <c r="I278">
        <v>3297.25</v>
      </c>
      <c r="J278">
        <v>3297.25</v>
      </c>
      <c r="K278">
        <v>0</v>
      </c>
      <c r="L278">
        <v>0</v>
      </c>
      <c r="M278">
        <v>3297.25</v>
      </c>
      <c r="N278">
        <v>0</v>
      </c>
      <c r="O278" s="14">
        <f t="shared" ca="1" si="4"/>
        <v>85</v>
      </c>
      <c r="P278" t="s">
        <v>589</v>
      </c>
    </row>
    <row r="279" spans="1:16" ht="12.75" customHeight="1" x14ac:dyDescent="0.2">
      <c r="A279" t="s">
        <v>604</v>
      </c>
      <c r="B279" t="s">
        <v>651</v>
      </c>
      <c r="C279" t="s">
        <v>635</v>
      </c>
      <c r="D279" t="s">
        <v>823</v>
      </c>
      <c r="E279" t="s">
        <v>399</v>
      </c>
      <c r="F279" s="1">
        <v>46083</v>
      </c>
      <c r="G279" s="1">
        <v>46113</v>
      </c>
      <c r="H279" t="s">
        <v>446</v>
      </c>
      <c r="I279">
        <v>3297.25</v>
      </c>
      <c r="J279">
        <v>3297.25</v>
      </c>
      <c r="K279">
        <v>0</v>
      </c>
      <c r="L279">
        <v>3297.25</v>
      </c>
      <c r="M279">
        <v>0</v>
      </c>
      <c r="N279">
        <v>0</v>
      </c>
      <c r="O279" s="14">
        <f t="shared" ca="1" si="4"/>
        <v>57</v>
      </c>
      <c r="P279" t="s">
        <v>589</v>
      </c>
    </row>
    <row r="280" spans="1:16" ht="12.75" customHeight="1" x14ac:dyDescent="0.2">
      <c r="A280" t="s">
        <v>604</v>
      </c>
      <c r="B280" t="s">
        <v>651</v>
      </c>
      <c r="C280" t="s">
        <v>635</v>
      </c>
      <c r="D280" t="s">
        <v>823</v>
      </c>
      <c r="E280" t="s">
        <v>399</v>
      </c>
      <c r="F280" s="1">
        <v>46113</v>
      </c>
      <c r="G280" s="1">
        <v>46143</v>
      </c>
      <c r="H280" t="s">
        <v>509</v>
      </c>
      <c r="I280">
        <v>3297.25</v>
      </c>
      <c r="J280">
        <v>3297.25</v>
      </c>
      <c r="K280">
        <v>3297.25</v>
      </c>
      <c r="L280">
        <v>0</v>
      </c>
      <c r="M280">
        <v>0</v>
      </c>
      <c r="N280">
        <v>0</v>
      </c>
      <c r="O280" s="14">
        <f t="shared" ca="1" si="4"/>
        <v>27</v>
      </c>
      <c r="P280" t="s">
        <v>589</v>
      </c>
    </row>
    <row r="281" spans="1:16" ht="12.75" customHeight="1" x14ac:dyDescent="0.2">
      <c r="A281" t="s">
        <v>604</v>
      </c>
      <c r="B281" t="s">
        <v>651</v>
      </c>
      <c r="C281" t="s">
        <v>635</v>
      </c>
      <c r="D281" t="s">
        <v>823</v>
      </c>
      <c r="E281" t="s">
        <v>399</v>
      </c>
      <c r="F281" s="1">
        <v>46118</v>
      </c>
      <c r="G281" s="1">
        <v>46148</v>
      </c>
      <c r="H281" t="s">
        <v>445</v>
      </c>
      <c r="I281">
        <v>574.75</v>
      </c>
      <c r="J281">
        <v>574.75</v>
      </c>
      <c r="K281">
        <v>574.75</v>
      </c>
      <c r="L281">
        <v>0</v>
      </c>
      <c r="M281">
        <v>0</v>
      </c>
      <c r="N281">
        <v>0</v>
      </c>
      <c r="O281" s="14">
        <f t="shared" ca="1" si="4"/>
        <v>22</v>
      </c>
      <c r="P281" t="s">
        <v>589</v>
      </c>
    </row>
    <row r="282" spans="1:16" ht="12.75" customHeight="1" x14ac:dyDescent="0.2">
      <c r="A282" t="s">
        <v>604</v>
      </c>
      <c r="B282" t="s">
        <v>651</v>
      </c>
      <c r="C282" t="s">
        <v>634</v>
      </c>
      <c r="D282" t="s">
        <v>755</v>
      </c>
      <c r="E282" t="s">
        <v>399</v>
      </c>
      <c r="F282" s="1">
        <v>46031</v>
      </c>
      <c r="G282" s="1">
        <v>46061</v>
      </c>
      <c r="H282" t="s">
        <v>288</v>
      </c>
      <c r="I282">
        <v>3297.25</v>
      </c>
      <c r="J282">
        <v>3297.25</v>
      </c>
      <c r="K282">
        <v>0</v>
      </c>
      <c r="L282">
        <v>0</v>
      </c>
      <c r="M282">
        <v>0</v>
      </c>
      <c r="N282">
        <v>3297.25</v>
      </c>
      <c r="O282" s="14">
        <f t="shared" ca="1" si="4"/>
        <v>109</v>
      </c>
      <c r="P282" t="s">
        <v>589</v>
      </c>
    </row>
    <row r="283" spans="1:16" ht="12.75" customHeight="1" x14ac:dyDescent="0.2">
      <c r="A283" t="s">
        <v>604</v>
      </c>
      <c r="B283" t="s">
        <v>651</v>
      </c>
      <c r="C283" t="s">
        <v>634</v>
      </c>
      <c r="D283" t="s">
        <v>755</v>
      </c>
      <c r="E283" t="s">
        <v>399</v>
      </c>
      <c r="F283" s="1">
        <v>46034</v>
      </c>
      <c r="G283" s="1">
        <v>46064</v>
      </c>
      <c r="H283" t="s">
        <v>602</v>
      </c>
      <c r="I283">
        <v>-3297.25</v>
      </c>
      <c r="J283">
        <v>-3297.25</v>
      </c>
      <c r="K283">
        <v>0</v>
      </c>
      <c r="L283">
        <v>0</v>
      </c>
      <c r="M283">
        <v>0</v>
      </c>
      <c r="N283">
        <v>-3297.25</v>
      </c>
      <c r="O283" s="14">
        <f t="shared" ca="1" si="4"/>
        <v>106</v>
      </c>
      <c r="P283" t="s">
        <v>589</v>
      </c>
    </row>
    <row r="284" spans="1:16" ht="12.75" customHeight="1" x14ac:dyDescent="0.2">
      <c r="A284" t="s">
        <v>604</v>
      </c>
      <c r="B284" t="s">
        <v>651</v>
      </c>
      <c r="C284" t="s">
        <v>634</v>
      </c>
      <c r="D284" t="s">
        <v>755</v>
      </c>
      <c r="E284" t="s">
        <v>399</v>
      </c>
      <c r="F284" s="1">
        <v>46055</v>
      </c>
      <c r="G284" s="1">
        <v>46085</v>
      </c>
      <c r="H284" t="s">
        <v>423</v>
      </c>
      <c r="I284">
        <v>1028.5</v>
      </c>
      <c r="J284">
        <v>1028.5</v>
      </c>
      <c r="K284">
        <v>0</v>
      </c>
      <c r="L284">
        <v>0</v>
      </c>
      <c r="M284">
        <v>1028.5</v>
      </c>
      <c r="N284">
        <v>0</v>
      </c>
      <c r="O284" s="14">
        <f t="shared" ca="1" si="4"/>
        <v>85</v>
      </c>
      <c r="P284" t="s">
        <v>589</v>
      </c>
    </row>
    <row r="285" spans="1:16" ht="12.75" customHeight="1" x14ac:dyDescent="0.2">
      <c r="A285" t="s">
        <v>604</v>
      </c>
      <c r="B285" t="s">
        <v>651</v>
      </c>
      <c r="C285" t="s">
        <v>634</v>
      </c>
      <c r="D285" t="s">
        <v>755</v>
      </c>
      <c r="E285" t="s">
        <v>399</v>
      </c>
      <c r="F285" s="1">
        <v>46055</v>
      </c>
      <c r="G285" s="1">
        <v>46085</v>
      </c>
      <c r="H285" t="s">
        <v>492</v>
      </c>
      <c r="I285">
        <v>19.12</v>
      </c>
      <c r="J285">
        <v>19.12</v>
      </c>
      <c r="K285">
        <v>0</v>
      </c>
      <c r="L285">
        <v>0</v>
      </c>
      <c r="M285">
        <v>19.12</v>
      </c>
      <c r="N285">
        <v>0</v>
      </c>
      <c r="O285" s="14">
        <f t="shared" ca="1" si="4"/>
        <v>85</v>
      </c>
      <c r="P285" t="s">
        <v>589</v>
      </c>
    </row>
    <row r="286" spans="1:16" ht="12.75" customHeight="1" x14ac:dyDescent="0.2">
      <c r="A286" t="s">
        <v>604</v>
      </c>
      <c r="B286" t="s">
        <v>651</v>
      </c>
      <c r="C286" t="s">
        <v>634</v>
      </c>
      <c r="D286" t="s">
        <v>755</v>
      </c>
      <c r="E286" t="s">
        <v>399</v>
      </c>
      <c r="F286" s="1">
        <v>46064</v>
      </c>
      <c r="G286" s="1">
        <v>46094</v>
      </c>
      <c r="H286" t="s">
        <v>5</v>
      </c>
      <c r="I286">
        <v>-1028.5</v>
      </c>
      <c r="J286">
        <v>-1028.5</v>
      </c>
      <c r="K286">
        <v>0</v>
      </c>
      <c r="L286">
        <v>0</v>
      </c>
      <c r="M286">
        <v>-1028.5</v>
      </c>
      <c r="N286">
        <v>0</v>
      </c>
      <c r="O286" s="14">
        <f t="shared" ca="1" si="4"/>
        <v>76</v>
      </c>
      <c r="P286" t="s">
        <v>589</v>
      </c>
    </row>
    <row r="287" spans="1:16" ht="12.75" customHeight="1" x14ac:dyDescent="0.2">
      <c r="A287" t="s">
        <v>604</v>
      </c>
      <c r="B287" t="s">
        <v>651</v>
      </c>
      <c r="C287" t="s">
        <v>634</v>
      </c>
      <c r="D287" t="s">
        <v>755</v>
      </c>
      <c r="E287" t="s">
        <v>399</v>
      </c>
      <c r="F287" s="1">
        <v>46064</v>
      </c>
      <c r="G287" s="1">
        <v>46094</v>
      </c>
      <c r="H287" t="s">
        <v>9</v>
      </c>
      <c r="I287">
        <v>-19.12</v>
      </c>
      <c r="J287">
        <v>-19.12</v>
      </c>
      <c r="K287">
        <v>0</v>
      </c>
      <c r="L287">
        <v>0</v>
      </c>
      <c r="M287">
        <v>-19.12</v>
      </c>
      <c r="N287">
        <v>0</v>
      </c>
      <c r="O287" s="14">
        <f t="shared" ca="1" si="4"/>
        <v>76</v>
      </c>
      <c r="P287" t="s">
        <v>589</v>
      </c>
    </row>
    <row r="288" spans="1:16" ht="12.75" customHeight="1" x14ac:dyDescent="0.2">
      <c r="A288" t="s">
        <v>604</v>
      </c>
      <c r="B288" t="s">
        <v>651</v>
      </c>
      <c r="C288" t="s">
        <v>634</v>
      </c>
      <c r="D288" t="s">
        <v>755</v>
      </c>
      <c r="E288" t="s">
        <v>399</v>
      </c>
      <c r="F288" s="1">
        <v>46118</v>
      </c>
      <c r="G288" s="1">
        <v>46148</v>
      </c>
      <c r="H288" t="s">
        <v>1275</v>
      </c>
      <c r="I288">
        <v>1028.5</v>
      </c>
      <c r="J288">
        <v>1028.5</v>
      </c>
      <c r="K288">
        <v>1028.5</v>
      </c>
      <c r="L288">
        <v>0</v>
      </c>
      <c r="M288">
        <v>0</v>
      </c>
      <c r="N288">
        <v>0</v>
      </c>
      <c r="O288" s="14">
        <f t="shared" ca="1" si="4"/>
        <v>22</v>
      </c>
      <c r="P288" t="s">
        <v>589</v>
      </c>
    </row>
    <row r="289" spans="1:16" ht="12.75" customHeight="1" x14ac:dyDescent="0.2">
      <c r="A289" t="s">
        <v>604</v>
      </c>
      <c r="B289" t="s">
        <v>651</v>
      </c>
      <c r="C289" t="s">
        <v>634</v>
      </c>
      <c r="D289" t="s">
        <v>755</v>
      </c>
      <c r="E289" t="s">
        <v>399</v>
      </c>
      <c r="F289" s="1">
        <v>46118</v>
      </c>
      <c r="G289" s="1">
        <v>46148</v>
      </c>
      <c r="H289" t="s">
        <v>186</v>
      </c>
      <c r="I289">
        <v>55.66</v>
      </c>
      <c r="J289">
        <v>55.66</v>
      </c>
      <c r="K289">
        <v>55.66</v>
      </c>
      <c r="L289">
        <v>0</v>
      </c>
      <c r="M289">
        <v>0</v>
      </c>
      <c r="N289">
        <v>0</v>
      </c>
      <c r="O289" s="14">
        <f t="shared" ca="1" si="4"/>
        <v>22</v>
      </c>
      <c r="P289" t="s">
        <v>589</v>
      </c>
    </row>
    <row r="290" spans="1:16" ht="12.75" customHeight="1" x14ac:dyDescent="0.2">
      <c r="A290" t="s">
        <v>604</v>
      </c>
      <c r="B290" t="s">
        <v>651</v>
      </c>
      <c r="C290" t="s">
        <v>1281</v>
      </c>
      <c r="D290" t="s">
        <v>673</v>
      </c>
      <c r="E290" t="s">
        <v>399</v>
      </c>
      <c r="F290" s="1">
        <v>45993</v>
      </c>
      <c r="G290" s="1">
        <v>46023</v>
      </c>
      <c r="H290" t="s">
        <v>1142</v>
      </c>
      <c r="I290">
        <v>126</v>
      </c>
      <c r="J290">
        <v>126</v>
      </c>
      <c r="K290">
        <v>0</v>
      </c>
      <c r="L290">
        <v>0</v>
      </c>
      <c r="M290">
        <v>0</v>
      </c>
      <c r="N290">
        <v>126</v>
      </c>
      <c r="O290" s="14">
        <f t="shared" ca="1" si="4"/>
        <v>147</v>
      </c>
      <c r="P290" t="s">
        <v>589</v>
      </c>
    </row>
    <row r="291" spans="1:16" ht="12.75" customHeight="1" x14ac:dyDescent="0.2">
      <c r="A291" t="s">
        <v>604</v>
      </c>
      <c r="B291" t="s">
        <v>651</v>
      </c>
      <c r="C291" t="s">
        <v>1281</v>
      </c>
      <c r="D291" t="s">
        <v>673</v>
      </c>
      <c r="E291" t="s">
        <v>399</v>
      </c>
      <c r="F291" s="1">
        <v>46118</v>
      </c>
      <c r="G291" s="1">
        <v>46148</v>
      </c>
      <c r="H291" t="s">
        <v>258</v>
      </c>
      <c r="I291">
        <v>126.05</v>
      </c>
      <c r="J291">
        <v>126.05</v>
      </c>
      <c r="K291">
        <v>126.05</v>
      </c>
      <c r="L291">
        <v>0</v>
      </c>
      <c r="M291">
        <v>0</v>
      </c>
      <c r="N291">
        <v>0</v>
      </c>
      <c r="O291" s="14">
        <f t="shared" ca="1" si="4"/>
        <v>22</v>
      </c>
      <c r="P291" t="s">
        <v>589</v>
      </c>
    </row>
    <row r="292" spans="1:16" ht="12.75" customHeight="1" x14ac:dyDescent="0.2">
      <c r="A292" t="s">
        <v>604</v>
      </c>
      <c r="B292" t="s">
        <v>651</v>
      </c>
      <c r="C292" t="s">
        <v>1281</v>
      </c>
      <c r="D292" t="s">
        <v>673</v>
      </c>
      <c r="E292" t="s">
        <v>399</v>
      </c>
      <c r="F292" s="1">
        <v>46118</v>
      </c>
      <c r="G292" s="1">
        <v>46148</v>
      </c>
      <c r="H292" t="s">
        <v>1265</v>
      </c>
      <c r="I292">
        <v>193.6</v>
      </c>
      <c r="J292">
        <v>193.6</v>
      </c>
      <c r="K292">
        <v>193.6</v>
      </c>
      <c r="L292">
        <v>0</v>
      </c>
      <c r="M292">
        <v>0</v>
      </c>
      <c r="N292">
        <v>0</v>
      </c>
      <c r="O292" s="14">
        <f t="shared" ca="1" si="4"/>
        <v>22</v>
      </c>
      <c r="P292" t="s">
        <v>589</v>
      </c>
    </row>
    <row r="293" spans="1:16" ht="12.75" customHeight="1" x14ac:dyDescent="0.2">
      <c r="A293" t="s">
        <v>604</v>
      </c>
      <c r="B293" t="s">
        <v>651</v>
      </c>
      <c r="C293" t="s">
        <v>782</v>
      </c>
      <c r="D293" t="s">
        <v>1136</v>
      </c>
      <c r="E293" t="s">
        <v>399</v>
      </c>
      <c r="F293" s="1">
        <v>46118</v>
      </c>
      <c r="G293" s="1">
        <v>46148</v>
      </c>
      <c r="H293" t="s">
        <v>1092</v>
      </c>
      <c r="I293">
        <v>42.35</v>
      </c>
      <c r="J293">
        <v>42.35</v>
      </c>
      <c r="K293">
        <v>42.35</v>
      </c>
      <c r="L293">
        <v>0</v>
      </c>
      <c r="M293">
        <v>0</v>
      </c>
      <c r="N293">
        <v>0</v>
      </c>
      <c r="O293" s="14">
        <f t="shared" ca="1" si="4"/>
        <v>22</v>
      </c>
      <c r="P293" t="s">
        <v>589</v>
      </c>
    </row>
    <row r="294" spans="1:16" ht="12.75" customHeight="1" x14ac:dyDescent="0.2">
      <c r="A294" t="s">
        <v>604</v>
      </c>
      <c r="B294" t="s">
        <v>651</v>
      </c>
      <c r="C294" t="s">
        <v>1491</v>
      </c>
      <c r="D294" t="s">
        <v>1492</v>
      </c>
      <c r="E294" t="s">
        <v>399</v>
      </c>
      <c r="F294" s="1">
        <v>46030</v>
      </c>
      <c r="G294" s="1">
        <v>46044</v>
      </c>
      <c r="H294" t="s">
        <v>1493</v>
      </c>
      <c r="I294">
        <v>319.44</v>
      </c>
      <c r="J294">
        <v>319.44</v>
      </c>
      <c r="K294">
        <v>0</v>
      </c>
      <c r="L294">
        <v>0</v>
      </c>
      <c r="M294">
        <v>0</v>
      </c>
      <c r="N294">
        <v>319.44</v>
      </c>
      <c r="O294" s="14">
        <f t="shared" ca="1" si="4"/>
        <v>126</v>
      </c>
      <c r="P294" t="s">
        <v>589</v>
      </c>
    </row>
    <row r="295" spans="1:16" ht="12.75" customHeight="1" x14ac:dyDescent="0.2">
      <c r="A295" t="s">
        <v>604</v>
      </c>
      <c r="B295" t="s">
        <v>651</v>
      </c>
      <c r="C295" t="s">
        <v>889</v>
      </c>
      <c r="D295" t="s">
        <v>822</v>
      </c>
      <c r="E295" t="s">
        <v>1194</v>
      </c>
      <c r="F295" s="1">
        <v>43818</v>
      </c>
      <c r="G295" s="1">
        <v>43848</v>
      </c>
      <c r="H295" t="s">
        <v>751</v>
      </c>
      <c r="I295">
        <v>-48.4</v>
      </c>
      <c r="J295">
        <v>-48.4</v>
      </c>
      <c r="K295">
        <v>0</v>
      </c>
      <c r="L295">
        <v>0</v>
      </c>
      <c r="M295">
        <v>0</v>
      </c>
      <c r="N295">
        <v>-48.4</v>
      </c>
      <c r="O295" s="14">
        <f t="shared" ca="1" si="4"/>
        <v>2322</v>
      </c>
      <c r="P295" t="s">
        <v>1066</v>
      </c>
    </row>
    <row r="296" spans="1:16" ht="12.75" customHeight="1" x14ac:dyDescent="0.2">
      <c r="A296" t="s">
        <v>604</v>
      </c>
      <c r="B296" t="s">
        <v>651</v>
      </c>
      <c r="C296" t="s">
        <v>889</v>
      </c>
      <c r="D296" t="s">
        <v>822</v>
      </c>
      <c r="E296" t="s">
        <v>399</v>
      </c>
      <c r="F296" s="1">
        <v>44203</v>
      </c>
      <c r="G296" s="1">
        <v>44233</v>
      </c>
      <c r="H296" t="s">
        <v>174</v>
      </c>
      <c r="I296">
        <v>72.599999999999994</v>
      </c>
      <c r="J296">
        <v>72.599999999999994</v>
      </c>
      <c r="K296">
        <v>0</v>
      </c>
      <c r="L296">
        <v>0</v>
      </c>
      <c r="M296">
        <v>0</v>
      </c>
      <c r="N296">
        <v>72.599999999999994</v>
      </c>
      <c r="O296" s="14">
        <f t="shared" ca="1" si="4"/>
        <v>1937</v>
      </c>
      <c r="P296" t="s">
        <v>1066</v>
      </c>
    </row>
    <row r="297" spans="1:16" ht="12.75" customHeight="1" x14ac:dyDescent="0.2">
      <c r="A297" t="s">
        <v>604</v>
      </c>
      <c r="B297" t="s">
        <v>651</v>
      </c>
      <c r="C297" t="s">
        <v>889</v>
      </c>
      <c r="D297" t="s">
        <v>822</v>
      </c>
      <c r="E297" t="s">
        <v>399</v>
      </c>
      <c r="F297" s="1">
        <v>44378</v>
      </c>
      <c r="G297" s="1">
        <v>44408</v>
      </c>
      <c r="H297" t="s">
        <v>49</v>
      </c>
      <c r="I297">
        <v>72.599999999999994</v>
      </c>
      <c r="J297">
        <v>72.599999999999994</v>
      </c>
      <c r="K297">
        <v>0</v>
      </c>
      <c r="L297">
        <v>0</v>
      </c>
      <c r="M297">
        <v>0</v>
      </c>
      <c r="N297">
        <v>72.599999999999994</v>
      </c>
      <c r="O297" s="14">
        <f t="shared" ca="1" si="4"/>
        <v>1762</v>
      </c>
      <c r="P297" t="s">
        <v>1066</v>
      </c>
    </row>
    <row r="298" spans="1:16" ht="12.75" customHeight="1" x14ac:dyDescent="0.2">
      <c r="A298" t="s">
        <v>604</v>
      </c>
      <c r="B298" t="s">
        <v>651</v>
      </c>
      <c r="C298" t="s">
        <v>889</v>
      </c>
      <c r="D298" t="s">
        <v>822</v>
      </c>
      <c r="E298" t="s">
        <v>399</v>
      </c>
      <c r="F298" s="1">
        <v>44470</v>
      </c>
      <c r="G298" s="1">
        <v>44500</v>
      </c>
      <c r="H298" t="s">
        <v>637</v>
      </c>
      <c r="I298">
        <v>72.599999999999994</v>
      </c>
      <c r="J298">
        <v>72.599999999999994</v>
      </c>
      <c r="K298">
        <v>0</v>
      </c>
      <c r="L298">
        <v>0</v>
      </c>
      <c r="M298">
        <v>0</v>
      </c>
      <c r="N298">
        <v>72.599999999999994</v>
      </c>
      <c r="O298" s="14">
        <f t="shared" ca="1" si="4"/>
        <v>1670</v>
      </c>
      <c r="P298" t="s">
        <v>1066</v>
      </c>
    </row>
    <row r="299" spans="1:16" ht="12.75" customHeight="1" x14ac:dyDescent="0.2">
      <c r="A299" t="s">
        <v>604</v>
      </c>
      <c r="B299" t="s">
        <v>651</v>
      </c>
      <c r="C299" t="s">
        <v>889</v>
      </c>
      <c r="D299" t="s">
        <v>822</v>
      </c>
      <c r="E299" t="s">
        <v>399</v>
      </c>
      <c r="F299" s="1">
        <v>44573</v>
      </c>
      <c r="G299" s="1">
        <v>44603</v>
      </c>
      <c r="H299" t="s">
        <v>1101</v>
      </c>
      <c r="I299">
        <v>72.599999999999994</v>
      </c>
      <c r="J299">
        <v>72.599999999999994</v>
      </c>
      <c r="K299">
        <v>0</v>
      </c>
      <c r="L299">
        <v>0</v>
      </c>
      <c r="M299">
        <v>0</v>
      </c>
      <c r="N299">
        <v>72.599999999999994</v>
      </c>
      <c r="O299" s="14">
        <f t="shared" ca="1" si="4"/>
        <v>1567</v>
      </c>
      <c r="P299" t="s">
        <v>1066</v>
      </c>
    </row>
    <row r="300" spans="1:16" ht="12.75" customHeight="1" x14ac:dyDescent="0.2">
      <c r="A300" t="s">
        <v>604</v>
      </c>
      <c r="B300" t="s">
        <v>651</v>
      </c>
      <c r="C300" t="s">
        <v>889</v>
      </c>
      <c r="D300" t="s">
        <v>822</v>
      </c>
      <c r="E300" t="s">
        <v>399</v>
      </c>
      <c r="F300" s="1">
        <v>44754</v>
      </c>
      <c r="G300" s="1">
        <v>44784</v>
      </c>
      <c r="H300" t="s">
        <v>799</v>
      </c>
      <c r="I300">
        <v>72.599999999999994</v>
      </c>
      <c r="J300">
        <v>72.599999999999994</v>
      </c>
      <c r="K300">
        <v>0</v>
      </c>
      <c r="L300">
        <v>0</v>
      </c>
      <c r="M300">
        <v>0</v>
      </c>
      <c r="N300">
        <v>72.599999999999994</v>
      </c>
      <c r="O300" s="14">
        <f t="shared" ca="1" si="4"/>
        <v>1386</v>
      </c>
      <c r="P300" t="s">
        <v>1066</v>
      </c>
    </row>
    <row r="301" spans="1:16" ht="12.75" customHeight="1" x14ac:dyDescent="0.2">
      <c r="A301" t="s">
        <v>604</v>
      </c>
      <c r="B301" t="s">
        <v>651</v>
      </c>
      <c r="C301" t="s">
        <v>889</v>
      </c>
      <c r="D301" t="s">
        <v>822</v>
      </c>
      <c r="E301" t="s">
        <v>399</v>
      </c>
      <c r="F301" s="1">
        <v>44837</v>
      </c>
      <c r="G301" s="1">
        <v>44867</v>
      </c>
      <c r="H301" t="s">
        <v>1044</v>
      </c>
      <c r="I301">
        <v>72.599999999999994</v>
      </c>
      <c r="J301">
        <v>72.599999999999994</v>
      </c>
      <c r="K301">
        <v>0</v>
      </c>
      <c r="L301">
        <v>0</v>
      </c>
      <c r="M301">
        <v>0</v>
      </c>
      <c r="N301">
        <v>72.599999999999994</v>
      </c>
      <c r="O301" s="14">
        <f t="shared" ca="1" si="4"/>
        <v>1303</v>
      </c>
      <c r="P301" t="s">
        <v>1066</v>
      </c>
    </row>
    <row r="302" spans="1:16" ht="12.75" customHeight="1" x14ac:dyDescent="0.2">
      <c r="A302" t="s">
        <v>604</v>
      </c>
      <c r="B302" t="s">
        <v>651</v>
      </c>
      <c r="C302" t="s">
        <v>889</v>
      </c>
      <c r="D302" t="s">
        <v>822</v>
      </c>
      <c r="E302" t="s">
        <v>399</v>
      </c>
      <c r="F302" s="1">
        <v>44942</v>
      </c>
      <c r="G302" s="1">
        <v>44972</v>
      </c>
      <c r="H302" t="s">
        <v>800</v>
      </c>
      <c r="I302">
        <v>72.599999999999994</v>
      </c>
      <c r="J302">
        <v>72.599999999999994</v>
      </c>
      <c r="K302">
        <v>0</v>
      </c>
      <c r="L302">
        <v>0</v>
      </c>
      <c r="M302">
        <v>0</v>
      </c>
      <c r="N302">
        <v>72.599999999999994</v>
      </c>
      <c r="O302" s="14">
        <f t="shared" ca="1" si="4"/>
        <v>1198</v>
      </c>
      <c r="P302" t="s">
        <v>1066</v>
      </c>
    </row>
    <row r="303" spans="1:16" ht="12.75" customHeight="1" x14ac:dyDescent="0.2">
      <c r="A303" t="s">
        <v>604</v>
      </c>
      <c r="B303" t="s">
        <v>651</v>
      </c>
      <c r="C303" t="s">
        <v>889</v>
      </c>
      <c r="D303" t="s">
        <v>822</v>
      </c>
      <c r="E303" t="s">
        <v>399</v>
      </c>
      <c r="F303" s="1">
        <v>45020</v>
      </c>
      <c r="G303" s="1">
        <v>45050</v>
      </c>
      <c r="H303" t="s">
        <v>955</v>
      </c>
      <c r="I303">
        <v>72.599999999999994</v>
      </c>
      <c r="J303">
        <v>72.599999999999994</v>
      </c>
      <c r="K303">
        <v>0</v>
      </c>
      <c r="L303">
        <v>0</v>
      </c>
      <c r="M303">
        <v>0</v>
      </c>
      <c r="N303">
        <v>72.599999999999994</v>
      </c>
      <c r="O303" s="14">
        <f t="shared" ca="1" si="4"/>
        <v>1120</v>
      </c>
      <c r="P303" t="s">
        <v>1066</v>
      </c>
    </row>
    <row r="304" spans="1:16" ht="12.75" customHeight="1" x14ac:dyDescent="0.2">
      <c r="A304" t="s">
        <v>604</v>
      </c>
      <c r="B304" t="s">
        <v>651</v>
      </c>
      <c r="C304" t="s">
        <v>889</v>
      </c>
      <c r="D304" t="s">
        <v>822</v>
      </c>
      <c r="E304" t="s">
        <v>399</v>
      </c>
      <c r="F304" s="1">
        <v>45110</v>
      </c>
      <c r="G304" s="1">
        <v>45140</v>
      </c>
      <c r="H304" t="s">
        <v>666</v>
      </c>
      <c r="I304">
        <v>72.599999999999994</v>
      </c>
      <c r="J304">
        <v>72.599999999999994</v>
      </c>
      <c r="K304">
        <v>0</v>
      </c>
      <c r="L304">
        <v>0</v>
      </c>
      <c r="M304">
        <v>0</v>
      </c>
      <c r="N304">
        <v>72.599999999999994</v>
      </c>
      <c r="O304" s="14">
        <f t="shared" ca="1" si="4"/>
        <v>1030</v>
      </c>
      <c r="P304" t="s">
        <v>1066</v>
      </c>
    </row>
    <row r="305" spans="1:16" ht="12.75" customHeight="1" x14ac:dyDescent="0.2">
      <c r="A305" t="s">
        <v>604</v>
      </c>
      <c r="B305" t="s">
        <v>651</v>
      </c>
      <c r="C305" t="s">
        <v>889</v>
      </c>
      <c r="D305" t="s">
        <v>822</v>
      </c>
      <c r="E305" t="s">
        <v>399</v>
      </c>
      <c r="F305" s="1">
        <v>45202</v>
      </c>
      <c r="G305" s="1">
        <v>45232</v>
      </c>
      <c r="H305" t="s">
        <v>282</v>
      </c>
      <c r="I305">
        <v>72.599999999999994</v>
      </c>
      <c r="J305">
        <v>72.599999999999994</v>
      </c>
      <c r="K305">
        <v>0</v>
      </c>
      <c r="L305">
        <v>0</v>
      </c>
      <c r="M305">
        <v>0</v>
      </c>
      <c r="N305">
        <v>72.599999999999994</v>
      </c>
      <c r="O305" s="14">
        <f t="shared" ca="1" si="4"/>
        <v>938</v>
      </c>
      <c r="P305" t="s">
        <v>1066</v>
      </c>
    </row>
    <row r="306" spans="1:16" ht="12.75" customHeight="1" x14ac:dyDescent="0.2">
      <c r="A306" t="s">
        <v>604</v>
      </c>
      <c r="B306" t="s">
        <v>651</v>
      </c>
      <c r="C306" t="s">
        <v>889</v>
      </c>
      <c r="D306" t="s">
        <v>822</v>
      </c>
      <c r="E306" t="s">
        <v>399</v>
      </c>
      <c r="F306" s="1">
        <v>45295</v>
      </c>
      <c r="G306" s="1">
        <v>45325</v>
      </c>
      <c r="H306" t="s">
        <v>47</v>
      </c>
      <c r="I306">
        <v>72.599999999999994</v>
      </c>
      <c r="J306">
        <v>72.599999999999994</v>
      </c>
      <c r="K306">
        <v>0</v>
      </c>
      <c r="L306">
        <v>0</v>
      </c>
      <c r="M306">
        <v>0</v>
      </c>
      <c r="N306">
        <v>72.599999999999994</v>
      </c>
      <c r="O306" s="14">
        <f t="shared" ca="1" si="4"/>
        <v>845</v>
      </c>
      <c r="P306" t="s">
        <v>589</v>
      </c>
    </row>
    <row r="307" spans="1:16" ht="12.75" customHeight="1" x14ac:dyDescent="0.2">
      <c r="A307" t="s">
        <v>604</v>
      </c>
      <c r="B307" t="s">
        <v>651</v>
      </c>
      <c r="C307" t="s">
        <v>889</v>
      </c>
      <c r="D307" t="s">
        <v>822</v>
      </c>
      <c r="E307" t="s">
        <v>399</v>
      </c>
      <c r="F307" s="1">
        <v>45386</v>
      </c>
      <c r="G307" s="1">
        <v>45416</v>
      </c>
      <c r="H307" t="s">
        <v>978</v>
      </c>
      <c r="I307">
        <v>72.599999999999994</v>
      </c>
      <c r="J307">
        <v>72.599999999999994</v>
      </c>
      <c r="K307">
        <v>0</v>
      </c>
      <c r="L307">
        <v>0</v>
      </c>
      <c r="M307">
        <v>0</v>
      </c>
      <c r="N307">
        <v>72.599999999999994</v>
      </c>
      <c r="O307" s="14">
        <f t="shared" ca="1" si="4"/>
        <v>754</v>
      </c>
      <c r="P307" t="s">
        <v>589</v>
      </c>
    </row>
    <row r="308" spans="1:16" ht="12.75" customHeight="1" x14ac:dyDescent="0.2">
      <c r="A308" t="s">
        <v>604</v>
      </c>
      <c r="B308" t="s">
        <v>651</v>
      </c>
      <c r="C308" t="s">
        <v>889</v>
      </c>
      <c r="D308" t="s">
        <v>822</v>
      </c>
      <c r="E308" t="s">
        <v>399</v>
      </c>
      <c r="F308" s="1">
        <v>45481</v>
      </c>
      <c r="G308" s="1">
        <v>45511</v>
      </c>
      <c r="H308" t="s">
        <v>753</v>
      </c>
      <c r="I308">
        <v>72.599999999999994</v>
      </c>
      <c r="J308">
        <v>72.599999999999994</v>
      </c>
      <c r="K308">
        <v>0</v>
      </c>
      <c r="L308">
        <v>0</v>
      </c>
      <c r="M308">
        <v>0</v>
      </c>
      <c r="N308">
        <v>72.599999999999994</v>
      </c>
      <c r="O308" s="14">
        <f t="shared" ca="1" si="4"/>
        <v>659</v>
      </c>
      <c r="P308" t="s">
        <v>589</v>
      </c>
    </row>
    <row r="309" spans="1:16" ht="12.75" customHeight="1" x14ac:dyDescent="0.2">
      <c r="A309" t="s">
        <v>604</v>
      </c>
      <c r="B309" t="s">
        <v>651</v>
      </c>
      <c r="C309" t="s">
        <v>640</v>
      </c>
      <c r="D309" t="s">
        <v>1210</v>
      </c>
      <c r="E309" t="s">
        <v>399</v>
      </c>
      <c r="F309" s="1">
        <v>44658</v>
      </c>
      <c r="G309" s="1">
        <v>44688</v>
      </c>
      <c r="H309" t="s">
        <v>994</v>
      </c>
      <c r="I309">
        <v>72.599999999999994</v>
      </c>
      <c r="J309">
        <v>57</v>
      </c>
      <c r="K309">
        <v>0</v>
      </c>
      <c r="L309">
        <v>0</v>
      </c>
      <c r="M309">
        <v>0</v>
      </c>
      <c r="N309">
        <v>57</v>
      </c>
      <c r="O309" s="14">
        <f t="shared" ca="1" si="4"/>
        <v>1482</v>
      </c>
      <c r="P309" t="s">
        <v>1066</v>
      </c>
    </row>
    <row r="310" spans="1:16" ht="12.75" customHeight="1" x14ac:dyDescent="0.2">
      <c r="A310" t="s">
        <v>604</v>
      </c>
      <c r="B310" t="s">
        <v>651</v>
      </c>
      <c r="C310" t="s">
        <v>640</v>
      </c>
      <c r="D310" t="s">
        <v>1210</v>
      </c>
      <c r="E310" t="s">
        <v>399</v>
      </c>
      <c r="F310" s="1">
        <v>44792</v>
      </c>
      <c r="G310" s="1">
        <v>44822</v>
      </c>
      <c r="H310" t="s">
        <v>1078</v>
      </c>
      <c r="I310">
        <v>57</v>
      </c>
      <c r="J310">
        <v>57</v>
      </c>
      <c r="K310">
        <v>0</v>
      </c>
      <c r="L310">
        <v>0</v>
      </c>
      <c r="M310">
        <v>0</v>
      </c>
      <c r="N310">
        <v>57</v>
      </c>
      <c r="O310" s="14">
        <f t="shared" ca="1" si="4"/>
        <v>1348</v>
      </c>
      <c r="P310" t="s">
        <v>1066</v>
      </c>
    </row>
    <row r="311" spans="1:16" ht="12.75" customHeight="1" x14ac:dyDescent="0.2">
      <c r="A311" t="s">
        <v>604</v>
      </c>
      <c r="B311" t="s">
        <v>651</v>
      </c>
      <c r="C311" t="s">
        <v>141</v>
      </c>
      <c r="D311" t="s">
        <v>624</v>
      </c>
      <c r="E311" t="s">
        <v>399</v>
      </c>
      <c r="F311" s="1">
        <v>46149</v>
      </c>
      <c r="G311" s="1">
        <v>46163</v>
      </c>
      <c r="H311" t="s">
        <v>1221</v>
      </c>
      <c r="I311">
        <v>272.25</v>
      </c>
      <c r="J311">
        <v>272.25</v>
      </c>
      <c r="K311">
        <v>272.25</v>
      </c>
      <c r="L311">
        <v>0</v>
      </c>
      <c r="M311">
        <v>0</v>
      </c>
      <c r="N311">
        <v>0</v>
      </c>
      <c r="O311" s="14">
        <f t="shared" ca="1" si="4"/>
        <v>7</v>
      </c>
      <c r="P311" t="s">
        <v>589</v>
      </c>
    </row>
    <row r="312" spans="1:16" ht="12.75" customHeight="1" x14ac:dyDescent="0.2">
      <c r="A312" t="s">
        <v>604</v>
      </c>
      <c r="B312" t="s">
        <v>651</v>
      </c>
      <c r="C312" t="s">
        <v>37</v>
      </c>
      <c r="D312" t="s">
        <v>1226</v>
      </c>
      <c r="E312" t="s">
        <v>399</v>
      </c>
      <c r="F312" s="1">
        <v>43221</v>
      </c>
      <c r="G312" s="1">
        <v>43251</v>
      </c>
      <c r="H312" t="s">
        <v>97</v>
      </c>
      <c r="I312">
        <v>605.01</v>
      </c>
      <c r="J312">
        <v>605.01</v>
      </c>
      <c r="K312">
        <v>0</v>
      </c>
      <c r="L312">
        <v>0</v>
      </c>
      <c r="M312">
        <v>0</v>
      </c>
      <c r="N312">
        <v>605.01</v>
      </c>
      <c r="O312" s="14">
        <f t="shared" ca="1" si="4"/>
        <v>2919</v>
      </c>
      <c r="P312" t="s">
        <v>1066</v>
      </c>
    </row>
    <row r="313" spans="1:16" ht="12.75" customHeight="1" x14ac:dyDescent="0.2">
      <c r="A313" t="s">
        <v>604</v>
      </c>
      <c r="B313" t="s">
        <v>651</v>
      </c>
      <c r="C313" t="s">
        <v>37</v>
      </c>
      <c r="D313" t="s">
        <v>1226</v>
      </c>
      <c r="E313" t="s">
        <v>399</v>
      </c>
      <c r="F313" s="1">
        <v>43221</v>
      </c>
      <c r="G313" s="1">
        <v>43251</v>
      </c>
      <c r="H313" t="s">
        <v>852</v>
      </c>
      <c r="I313">
        <v>605.01</v>
      </c>
      <c r="J313">
        <v>605.01</v>
      </c>
      <c r="K313">
        <v>0</v>
      </c>
      <c r="L313">
        <v>0</v>
      </c>
      <c r="M313">
        <v>0</v>
      </c>
      <c r="N313">
        <v>605.01</v>
      </c>
      <c r="O313" s="14">
        <f t="shared" ca="1" si="4"/>
        <v>2919</v>
      </c>
      <c r="P313" t="s">
        <v>1066</v>
      </c>
    </row>
    <row r="314" spans="1:16" ht="12.75" customHeight="1" x14ac:dyDescent="0.2">
      <c r="A314" t="s">
        <v>604</v>
      </c>
      <c r="B314" t="s">
        <v>651</v>
      </c>
      <c r="C314" t="s">
        <v>37</v>
      </c>
      <c r="D314" t="s">
        <v>1226</v>
      </c>
      <c r="E314" t="s">
        <v>399</v>
      </c>
      <c r="F314" s="1">
        <v>43445</v>
      </c>
      <c r="G314" s="1">
        <v>43475</v>
      </c>
      <c r="H314" t="s">
        <v>861</v>
      </c>
      <c r="I314">
        <v>264.69</v>
      </c>
      <c r="J314">
        <v>264.69</v>
      </c>
      <c r="K314">
        <v>0</v>
      </c>
      <c r="L314">
        <v>0</v>
      </c>
      <c r="M314">
        <v>0</v>
      </c>
      <c r="N314">
        <v>264.69</v>
      </c>
      <c r="O314" s="14">
        <f t="shared" ca="1" si="4"/>
        <v>2695</v>
      </c>
      <c r="P314" t="s">
        <v>1066</v>
      </c>
    </row>
    <row r="315" spans="1:16" ht="12.75" customHeight="1" x14ac:dyDescent="0.2">
      <c r="A315" t="s">
        <v>604</v>
      </c>
      <c r="B315" t="s">
        <v>651</v>
      </c>
      <c r="C315" t="s">
        <v>45</v>
      </c>
      <c r="D315" t="s">
        <v>989</v>
      </c>
      <c r="E315" t="s">
        <v>399</v>
      </c>
      <c r="F315" s="1">
        <v>46118</v>
      </c>
      <c r="G315" s="1">
        <v>46148</v>
      </c>
      <c r="H315" t="s">
        <v>221</v>
      </c>
      <c r="I315">
        <v>574.75</v>
      </c>
      <c r="J315">
        <v>574.75</v>
      </c>
      <c r="K315">
        <v>574.75</v>
      </c>
      <c r="L315">
        <v>0</v>
      </c>
      <c r="M315">
        <v>0</v>
      </c>
      <c r="N315">
        <v>0</v>
      </c>
      <c r="O315" s="14">
        <f t="shared" ca="1" si="4"/>
        <v>22</v>
      </c>
      <c r="P315" t="s">
        <v>589</v>
      </c>
    </row>
    <row r="316" spans="1:16" ht="12.75" customHeight="1" x14ac:dyDescent="0.2">
      <c r="A316" t="s">
        <v>604</v>
      </c>
      <c r="B316" t="s">
        <v>651</v>
      </c>
      <c r="C316" t="s">
        <v>701</v>
      </c>
      <c r="D316" t="s">
        <v>1249</v>
      </c>
      <c r="E316" t="s">
        <v>399</v>
      </c>
      <c r="F316" s="1">
        <v>45712</v>
      </c>
      <c r="G316" s="1">
        <v>45742</v>
      </c>
      <c r="H316" t="s">
        <v>1257</v>
      </c>
      <c r="I316">
        <v>3646.64</v>
      </c>
      <c r="J316">
        <v>3646.64</v>
      </c>
      <c r="K316">
        <v>0</v>
      </c>
      <c r="L316">
        <v>0</v>
      </c>
      <c r="M316">
        <v>0</v>
      </c>
      <c r="N316">
        <v>3646.64</v>
      </c>
      <c r="O316" s="14">
        <f t="shared" ca="1" si="4"/>
        <v>428</v>
      </c>
      <c r="P316" t="s">
        <v>589</v>
      </c>
    </row>
    <row r="317" spans="1:16" ht="12.75" customHeight="1" x14ac:dyDescent="0.2">
      <c r="A317" t="s">
        <v>604</v>
      </c>
      <c r="B317" t="s">
        <v>651</v>
      </c>
      <c r="C317" t="s">
        <v>38</v>
      </c>
      <c r="D317" t="s">
        <v>1118</v>
      </c>
      <c r="E317" t="s">
        <v>399</v>
      </c>
      <c r="F317" s="1">
        <v>43774</v>
      </c>
      <c r="G317" s="1">
        <v>43804</v>
      </c>
      <c r="H317" t="s">
        <v>276</v>
      </c>
      <c r="I317">
        <v>72.599999999999994</v>
      </c>
      <c r="J317">
        <v>17.8</v>
      </c>
      <c r="K317">
        <v>0</v>
      </c>
      <c r="L317">
        <v>0</v>
      </c>
      <c r="M317">
        <v>0</v>
      </c>
      <c r="N317">
        <v>17.8</v>
      </c>
      <c r="O317" s="14">
        <f t="shared" ca="1" si="4"/>
        <v>2366</v>
      </c>
      <c r="P317" t="s">
        <v>1066</v>
      </c>
    </row>
    <row r="318" spans="1:16" ht="12.75" customHeight="1" x14ac:dyDescent="0.2">
      <c r="A318" t="s">
        <v>604</v>
      </c>
      <c r="B318" t="s">
        <v>651</v>
      </c>
      <c r="C318" t="s">
        <v>38</v>
      </c>
      <c r="D318" t="s">
        <v>1118</v>
      </c>
      <c r="E318" t="s">
        <v>399</v>
      </c>
      <c r="F318" s="1">
        <v>43802</v>
      </c>
      <c r="G318" s="1">
        <v>43832</v>
      </c>
      <c r="H318" t="s">
        <v>818</v>
      </c>
      <c r="I318">
        <v>72.599999999999994</v>
      </c>
      <c r="J318">
        <v>72.599999999999994</v>
      </c>
      <c r="K318">
        <v>0</v>
      </c>
      <c r="L318">
        <v>0</v>
      </c>
      <c r="M318">
        <v>0</v>
      </c>
      <c r="N318">
        <v>72.599999999999994</v>
      </c>
      <c r="O318" s="14">
        <f t="shared" ca="1" si="4"/>
        <v>2338</v>
      </c>
      <c r="P318" t="s">
        <v>1066</v>
      </c>
    </row>
    <row r="319" spans="1:16" ht="12.75" customHeight="1" x14ac:dyDescent="0.2">
      <c r="A319" t="s">
        <v>604</v>
      </c>
      <c r="B319" t="s">
        <v>651</v>
      </c>
      <c r="C319" t="s">
        <v>38</v>
      </c>
      <c r="D319" t="s">
        <v>1118</v>
      </c>
      <c r="E319" t="s">
        <v>399</v>
      </c>
      <c r="F319" s="1">
        <v>43865</v>
      </c>
      <c r="G319" s="1">
        <v>43895</v>
      </c>
      <c r="H319" t="s">
        <v>920</v>
      </c>
      <c r="I319">
        <v>72.599999999999994</v>
      </c>
      <c r="J319">
        <v>72.599999999999994</v>
      </c>
      <c r="K319">
        <v>0</v>
      </c>
      <c r="L319">
        <v>0</v>
      </c>
      <c r="M319">
        <v>0</v>
      </c>
      <c r="N319">
        <v>72.599999999999994</v>
      </c>
      <c r="O319" s="14">
        <f t="shared" ca="1" si="4"/>
        <v>2275</v>
      </c>
      <c r="P319" t="s">
        <v>1066</v>
      </c>
    </row>
    <row r="320" spans="1:16" ht="12.75" customHeight="1" x14ac:dyDescent="0.2">
      <c r="A320" t="s">
        <v>604</v>
      </c>
      <c r="B320" t="s">
        <v>651</v>
      </c>
      <c r="C320" t="s">
        <v>38</v>
      </c>
      <c r="D320" t="s">
        <v>1118</v>
      </c>
      <c r="E320" t="s">
        <v>399</v>
      </c>
      <c r="F320" s="1">
        <v>43865</v>
      </c>
      <c r="G320" s="1">
        <v>43895</v>
      </c>
      <c r="H320" t="s">
        <v>369</v>
      </c>
      <c r="I320">
        <v>72.599999999999994</v>
      </c>
      <c r="J320">
        <v>72.599999999999994</v>
      </c>
      <c r="K320">
        <v>0</v>
      </c>
      <c r="L320">
        <v>0</v>
      </c>
      <c r="M320">
        <v>0</v>
      </c>
      <c r="N320">
        <v>72.599999999999994</v>
      </c>
      <c r="O320" s="14">
        <f t="shared" ca="1" si="4"/>
        <v>2275</v>
      </c>
      <c r="P320" t="s">
        <v>1066</v>
      </c>
    </row>
    <row r="321" spans="1:16" ht="12.75" customHeight="1" x14ac:dyDescent="0.2">
      <c r="A321" t="s">
        <v>604</v>
      </c>
      <c r="B321" t="s">
        <v>651</v>
      </c>
      <c r="C321" t="s">
        <v>38</v>
      </c>
      <c r="D321" t="s">
        <v>1118</v>
      </c>
      <c r="E321" t="s">
        <v>399</v>
      </c>
      <c r="F321" s="1">
        <v>43893</v>
      </c>
      <c r="G321" s="1">
        <v>43923</v>
      </c>
      <c r="H321" t="s">
        <v>395</v>
      </c>
      <c r="I321">
        <v>72.599999999999994</v>
      </c>
      <c r="J321">
        <v>72.599999999999994</v>
      </c>
      <c r="K321">
        <v>0</v>
      </c>
      <c r="L321">
        <v>0</v>
      </c>
      <c r="M321">
        <v>0</v>
      </c>
      <c r="N321">
        <v>72.599999999999994</v>
      </c>
      <c r="O321" s="14">
        <f t="shared" ca="1" si="4"/>
        <v>2247</v>
      </c>
      <c r="P321" t="s">
        <v>1066</v>
      </c>
    </row>
    <row r="322" spans="1:16" ht="12.75" customHeight="1" x14ac:dyDescent="0.2">
      <c r="A322" t="s">
        <v>604</v>
      </c>
      <c r="B322" t="s">
        <v>651</v>
      </c>
      <c r="C322" t="s">
        <v>38</v>
      </c>
      <c r="D322" t="s">
        <v>1118</v>
      </c>
      <c r="E322" t="s">
        <v>399</v>
      </c>
      <c r="F322" s="1">
        <v>43928</v>
      </c>
      <c r="G322" s="1">
        <v>43958</v>
      </c>
      <c r="H322" t="s">
        <v>147</v>
      </c>
      <c r="I322">
        <v>72.599999999999994</v>
      </c>
      <c r="J322">
        <v>72.599999999999994</v>
      </c>
      <c r="K322">
        <v>0</v>
      </c>
      <c r="L322">
        <v>0</v>
      </c>
      <c r="M322">
        <v>0</v>
      </c>
      <c r="N322">
        <v>72.599999999999994</v>
      </c>
      <c r="O322" s="14">
        <f t="shared" ca="1" si="4"/>
        <v>2212</v>
      </c>
      <c r="P322" t="s">
        <v>1066</v>
      </c>
    </row>
    <row r="323" spans="1:16" ht="12.75" customHeight="1" x14ac:dyDescent="0.2">
      <c r="A323" t="s">
        <v>604</v>
      </c>
      <c r="B323" t="s">
        <v>651</v>
      </c>
      <c r="C323" t="s">
        <v>38</v>
      </c>
      <c r="D323" t="s">
        <v>1118</v>
      </c>
      <c r="E323" t="s">
        <v>399</v>
      </c>
      <c r="F323" s="1">
        <v>43957</v>
      </c>
      <c r="G323" s="1">
        <v>43987</v>
      </c>
      <c r="H323" t="s">
        <v>96</v>
      </c>
      <c r="I323">
        <v>72.599999999999994</v>
      </c>
      <c r="J323">
        <v>72.599999999999994</v>
      </c>
      <c r="K323">
        <v>0</v>
      </c>
      <c r="L323">
        <v>0</v>
      </c>
      <c r="M323">
        <v>0</v>
      </c>
      <c r="N323">
        <v>72.599999999999994</v>
      </c>
      <c r="O323" s="14">
        <f t="shared" ref="O323:O386" ca="1" si="5">TODAY()-G323</f>
        <v>2183</v>
      </c>
      <c r="P323" t="s">
        <v>1066</v>
      </c>
    </row>
    <row r="324" spans="1:16" ht="12.75" customHeight="1" x14ac:dyDescent="0.2">
      <c r="A324" t="s">
        <v>604</v>
      </c>
      <c r="B324" t="s">
        <v>651</v>
      </c>
      <c r="C324" t="s">
        <v>38</v>
      </c>
      <c r="D324" t="s">
        <v>1118</v>
      </c>
      <c r="E324" t="s">
        <v>399</v>
      </c>
      <c r="F324" s="1">
        <v>43984</v>
      </c>
      <c r="G324" s="1">
        <v>44014</v>
      </c>
      <c r="H324" t="s">
        <v>452</v>
      </c>
      <c r="I324">
        <v>72.599999999999994</v>
      </c>
      <c r="J324">
        <v>72.599999999999994</v>
      </c>
      <c r="K324">
        <v>0</v>
      </c>
      <c r="L324">
        <v>0</v>
      </c>
      <c r="M324">
        <v>0</v>
      </c>
      <c r="N324">
        <v>72.599999999999994</v>
      </c>
      <c r="O324" s="14">
        <f t="shared" ca="1" si="5"/>
        <v>2156</v>
      </c>
      <c r="P324" t="s">
        <v>1066</v>
      </c>
    </row>
    <row r="325" spans="1:16" ht="12.75" customHeight="1" x14ac:dyDescent="0.2">
      <c r="A325" t="s">
        <v>604</v>
      </c>
      <c r="B325" t="s">
        <v>651</v>
      </c>
      <c r="C325" t="s">
        <v>38</v>
      </c>
      <c r="D325" t="s">
        <v>1118</v>
      </c>
      <c r="E325" t="s">
        <v>399</v>
      </c>
      <c r="F325" s="1">
        <v>44013</v>
      </c>
      <c r="G325" s="1">
        <v>44043</v>
      </c>
      <c r="H325" t="s">
        <v>299</v>
      </c>
      <c r="I325">
        <v>72.599999999999994</v>
      </c>
      <c r="J325">
        <v>72.599999999999994</v>
      </c>
      <c r="K325">
        <v>0</v>
      </c>
      <c r="L325">
        <v>0</v>
      </c>
      <c r="M325">
        <v>0</v>
      </c>
      <c r="N325">
        <v>72.599999999999994</v>
      </c>
      <c r="O325" s="14">
        <f t="shared" ca="1" si="5"/>
        <v>2127</v>
      </c>
      <c r="P325" t="s">
        <v>1066</v>
      </c>
    </row>
    <row r="326" spans="1:16" ht="12.75" customHeight="1" x14ac:dyDescent="0.2">
      <c r="A326" t="s">
        <v>604</v>
      </c>
      <c r="B326" t="s">
        <v>651</v>
      </c>
      <c r="C326" t="s">
        <v>38</v>
      </c>
      <c r="D326" t="s">
        <v>1118</v>
      </c>
      <c r="E326" t="s">
        <v>399</v>
      </c>
      <c r="F326" s="1">
        <v>44047</v>
      </c>
      <c r="G326" s="1">
        <v>44077</v>
      </c>
      <c r="H326" t="s">
        <v>226</v>
      </c>
      <c r="I326">
        <v>72.599999999999994</v>
      </c>
      <c r="J326">
        <v>72.599999999999994</v>
      </c>
      <c r="K326">
        <v>0</v>
      </c>
      <c r="L326">
        <v>0</v>
      </c>
      <c r="M326">
        <v>0</v>
      </c>
      <c r="N326">
        <v>72.599999999999994</v>
      </c>
      <c r="O326" s="14">
        <f t="shared" ca="1" si="5"/>
        <v>2093</v>
      </c>
      <c r="P326" t="s">
        <v>1066</v>
      </c>
    </row>
    <row r="327" spans="1:16" ht="12.75" customHeight="1" x14ac:dyDescent="0.2">
      <c r="A327" t="s">
        <v>604</v>
      </c>
      <c r="B327" t="s">
        <v>651</v>
      </c>
      <c r="C327" t="s">
        <v>38</v>
      </c>
      <c r="D327" t="s">
        <v>1118</v>
      </c>
      <c r="E327" t="s">
        <v>399</v>
      </c>
      <c r="F327" s="1">
        <v>44075</v>
      </c>
      <c r="G327" s="1">
        <v>44105</v>
      </c>
      <c r="H327" t="s">
        <v>615</v>
      </c>
      <c r="I327">
        <v>72.599999999999994</v>
      </c>
      <c r="J327">
        <v>72.599999999999994</v>
      </c>
      <c r="K327">
        <v>0</v>
      </c>
      <c r="L327">
        <v>0</v>
      </c>
      <c r="M327">
        <v>0</v>
      </c>
      <c r="N327">
        <v>72.599999999999994</v>
      </c>
      <c r="O327" s="14">
        <f t="shared" ca="1" si="5"/>
        <v>2065</v>
      </c>
      <c r="P327" t="s">
        <v>1066</v>
      </c>
    </row>
    <row r="328" spans="1:16" ht="12.75" customHeight="1" x14ac:dyDescent="0.2">
      <c r="A328" t="s">
        <v>604</v>
      </c>
      <c r="B328" t="s">
        <v>651</v>
      </c>
      <c r="C328" t="s">
        <v>38</v>
      </c>
      <c r="D328" t="s">
        <v>1118</v>
      </c>
      <c r="E328" t="s">
        <v>399</v>
      </c>
      <c r="F328" s="1">
        <v>44110</v>
      </c>
      <c r="G328" s="1">
        <v>44140</v>
      </c>
      <c r="H328" t="s">
        <v>372</v>
      </c>
      <c r="I328">
        <v>72.599999999999994</v>
      </c>
      <c r="J328">
        <v>72.599999999999994</v>
      </c>
      <c r="K328">
        <v>0</v>
      </c>
      <c r="L328">
        <v>0</v>
      </c>
      <c r="M328">
        <v>0</v>
      </c>
      <c r="N328">
        <v>72.599999999999994</v>
      </c>
      <c r="O328" s="14">
        <f t="shared" ca="1" si="5"/>
        <v>2030</v>
      </c>
      <c r="P328" t="s">
        <v>1066</v>
      </c>
    </row>
    <row r="329" spans="1:16" ht="12.75" customHeight="1" x14ac:dyDescent="0.2">
      <c r="A329" t="s">
        <v>604</v>
      </c>
      <c r="B329" t="s">
        <v>651</v>
      </c>
      <c r="C329" t="s">
        <v>38</v>
      </c>
      <c r="D329" t="s">
        <v>1118</v>
      </c>
      <c r="E329" t="s">
        <v>399</v>
      </c>
      <c r="F329" s="1">
        <v>44138</v>
      </c>
      <c r="G329" s="1">
        <v>44168</v>
      </c>
      <c r="H329" t="s">
        <v>328</v>
      </c>
      <c r="I329">
        <v>72.599999999999994</v>
      </c>
      <c r="J329">
        <v>72.599999999999994</v>
      </c>
      <c r="K329">
        <v>0</v>
      </c>
      <c r="L329">
        <v>0</v>
      </c>
      <c r="M329">
        <v>0</v>
      </c>
      <c r="N329">
        <v>72.599999999999994</v>
      </c>
      <c r="O329" s="14">
        <f t="shared" ca="1" si="5"/>
        <v>2002</v>
      </c>
      <c r="P329" t="s">
        <v>1066</v>
      </c>
    </row>
    <row r="330" spans="1:16" ht="12.75" customHeight="1" x14ac:dyDescent="0.2">
      <c r="A330" t="s">
        <v>604</v>
      </c>
      <c r="B330" t="s">
        <v>651</v>
      </c>
      <c r="C330" t="s">
        <v>38</v>
      </c>
      <c r="D330" t="s">
        <v>1118</v>
      </c>
      <c r="E330" t="s">
        <v>399</v>
      </c>
      <c r="F330" s="1">
        <v>44166</v>
      </c>
      <c r="G330" s="1">
        <v>44196</v>
      </c>
      <c r="H330" t="s">
        <v>817</v>
      </c>
      <c r="I330">
        <v>72.599999999999994</v>
      </c>
      <c r="J330">
        <v>72.599999999999994</v>
      </c>
      <c r="K330">
        <v>0</v>
      </c>
      <c r="L330">
        <v>0</v>
      </c>
      <c r="M330">
        <v>0</v>
      </c>
      <c r="N330">
        <v>72.599999999999994</v>
      </c>
      <c r="O330" s="14">
        <f t="shared" ca="1" si="5"/>
        <v>1974</v>
      </c>
      <c r="P330" t="s">
        <v>1066</v>
      </c>
    </row>
    <row r="331" spans="1:16" ht="12.75" customHeight="1" x14ac:dyDescent="0.2">
      <c r="A331" t="s">
        <v>604</v>
      </c>
      <c r="B331" t="s">
        <v>651</v>
      </c>
      <c r="C331" t="s">
        <v>38</v>
      </c>
      <c r="D331" t="s">
        <v>1118</v>
      </c>
      <c r="E331" t="s">
        <v>399</v>
      </c>
      <c r="F331" s="1">
        <v>44203</v>
      </c>
      <c r="G331" s="1">
        <v>44233</v>
      </c>
      <c r="H331" t="s">
        <v>674</v>
      </c>
      <c r="I331">
        <v>72.599999999999994</v>
      </c>
      <c r="J331">
        <v>72.599999999999994</v>
      </c>
      <c r="K331">
        <v>0</v>
      </c>
      <c r="L331">
        <v>0</v>
      </c>
      <c r="M331">
        <v>0</v>
      </c>
      <c r="N331">
        <v>72.599999999999994</v>
      </c>
      <c r="O331" s="14">
        <f t="shared" ca="1" si="5"/>
        <v>1937</v>
      </c>
      <c r="P331" t="s">
        <v>1066</v>
      </c>
    </row>
    <row r="332" spans="1:16" ht="12.75" customHeight="1" x14ac:dyDescent="0.2">
      <c r="A332" t="s">
        <v>604</v>
      </c>
      <c r="B332" t="s">
        <v>651</v>
      </c>
      <c r="C332" t="s">
        <v>38</v>
      </c>
      <c r="D332" t="s">
        <v>1118</v>
      </c>
      <c r="E332" t="s">
        <v>399</v>
      </c>
      <c r="F332" s="1">
        <v>44243</v>
      </c>
      <c r="G332" s="1">
        <v>44273</v>
      </c>
      <c r="H332" t="s">
        <v>606</v>
      </c>
      <c r="I332">
        <v>72.599999999999994</v>
      </c>
      <c r="J332">
        <v>72.599999999999994</v>
      </c>
      <c r="K332">
        <v>0</v>
      </c>
      <c r="L332">
        <v>0</v>
      </c>
      <c r="M332">
        <v>0</v>
      </c>
      <c r="N332">
        <v>72.599999999999994</v>
      </c>
      <c r="O332" s="14">
        <f t="shared" ca="1" si="5"/>
        <v>1897</v>
      </c>
      <c r="P332" t="s">
        <v>1066</v>
      </c>
    </row>
    <row r="333" spans="1:16" ht="12.75" customHeight="1" x14ac:dyDescent="0.2">
      <c r="A333" t="s">
        <v>604</v>
      </c>
      <c r="B333" t="s">
        <v>651</v>
      </c>
      <c r="C333" t="s">
        <v>38</v>
      </c>
      <c r="D333" t="s">
        <v>1118</v>
      </c>
      <c r="E333" t="s">
        <v>399</v>
      </c>
      <c r="F333" s="1">
        <v>44256</v>
      </c>
      <c r="G333" s="1">
        <v>44286</v>
      </c>
      <c r="H333" t="s">
        <v>140</v>
      </c>
      <c r="I333">
        <v>384.78</v>
      </c>
      <c r="J333">
        <v>384.78</v>
      </c>
      <c r="K333">
        <v>0</v>
      </c>
      <c r="L333">
        <v>0</v>
      </c>
      <c r="M333">
        <v>0</v>
      </c>
      <c r="N333">
        <v>384.78</v>
      </c>
      <c r="O333" s="14">
        <f t="shared" ca="1" si="5"/>
        <v>1884</v>
      </c>
      <c r="P333" t="s">
        <v>1066</v>
      </c>
    </row>
    <row r="334" spans="1:16" ht="12.75" customHeight="1" x14ac:dyDescent="0.2">
      <c r="A334" t="s">
        <v>604</v>
      </c>
      <c r="B334" t="s">
        <v>651</v>
      </c>
      <c r="C334" t="s">
        <v>38</v>
      </c>
      <c r="D334" t="s">
        <v>1118</v>
      </c>
      <c r="E334" t="s">
        <v>399</v>
      </c>
      <c r="F334" s="1">
        <v>44257</v>
      </c>
      <c r="G334" s="1">
        <v>44287</v>
      </c>
      <c r="H334" t="s">
        <v>332</v>
      </c>
      <c r="I334">
        <v>72.599999999999994</v>
      </c>
      <c r="J334">
        <v>72.599999999999994</v>
      </c>
      <c r="K334">
        <v>0</v>
      </c>
      <c r="L334">
        <v>0</v>
      </c>
      <c r="M334">
        <v>0</v>
      </c>
      <c r="N334">
        <v>72.599999999999994</v>
      </c>
      <c r="O334" s="14">
        <f t="shared" ca="1" si="5"/>
        <v>1883</v>
      </c>
      <c r="P334" t="s">
        <v>1066</v>
      </c>
    </row>
    <row r="335" spans="1:16" ht="12.75" customHeight="1" x14ac:dyDescent="0.2">
      <c r="A335" t="s">
        <v>604</v>
      </c>
      <c r="B335" t="s">
        <v>651</v>
      </c>
      <c r="C335" t="s">
        <v>38</v>
      </c>
      <c r="D335" t="s">
        <v>1118</v>
      </c>
      <c r="E335" t="s">
        <v>399</v>
      </c>
      <c r="F335" s="1">
        <v>44258</v>
      </c>
      <c r="G335" s="1">
        <v>44288</v>
      </c>
      <c r="H335" t="s">
        <v>70</v>
      </c>
      <c r="I335">
        <v>514.25</v>
      </c>
      <c r="J335">
        <v>514.25</v>
      </c>
      <c r="K335">
        <v>0</v>
      </c>
      <c r="L335">
        <v>0</v>
      </c>
      <c r="M335">
        <v>0</v>
      </c>
      <c r="N335">
        <v>514.25</v>
      </c>
      <c r="O335" s="14">
        <f t="shared" ca="1" si="5"/>
        <v>1882</v>
      </c>
      <c r="P335" t="s">
        <v>1066</v>
      </c>
    </row>
    <row r="336" spans="1:16" ht="12.75" customHeight="1" x14ac:dyDescent="0.2">
      <c r="A336" t="s">
        <v>604</v>
      </c>
      <c r="B336" t="s">
        <v>651</v>
      </c>
      <c r="C336" t="s">
        <v>469</v>
      </c>
      <c r="D336" t="s">
        <v>529</v>
      </c>
      <c r="E336" t="s">
        <v>399</v>
      </c>
      <c r="F336" s="1">
        <v>44109</v>
      </c>
      <c r="G336" s="1">
        <v>44123</v>
      </c>
      <c r="H336" t="s">
        <v>837</v>
      </c>
      <c r="I336">
        <v>302.5</v>
      </c>
      <c r="J336">
        <v>302.5</v>
      </c>
      <c r="K336">
        <v>0</v>
      </c>
      <c r="L336">
        <v>0</v>
      </c>
      <c r="M336">
        <v>0</v>
      </c>
      <c r="N336">
        <v>302.5</v>
      </c>
      <c r="O336" s="14">
        <f t="shared" ca="1" si="5"/>
        <v>2047</v>
      </c>
      <c r="P336" t="s">
        <v>1066</v>
      </c>
    </row>
    <row r="337" spans="1:16" ht="12.75" customHeight="1" x14ac:dyDescent="0.2">
      <c r="A337" t="s">
        <v>604</v>
      </c>
      <c r="B337" t="s">
        <v>651</v>
      </c>
      <c r="C337" t="s">
        <v>469</v>
      </c>
      <c r="D337" t="s">
        <v>529</v>
      </c>
      <c r="E337" t="s">
        <v>399</v>
      </c>
      <c r="F337" s="1">
        <v>44110</v>
      </c>
      <c r="G337" s="1">
        <v>44124</v>
      </c>
      <c r="H337" t="s">
        <v>370</v>
      </c>
      <c r="I337">
        <v>60.5</v>
      </c>
      <c r="J337">
        <v>60.5</v>
      </c>
      <c r="K337">
        <v>0</v>
      </c>
      <c r="L337">
        <v>0</v>
      </c>
      <c r="M337">
        <v>0</v>
      </c>
      <c r="N337">
        <v>60.5</v>
      </c>
      <c r="O337" s="14">
        <f t="shared" ca="1" si="5"/>
        <v>2046</v>
      </c>
      <c r="P337" t="s">
        <v>1066</v>
      </c>
    </row>
    <row r="338" spans="1:16" ht="12.75" customHeight="1" x14ac:dyDescent="0.2">
      <c r="A338" t="s">
        <v>604</v>
      </c>
      <c r="B338" t="s">
        <v>651</v>
      </c>
      <c r="C338" t="s">
        <v>469</v>
      </c>
      <c r="D338" t="s">
        <v>529</v>
      </c>
      <c r="E338" t="s">
        <v>399</v>
      </c>
      <c r="F338" s="1">
        <v>44138</v>
      </c>
      <c r="G338" s="1">
        <v>44152</v>
      </c>
      <c r="H338" t="s">
        <v>15</v>
      </c>
      <c r="I338">
        <v>60.5</v>
      </c>
      <c r="J338">
        <v>60.5</v>
      </c>
      <c r="K338">
        <v>0</v>
      </c>
      <c r="L338">
        <v>0</v>
      </c>
      <c r="M338">
        <v>0</v>
      </c>
      <c r="N338">
        <v>60.5</v>
      </c>
      <c r="O338" s="14">
        <f t="shared" ca="1" si="5"/>
        <v>2018</v>
      </c>
      <c r="P338" t="s">
        <v>1066</v>
      </c>
    </row>
    <row r="339" spans="1:16" ht="12.75" customHeight="1" x14ac:dyDescent="0.2">
      <c r="A339" t="s">
        <v>604</v>
      </c>
      <c r="B339" t="s">
        <v>651</v>
      </c>
      <c r="C339" t="s">
        <v>469</v>
      </c>
      <c r="D339" t="s">
        <v>529</v>
      </c>
      <c r="E339" t="s">
        <v>399</v>
      </c>
      <c r="F339" s="1">
        <v>44138</v>
      </c>
      <c r="G339" s="1">
        <v>44152</v>
      </c>
      <c r="H339" t="s">
        <v>25</v>
      </c>
      <c r="I339">
        <v>30.25</v>
      </c>
      <c r="J339">
        <v>30.25</v>
      </c>
      <c r="K339">
        <v>0</v>
      </c>
      <c r="L339">
        <v>0</v>
      </c>
      <c r="M339">
        <v>0</v>
      </c>
      <c r="N339">
        <v>30.25</v>
      </c>
      <c r="O339" s="14">
        <f t="shared" ca="1" si="5"/>
        <v>2018</v>
      </c>
      <c r="P339" t="s">
        <v>1066</v>
      </c>
    </row>
    <row r="340" spans="1:16" ht="12.75" customHeight="1" x14ac:dyDescent="0.2">
      <c r="A340" t="s">
        <v>604</v>
      </c>
      <c r="B340" t="s">
        <v>651</v>
      </c>
      <c r="C340" t="s">
        <v>469</v>
      </c>
      <c r="D340" t="s">
        <v>529</v>
      </c>
      <c r="E340" t="s">
        <v>399</v>
      </c>
      <c r="F340" s="1">
        <v>44166</v>
      </c>
      <c r="G340" s="1">
        <v>44180</v>
      </c>
      <c r="H340" t="s">
        <v>816</v>
      </c>
      <c r="I340">
        <v>60.5</v>
      </c>
      <c r="J340">
        <v>60.5</v>
      </c>
      <c r="K340">
        <v>0</v>
      </c>
      <c r="L340">
        <v>0</v>
      </c>
      <c r="M340">
        <v>0</v>
      </c>
      <c r="N340">
        <v>60.5</v>
      </c>
      <c r="O340" s="14">
        <f t="shared" ca="1" si="5"/>
        <v>1990</v>
      </c>
      <c r="P340" t="s">
        <v>1066</v>
      </c>
    </row>
    <row r="341" spans="1:16" ht="12.75" customHeight="1" x14ac:dyDescent="0.2">
      <c r="A341" t="s">
        <v>604</v>
      </c>
      <c r="B341" t="s">
        <v>651</v>
      </c>
      <c r="C341" t="s">
        <v>469</v>
      </c>
      <c r="D341" t="s">
        <v>529</v>
      </c>
      <c r="E341" t="s">
        <v>399</v>
      </c>
      <c r="F341" s="1">
        <v>44203</v>
      </c>
      <c r="G341" s="1">
        <v>44217</v>
      </c>
      <c r="H341" t="s">
        <v>181</v>
      </c>
      <c r="I341">
        <v>60.5</v>
      </c>
      <c r="J341">
        <v>60.5</v>
      </c>
      <c r="K341">
        <v>0</v>
      </c>
      <c r="L341">
        <v>0</v>
      </c>
      <c r="M341">
        <v>0</v>
      </c>
      <c r="N341">
        <v>60.5</v>
      </c>
      <c r="O341" s="14">
        <f t="shared" ca="1" si="5"/>
        <v>1953</v>
      </c>
      <c r="P341" t="s">
        <v>1066</v>
      </c>
    </row>
    <row r="342" spans="1:16" ht="12.75" customHeight="1" x14ac:dyDescent="0.2">
      <c r="A342" t="s">
        <v>604</v>
      </c>
      <c r="B342" t="s">
        <v>651</v>
      </c>
      <c r="C342" t="s">
        <v>469</v>
      </c>
      <c r="D342" t="s">
        <v>529</v>
      </c>
      <c r="E342" t="s">
        <v>399</v>
      </c>
      <c r="F342" s="1">
        <v>44243</v>
      </c>
      <c r="G342" s="1">
        <v>44257</v>
      </c>
      <c r="H342" t="s">
        <v>103</v>
      </c>
      <c r="I342">
        <v>60.5</v>
      </c>
      <c r="J342">
        <v>60.5</v>
      </c>
      <c r="K342">
        <v>0</v>
      </c>
      <c r="L342">
        <v>0</v>
      </c>
      <c r="M342">
        <v>0</v>
      </c>
      <c r="N342">
        <v>60.5</v>
      </c>
      <c r="O342" s="14">
        <f t="shared" ca="1" si="5"/>
        <v>1913</v>
      </c>
      <c r="P342" t="s">
        <v>1066</v>
      </c>
    </row>
    <row r="343" spans="1:16" ht="12.75" customHeight="1" x14ac:dyDescent="0.2">
      <c r="A343" t="s">
        <v>604</v>
      </c>
      <c r="B343" t="s">
        <v>651</v>
      </c>
      <c r="C343" t="s">
        <v>469</v>
      </c>
      <c r="D343" t="s">
        <v>529</v>
      </c>
      <c r="E343" t="s">
        <v>399</v>
      </c>
      <c r="F343" s="1">
        <v>44257</v>
      </c>
      <c r="G343" s="1">
        <v>44271</v>
      </c>
      <c r="H343" t="s">
        <v>142</v>
      </c>
      <c r="I343">
        <v>60.5</v>
      </c>
      <c r="J343">
        <v>60.5</v>
      </c>
      <c r="K343">
        <v>0</v>
      </c>
      <c r="L343">
        <v>0</v>
      </c>
      <c r="M343">
        <v>0</v>
      </c>
      <c r="N343">
        <v>60.5</v>
      </c>
      <c r="O343" s="14">
        <f t="shared" ca="1" si="5"/>
        <v>1899</v>
      </c>
      <c r="P343" t="s">
        <v>1066</v>
      </c>
    </row>
    <row r="344" spans="1:16" ht="12.75" customHeight="1" x14ac:dyDescent="0.2">
      <c r="A344" t="s">
        <v>604</v>
      </c>
      <c r="B344" t="s">
        <v>651</v>
      </c>
      <c r="C344" t="s">
        <v>469</v>
      </c>
      <c r="D344" t="s">
        <v>529</v>
      </c>
      <c r="E344" t="s">
        <v>399</v>
      </c>
      <c r="F344" s="1">
        <v>44257</v>
      </c>
      <c r="G344" s="1">
        <v>44271</v>
      </c>
      <c r="H344" t="s">
        <v>916</v>
      </c>
      <c r="I344">
        <v>30.25</v>
      </c>
      <c r="J344">
        <v>30.25</v>
      </c>
      <c r="K344">
        <v>0</v>
      </c>
      <c r="L344">
        <v>0</v>
      </c>
      <c r="M344">
        <v>0</v>
      </c>
      <c r="N344">
        <v>30.25</v>
      </c>
      <c r="O344" s="14">
        <f t="shared" ca="1" si="5"/>
        <v>1899</v>
      </c>
      <c r="P344" t="s">
        <v>1066</v>
      </c>
    </row>
    <row r="345" spans="1:16" ht="12.75" customHeight="1" x14ac:dyDescent="0.2">
      <c r="A345" t="s">
        <v>604</v>
      </c>
      <c r="B345" t="s">
        <v>651</v>
      </c>
      <c r="C345" t="s">
        <v>950</v>
      </c>
      <c r="D345" t="s">
        <v>187</v>
      </c>
      <c r="E345" t="s">
        <v>399</v>
      </c>
      <c r="F345" s="1">
        <v>45082</v>
      </c>
      <c r="G345" s="1">
        <v>45096</v>
      </c>
      <c r="H345" t="s">
        <v>1074</v>
      </c>
      <c r="I345">
        <v>350.9</v>
      </c>
      <c r="J345">
        <v>350.9</v>
      </c>
      <c r="K345">
        <v>0</v>
      </c>
      <c r="L345">
        <v>0</v>
      </c>
      <c r="M345">
        <v>0</v>
      </c>
      <c r="N345">
        <v>350.9</v>
      </c>
      <c r="O345" s="14">
        <f t="shared" ca="1" si="5"/>
        <v>1074</v>
      </c>
      <c r="P345" t="s">
        <v>1066</v>
      </c>
    </row>
    <row r="346" spans="1:16" ht="12.75" customHeight="1" x14ac:dyDescent="0.2">
      <c r="A346" t="s">
        <v>604</v>
      </c>
      <c r="B346" t="s">
        <v>651</v>
      </c>
      <c r="C346" t="s">
        <v>950</v>
      </c>
      <c r="D346" t="s">
        <v>187</v>
      </c>
      <c r="E346" t="s">
        <v>399</v>
      </c>
      <c r="F346" s="1">
        <v>45110</v>
      </c>
      <c r="G346" s="1">
        <v>45124</v>
      </c>
      <c r="H346" t="s">
        <v>378</v>
      </c>
      <c r="I346">
        <v>350.9</v>
      </c>
      <c r="J346">
        <v>350.9</v>
      </c>
      <c r="K346">
        <v>0</v>
      </c>
      <c r="L346">
        <v>0</v>
      </c>
      <c r="M346">
        <v>0</v>
      </c>
      <c r="N346">
        <v>350.9</v>
      </c>
      <c r="O346" s="14">
        <f t="shared" ca="1" si="5"/>
        <v>1046</v>
      </c>
      <c r="P346" t="s">
        <v>1066</v>
      </c>
    </row>
    <row r="347" spans="1:16" ht="12.75" customHeight="1" x14ac:dyDescent="0.2">
      <c r="A347" t="s">
        <v>604</v>
      </c>
      <c r="B347" t="s">
        <v>651</v>
      </c>
      <c r="C347" t="s">
        <v>950</v>
      </c>
      <c r="D347" t="s">
        <v>187</v>
      </c>
      <c r="E347" t="s">
        <v>399</v>
      </c>
      <c r="F347" s="1">
        <v>45138</v>
      </c>
      <c r="G347" s="1">
        <v>45152</v>
      </c>
      <c r="H347" t="s">
        <v>1304</v>
      </c>
      <c r="I347">
        <v>30.25</v>
      </c>
      <c r="J347">
        <v>30.25</v>
      </c>
      <c r="K347">
        <v>0</v>
      </c>
      <c r="L347">
        <v>0</v>
      </c>
      <c r="M347">
        <v>0</v>
      </c>
      <c r="N347">
        <v>30.25</v>
      </c>
      <c r="O347" s="14">
        <f t="shared" ca="1" si="5"/>
        <v>1018</v>
      </c>
      <c r="P347" t="s">
        <v>1066</v>
      </c>
    </row>
    <row r="348" spans="1:16" ht="12.75" customHeight="1" x14ac:dyDescent="0.2">
      <c r="A348" t="s">
        <v>604</v>
      </c>
      <c r="B348" t="s">
        <v>651</v>
      </c>
      <c r="C348" t="s">
        <v>950</v>
      </c>
      <c r="D348" t="s">
        <v>187</v>
      </c>
      <c r="E348" t="s">
        <v>399</v>
      </c>
      <c r="F348" s="1">
        <v>45141</v>
      </c>
      <c r="G348" s="1">
        <v>45155</v>
      </c>
      <c r="H348" t="s">
        <v>731</v>
      </c>
      <c r="I348">
        <v>24.2</v>
      </c>
      <c r="J348">
        <v>24.2</v>
      </c>
      <c r="K348">
        <v>0</v>
      </c>
      <c r="L348">
        <v>0</v>
      </c>
      <c r="M348">
        <v>0</v>
      </c>
      <c r="N348">
        <v>24.2</v>
      </c>
      <c r="O348" s="14">
        <f t="shared" ca="1" si="5"/>
        <v>1015</v>
      </c>
      <c r="P348" t="s">
        <v>1066</v>
      </c>
    </row>
    <row r="349" spans="1:16" ht="12.75" customHeight="1" x14ac:dyDescent="0.2">
      <c r="A349" t="s">
        <v>604</v>
      </c>
      <c r="B349" t="s">
        <v>651</v>
      </c>
      <c r="C349" t="s">
        <v>770</v>
      </c>
      <c r="D349" t="s">
        <v>278</v>
      </c>
      <c r="E349" t="s">
        <v>399</v>
      </c>
      <c r="F349" s="1">
        <v>43621</v>
      </c>
      <c r="G349" s="1">
        <v>43621</v>
      </c>
      <c r="H349" t="s">
        <v>515</v>
      </c>
      <c r="I349">
        <v>117.37</v>
      </c>
      <c r="J349">
        <v>117.37</v>
      </c>
      <c r="K349">
        <v>0</v>
      </c>
      <c r="L349">
        <v>0</v>
      </c>
      <c r="M349">
        <v>0</v>
      </c>
      <c r="N349">
        <v>117.37</v>
      </c>
      <c r="O349" s="14">
        <f t="shared" ca="1" si="5"/>
        <v>2549</v>
      </c>
      <c r="P349" t="s">
        <v>1066</v>
      </c>
    </row>
    <row r="350" spans="1:16" ht="12.75" customHeight="1" x14ac:dyDescent="0.2">
      <c r="A350" t="s">
        <v>604</v>
      </c>
      <c r="B350" t="s">
        <v>651</v>
      </c>
      <c r="C350" t="s">
        <v>770</v>
      </c>
      <c r="D350" t="s">
        <v>278</v>
      </c>
      <c r="E350" t="s">
        <v>399</v>
      </c>
      <c r="F350" s="1">
        <v>43648</v>
      </c>
      <c r="G350" s="1">
        <v>43648</v>
      </c>
      <c r="H350" t="s">
        <v>860</v>
      </c>
      <c r="I350">
        <v>117.37</v>
      </c>
      <c r="J350">
        <v>117.37</v>
      </c>
      <c r="K350">
        <v>0</v>
      </c>
      <c r="L350">
        <v>0</v>
      </c>
      <c r="M350">
        <v>0</v>
      </c>
      <c r="N350">
        <v>117.37</v>
      </c>
      <c r="O350" s="14">
        <f t="shared" ca="1" si="5"/>
        <v>2522</v>
      </c>
      <c r="P350" t="s">
        <v>1066</v>
      </c>
    </row>
    <row r="351" spans="1:16" ht="12.75" customHeight="1" x14ac:dyDescent="0.2">
      <c r="A351" t="s">
        <v>604</v>
      </c>
      <c r="B351" t="s">
        <v>651</v>
      </c>
      <c r="C351" t="s">
        <v>770</v>
      </c>
      <c r="D351" t="s">
        <v>278</v>
      </c>
      <c r="E351" t="s">
        <v>399</v>
      </c>
      <c r="F351" s="1">
        <v>43678</v>
      </c>
      <c r="G351" s="1">
        <v>43678</v>
      </c>
      <c r="H351" t="s">
        <v>876</v>
      </c>
      <c r="I351">
        <v>117.37</v>
      </c>
      <c r="J351">
        <v>117.37</v>
      </c>
      <c r="K351">
        <v>0</v>
      </c>
      <c r="L351">
        <v>0</v>
      </c>
      <c r="M351">
        <v>0</v>
      </c>
      <c r="N351">
        <v>117.37</v>
      </c>
      <c r="O351" s="14">
        <f t="shared" ca="1" si="5"/>
        <v>2492</v>
      </c>
      <c r="P351" t="s">
        <v>1066</v>
      </c>
    </row>
    <row r="352" spans="1:16" ht="12.75" customHeight="1" x14ac:dyDescent="0.2">
      <c r="A352" t="s">
        <v>604</v>
      </c>
      <c r="B352" t="s">
        <v>651</v>
      </c>
      <c r="C352" t="s">
        <v>770</v>
      </c>
      <c r="D352" t="s">
        <v>278</v>
      </c>
      <c r="E352" t="s">
        <v>399</v>
      </c>
      <c r="F352" s="1">
        <v>43711</v>
      </c>
      <c r="G352" s="1">
        <v>43711</v>
      </c>
      <c r="H352" t="s">
        <v>898</v>
      </c>
      <c r="I352">
        <v>117.37</v>
      </c>
      <c r="J352">
        <v>117.37</v>
      </c>
      <c r="K352">
        <v>0</v>
      </c>
      <c r="L352">
        <v>0</v>
      </c>
      <c r="M352">
        <v>0</v>
      </c>
      <c r="N352">
        <v>117.37</v>
      </c>
      <c r="O352" s="14">
        <f t="shared" ca="1" si="5"/>
        <v>2459</v>
      </c>
      <c r="P352" t="s">
        <v>1066</v>
      </c>
    </row>
    <row r="353" spans="1:16" ht="12.75" customHeight="1" x14ac:dyDescent="0.2">
      <c r="A353" t="s">
        <v>604</v>
      </c>
      <c r="B353" t="s">
        <v>651</v>
      </c>
      <c r="C353" t="s">
        <v>770</v>
      </c>
      <c r="D353" t="s">
        <v>278</v>
      </c>
      <c r="E353" t="s">
        <v>399</v>
      </c>
      <c r="F353" s="1">
        <v>43740</v>
      </c>
      <c r="G353" s="1">
        <v>43740</v>
      </c>
      <c r="H353" t="s">
        <v>921</v>
      </c>
      <c r="I353">
        <v>117.37</v>
      </c>
      <c r="J353">
        <v>117.37</v>
      </c>
      <c r="K353">
        <v>0</v>
      </c>
      <c r="L353">
        <v>0</v>
      </c>
      <c r="M353">
        <v>0</v>
      </c>
      <c r="N353">
        <v>117.37</v>
      </c>
      <c r="O353" s="14">
        <f t="shared" ca="1" si="5"/>
        <v>2430</v>
      </c>
      <c r="P353" t="s">
        <v>1066</v>
      </c>
    </row>
    <row r="354" spans="1:16" ht="12.75" customHeight="1" x14ac:dyDescent="0.2">
      <c r="A354" t="s">
        <v>604</v>
      </c>
      <c r="B354" t="s">
        <v>651</v>
      </c>
      <c r="C354" t="s">
        <v>770</v>
      </c>
      <c r="D354" t="s">
        <v>278</v>
      </c>
      <c r="E354" t="s">
        <v>399</v>
      </c>
      <c r="F354" s="1">
        <v>43774</v>
      </c>
      <c r="G354" s="1">
        <v>43774</v>
      </c>
      <c r="H354" t="s">
        <v>911</v>
      </c>
      <c r="I354">
        <v>117.37</v>
      </c>
      <c r="J354">
        <v>117.37</v>
      </c>
      <c r="K354">
        <v>0</v>
      </c>
      <c r="L354">
        <v>0</v>
      </c>
      <c r="M354">
        <v>0</v>
      </c>
      <c r="N354">
        <v>117.37</v>
      </c>
      <c r="O354" s="14">
        <f t="shared" ca="1" si="5"/>
        <v>2396</v>
      </c>
      <c r="P354" t="s">
        <v>1066</v>
      </c>
    </row>
    <row r="355" spans="1:16" ht="12.75" customHeight="1" x14ac:dyDescent="0.2">
      <c r="A355" t="s">
        <v>604</v>
      </c>
      <c r="B355" t="s">
        <v>651</v>
      </c>
      <c r="C355" t="s">
        <v>770</v>
      </c>
      <c r="D355" t="s">
        <v>278</v>
      </c>
      <c r="E355" t="s">
        <v>399</v>
      </c>
      <c r="F355" s="1">
        <v>43802</v>
      </c>
      <c r="G355" s="1">
        <v>43802</v>
      </c>
      <c r="H355" t="s">
        <v>501</v>
      </c>
      <c r="I355">
        <v>117.37</v>
      </c>
      <c r="J355">
        <v>117.37</v>
      </c>
      <c r="K355">
        <v>0</v>
      </c>
      <c r="L355">
        <v>0</v>
      </c>
      <c r="M355">
        <v>0</v>
      </c>
      <c r="N355">
        <v>117.37</v>
      </c>
      <c r="O355" s="14">
        <f t="shared" ca="1" si="5"/>
        <v>2368</v>
      </c>
      <c r="P355" t="s">
        <v>1066</v>
      </c>
    </row>
    <row r="356" spans="1:16" ht="12.75" customHeight="1" x14ac:dyDescent="0.2">
      <c r="A356" t="s">
        <v>604</v>
      </c>
      <c r="B356" t="s">
        <v>651</v>
      </c>
      <c r="C356" t="s">
        <v>770</v>
      </c>
      <c r="D356" t="s">
        <v>278</v>
      </c>
      <c r="E356" t="s">
        <v>399</v>
      </c>
      <c r="F356" s="1">
        <v>43865</v>
      </c>
      <c r="G356" s="1">
        <v>43879</v>
      </c>
      <c r="H356" t="s">
        <v>918</v>
      </c>
      <c r="I356">
        <v>117.37</v>
      </c>
      <c r="J356">
        <v>117.37</v>
      </c>
      <c r="K356">
        <v>0</v>
      </c>
      <c r="L356">
        <v>0</v>
      </c>
      <c r="M356">
        <v>0</v>
      </c>
      <c r="N356">
        <v>117.37</v>
      </c>
      <c r="O356" s="14">
        <f t="shared" ca="1" si="5"/>
        <v>2291</v>
      </c>
      <c r="P356" t="s">
        <v>1066</v>
      </c>
    </row>
    <row r="357" spans="1:16" ht="12.75" customHeight="1" x14ac:dyDescent="0.2">
      <c r="A357" t="s">
        <v>604</v>
      </c>
      <c r="B357" t="s">
        <v>651</v>
      </c>
      <c r="C357" t="s">
        <v>770</v>
      </c>
      <c r="D357" t="s">
        <v>278</v>
      </c>
      <c r="E357" t="s">
        <v>399</v>
      </c>
      <c r="F357" s="1">
        <v>43865</v>
      </c>
      <c r="G357" s="1">
        <v>43879</v>
      </c>
      <c r="H357" t="s">
        <v>658</v>
      </c>
      <c r="I357">
        <v>117.37</v>
      </c>
      <c r="J357">
        <v>117.37</v>
      </c>
      <c r="K357">
        <v>0</v>
      </c>
      <c r="L357">
        <v>0</v>
      </c>
      <c r="M357">
        <v>0</v>
      </c>
      <c r="N357">
        <v>117.37</v>
      </c>
      <c r="O357" s="14">
        <f t="shared" ca="1" si="5"/>
        <v>2291</v>
      </c>
      <c r="P357" t="s">
        <v>1066</v>
      </c>
    </row>
    <row r="358" spans="1:16" ht="12.75" customHeight="1" x14ac:dyDescent="0.2">
      <c r="A358" t="s">
        <v>604</v>
      </c>
      <c r="B358" t="s">
        <v>651</v>
      </c>
      <c r="C358" t="s">
        <v>770</v>
      </c>
      <c r="D358" t="s">
        <v>278</v>
      </c>
      <c r="E358" t="s">
        <v>399</v>
      </c>
      <c r="F358" s="1">
        <v>43880</v>
      </c>
      <c r="G358" s="1">
        <v>43894</v>
      </c>
      <c r="H358" t="s">
        <v>847</v>
      </c>
      <c r="I358">
        <v>30.25</v>
      </c>
      <c r="J358">
        <v>30.25</v>
      </c>
      <c r="K358">
        <v>0</v>
      </c>
      <c r="L358">
        <v>0</v>
      </c>
      <c r="M358">
        <v>0</v>
      </c>
      <c r="N358">
        <v>30.25</v>
      </c>
      <c r="O358" s="14">
        <f t="shared" ca="1" si="5"/>
        <v>2276</v>
      </c>
      <c r="P358" t="s">
        <v>1066</v>
      </c>
    </row>
    <row r="359" spans="1:16" ht="12.75" customHeight="1" x14ac:dyDescent="0.2">
      <c r="A359" t="s">
        <v>604</v>
      </c>
      <c r="B359" t="s">
        <v>651</v>
      </c>
      <c r="C359" t="s">
        <v>770</v>
      </c>
      <c r="D359" t="s">
        <v>278</v>
      </c>
      <c r="E359" t="s">
        <v>399</v>
      </c>
      <c r="F359" s="1">
        <v>43893</v>
      </c>
      <c r="G359" s="1">
        <v>43907</v>
      </c>
      <c r="H359" t="s">
        <v>883</v>
      </c>
      <c r="I359">
        <v>117.37</v>
      </c>
      <c r="J359">
        <v>117.37</v>
      </c>
      <c r="K359">
        <v>0</v>
      </c>
      <c r="L359">
        <v>0</v>
      </c>
      <c r="M359">
        <v>0</v>
      </c>
      <c r="N359">
        <v>117.37</v>
      </c>
      <c r="O359" s="14">
        <f t="shared" ca="1" si="5"/>
        <v>2263</v>
      </c>
      <c r="P359" t="s">
        <v>1066</v>
      </c>
    </row>
    <row r="360" spans="1:16" ht="12.75" customHeight="1" x14ac:dyDescent="0.2">
      <c r="A360" t="s">
        <v>604</v>
      </c>
      <c r="B360" t="s">
        <v>651</v>
      </c>
      <c r="C360" t="s">
        <v>770</v>
      </c>
      <c r="D360" t="s">
        <v>278</v>
      </c>
      <c r="E360" t="s">
        <v>399</v>
      </c>
      <c r="F360" s="1">
        <v>43922</v>
      </c>
      <c r="G360" s="1">
        <v>43936</v>
      </c>
      <c r="H360" t="s">
        <v>633</v>
      </c>
      <c r="I360">
        <v>30.25</v>
      </c>
      <c r="J360">
        <v>30.25</v>
      </c>
      <c r="K360">
        <v>0</v>
      </c>
      <c r="L360">
        <v>0</v>
      </c>
      <c r="M360">
        <v>0</v>
      </c>
      <c r="N360">
        <v>30.25</v>
      </c>
      <c r="O360" s="14">
        <f t="shared" ca="1" si="5"/>
        <v>2234</v>
      </c>
      <c r="P360" t="s">
        <v>1066</v>
      </c>
    </row>
    <row r="361" spans="1:16" ht="12.75" customHeight="1" x14ac:dyDescent="0.2">
      <c r="A361" t="s">
        <v>604</v>
      </c>
      <c r="B361" t="s">
        <v>651</v>
      </c>
      <c r="C361" t="s">
        <v>770</v>
      </c>
      <c r="D361" t="s">
        <v>278</v>
      </c>
      <c r="E361" t="s">
        <v>399</v>
      </c>
      <c r="F361" s="1">
        <v>43928</v>
      </c>
      <c r="G361" s="1">
        <v>43942</v>
      </c>
      <c r="H361" t="s">
        <v>336</v>
      </c>
      <c r="I361">
        <v>117.37</v>
      </c>
      <c r="J361">
        <v>117.37</v>
      </c>
      <c r="K361">
        <v>0</v>
      </c>
      <c r="L361">
        <v>0</v>
      </c>
      <c r="M361">
        <v>0</v>
      </c>
      <c r="N361">
        <v>117.37</v>
      </c>
      <c r="O361" s="14">
        <f t="shared" ca="1" si="5"/>
        <v>2228</v>
      </c>
      <c r="P361" t="s">
        <v>1066</v>
      </c>
    </row>
    <row r="362" spans="1:16" ht="12.75" customHeight="1" x14ac:dyDescent="0.2">
      <c r="A362" t="s">
        <v>604</v>
      </c>
      <c r="B362" t="s">
        <v>651</v>
      </c>
      <c r="C362" t="s">
        <v>770</v>
      </c>
      <c r="D362" t="s">
        <v>278</v>
      </c>
      <c r="E362" t="s">
        <v>399</v>
      </c>
      <c r="F362" s="1">
        <v>43949</v>
      </c>
      <c r="G362" s="1">
        <v>43963</v>
      </c>
      <c r="H362" t="s">
        <v>343</v>
      </c>
      <c r="I362">
        <v>30.25</v>
      </c>
      <c r="J362">
        <v>30.25</v>
      </c>
      <c r="K362">
        <v>0</v>
      </c>
      <c r="L362">
        <v>0</v>
      </c>
      <c r="M362">
        <v>0</v>
      </c>
      <c r="N362">
        <v>30.25</v>
      </c>
      <c r="O362" s="14">
        <f t="shared" ca="1" si="5"/>
        <v>2207</v>
      </c>
      <c r="P362" t="s">
        <v>1066</v>
      </c>
    </row>
    <row r="363" spans="1:16" ht="12.75" customHeight="1" x14ac:dyDescent="0.2">
      <c r="A363" t="s">
        <v>604</v>
      </c>
      <c r="B363" t="s">
        <v>651</v>
      </c>
      <c r="C363" t="s">
        <v>770</v>
      </c>
      <c r="D363" t="s">
        <v>278</v>
      </c>
      <c r="E363" t="s">
        <v>399</v>
      </c>
      <c r="F363" s="1">
        <v>43957</v>
      </c>
      <c r="G363" s="1">
        <v>43971</v>
      </c>
      <c r="H363" t="s">
        <v>89</v>
      </c>
      <c r="I363">
        <v>117.37</v>
      </c>
      <c r="J363">
        <v>117.37</v>
      </c>
      <c r="K363">
        <v>0</v>
      </c>
      <c r="L363">
        <v>0</v>
      </c>
      <c r="M363">
        <v>0</v>
      </c>
      <c r="N363">
        <v>117.37</v>
      </c>
      <c r="O363" s="14">
        <f t="shared" ca="1" si="5"/>
        <v>2199</v>
      </c>
      <c r="P363" t="s">
        <v>1066</v>
      </c>
    </row>
    <row r="364" spans="1:16" ht="12.75" customHeight="1" x14ac:dyDescent="0.2">
      <c r="A364" t="s">
        <v>604</v>
      </c>
      <c r="B364" t="s">
        <v>651</v>
      </c>
      <c r="C364" t="s">
        <v>770</v>
      </c>
      <c r="D364" t="s">
        <v>278</v>
      </c>
      <c r="E364" t="s">
        <v>399</v>
      </c>
      <c r="F364" s="1">
        <v>43984</v>
      </c>
      <c r="G364" s="1">
        <v>43998</v>
      </c>
      <c r="H364" t="s">
        <v>943</v>
      </c>
      <c r="I364">
        <v>117.37</v>
      </c>
      <c r="J364">
        <v>117.37</v>
      </c>
      <c r="K364">
        <v>0</v>
      </c>
      <c r="L364">
        <v>0</v>
      </c>
      <c r="M364">
        <v>0</v>
      </c>
      <c r="N364">
        <v>117.37</v>
      </c>
      <c r="O364" s="14">
        <f t="shared" ca="1" si="5"/>
        <v>2172</v>
      </c>
      <c r="P364" t="s">
        <v>1066</v>
      </c>
    </row>
    <row r="365" spans="1:16" ht="12.75" customHeight="1" x14ac:dyDescent="0.2">
      <c r="A365" t="s">
        <v>604</v>
      </c>
      <c r="B365" t="s">
        <v>651</v>
      </c>
      <c r="C365" t="s">
        <v>770</v>
      </c>
      <c r="D365" t="s">
        <v>278</v>
      </c>
      <c r="E365" t="s">
        <v>399</v>
      </c>
      <c r="F365" s="1">
        <v>44013</v>
      </c>
      <c r="G365" s="1">
        <v>44027</v>
      </c>
      <c r="H365" t="s">
        <v>788</v>
      </c>
      <c r="I365">
        <v>117.37</v>
      </c>
      <c r="J365">
        <v>117.37</v>
      </c>
      <c r="K365">
        <v>0</v>
      </c>
      <c r="L365">
        <v>0</v>
      </c>
      <c r="M365">
        <v>0</v>
      </c>
      <c r="N365">
        <v>117.37</v>
      </c>
      <c r="O365" s="14">
        <f t="shared" ca="1" si="5"/>
        <v>2143</v>
      </c>
      <c r="P365" t="s">
        <v>1066</v>
      </c>
    </row>
    <row r="366" spans="1:16" ht="12.75" customHeight="1" x14ac:dyDescent="0.2">
      <c r="A366" t="s">
        <v>604</v>
      </c>
      <c r="B366" t="s">
        <v>651</v>
      </c>
      <c r="C366" t="s">
        <v>770</v>
      </c>
      <c r="D366" t="s">
        <v>278</v>
      </c>
      <c r="E366" t="s">
        <v>399</v>
      </c>
      <c r="F366" s="1">
        <v>44047</v>
      </c>
      <c r="G366" s="1">
        <v>44061</v>
      </c>
      <c r="H366" t="s">
        <v>722</v>
      </c>
      <c r="I366">
        <v>117.37</v>
      </c>
      <c r="J366">
        <v>117.37</v>
      </c>
      <c r="K366">
        <v>0</v>
      </c>
      <c r="L366">
        <v>0</v>
      </c>
      <c r="M366">
        <v>0</v>
      </c>
      <c r="N366">
        <v>117.37</v>
      </c>
      <c r="O366" s="14">
        <f t="shared" ca="1" si="5"/>
        <v>2109</v>
      </c>
      <c r="P366" t="s">
        <v>1066</v>
      </c>
    </row>
    <row r="367" spans="1:16" ht="12.75" customHeight="1" x14ac:dyDescent="0.2">
      <c r="A367" t="s">
        <v>604</v>
      </c>
      <c r="B367" t="s">
        <v>651</v>
      </c>
      <c r="C367" t="s">
        <v>770</v>
      </c>
      <c r="D367" t="s">
        <v>278</v>
      </c>
      <c r="E367" t="s">
        <v>399</v>
      </c>
      <c r="F367" s="1">
        <v>44075</v>
      </c>
      <c r="G367" s="1">
        <v>44089</v>
      </c>
      <c r="H367" t="s">
        <v>1086</v>
      </c>
      <c r="I367">
        <v>117.37</v>
      </c>
      <c r="J367">
        <v>117.37</v>
      </c>
      <c r="K367">
        <v>0</v>
      </c>
      <c r="L367">
        <v>0</v>
      </c>
      <c r="M367">
        <v>0</v>
      </c>
      <c r="N367">
        <v>117.37</v>
      </c>
      <c r="O367" s="14">
        <f t="shared" ca="1" si="5"/>
        <v>2081</v>
      </c>
      <c r="P367" t="s">
        <v>1066</v>
      </c>
    </row>
    <row r="368" spans="1:16" ht="12.75" customHeight="1" x14ac:dyDescent="0.2">
      <c r="A368" t="s">
        <v>604</v>
      </c>
      <c r="B368" t="s">
        <v>651</v>
      </c>
      <c r="C368" t="s">
        <v>770</v>
      </c>
      <c r="D368" t="s">
        <v>278</v>
      </c>
      <c r="E368" t="s">
        <v>399</v>
      </c>
      <c r="F368" s="1">
        <v>44110</v>
      </c>
      <c r="G368" s="1">
        <v>44124</v>
      </c>
      <c r="H368" t="s">
        <v>867</v>
      </c>
      <c r="I368">
        <v>117.37</v>
      </c>
      <c r="J368">
        <v>117.37</v>
      </c>
      <c r="K368">
        <v>0</v>
      </c>
      <c r="L368">
        <v>0</v>
      </c>
      <c r="M368">
        <v>0</v>
      </c>
      <c r="N368">
        <v>117.37</v>
      </c>
      <c r="O368" s="14">
        <f t="shared" ca="1" si="5"/>
        <v>2046</v>
      </c>
      <c r="P368" t="s">
        <v>1066</v>
      </c>
    </row>
    <row r="369" spans="1:16" ht="12.75" customHeight="1" x14ac:dyDescent="0.2">
      <c r="A369" t="s">
        <v>604</v>
      </c>
      <c r="B369" t="s">
        <v>651</v>
      </c>
      <c r="C369" t="s">
        <v>770</v>
      </c>
      <c r="D369" t="s">
        <v>278</v>
      </c>
      <c r="E369" t="s">
        <v>399</v>
      </c>
      <c r="F369" s="1">
        <v>44110</v>
      </c>
      <c r="G369" s="1">
        <v>44124</v>
      </c>
      <c r="H369" t="s">
        <v>719</v>
      </c>
      <c r="I369">
        <v>30.25</v>
      </c>
      <c r="J369">
        <v>30.25</v>
      </c>
      <c r="K369">
        <v>0</v>
      </c>
      <c r="L369">
        <v>0</v>
      </c>
      <c r="M369">
        <v>0</v>
      </c>
      <c r="N369">
        <v>30.25</v>
      </c>
      <c r="O369" s="14">
        <f t="shared" ca="1" si="5"/>
        <v>2046</v>
      </c>
      <c r="P369" t="s">
        <v>1066</v>
      </c>
    </row>
    <row r="370" spans="1:16" ht="12.75" customHeight="1" x14ac:dyDescent="0.2">
      <c r="A370" t="s">
        <v>604</v>
      </c>
      <c r="B370" t="s">
        <v>651</v>
      </c>
      <c r="C370" t="s">
        <v>770</v>
      </c>
      <c r="D370" t="s">
        <v>278</v>
      </c>
      <c r="E370" t="s">
        <v>399</v>
      </c>
      <c r="F370" s="1">
        <v>44138</v>
      </c>
      <c r="G370" s="1">
        <v>44152</v>
      </c>
      <c r="H370" t="s">
        <v>333</v>
      </c>
      <c r="I370">
        <v>117.37</v>
      </c>
      <c r="J370">
        <v>117.37</v>
      </c>
      <c r="K370">
        <v>0</v>
      </c>
      <c r="L370">
        <v>0</v>
      </c>
      <c r="M370">
        <v>0</v>
      </c>
      <c r="N370">
        <v>117.37</v>
      </c>
      <c r="O370" s="14">
        <f t="shared" ca="1" si="5"/>
        <v>2018</v>
      </c>
      <c r="P370" t="s">
        <v>1066</v>
      </c>
    </row>
    <row r="371" spans="1:16" ht="12.75" customHeight="1" x14ac:dyDescent="0.2">
      <c r="A371" t="s">
        <v>604</v>
      </c>
      <c r="B371" t="s">
        <v>651</v>
      </c>
      <c r="C371" t="s">
        <v>770</v>
      </c>
      <c r="D371" t="s">
        <v>278</v>
      </c>
      <c r="E371" t="s">
        <v>399</v>
      </c>
      <c r="F371" s="1">
        <v>44166</v>
      </c>
      <c r="G371" s="1">
        <v>44180</v>
      </c>
      <c r="H371" t="s">
        <v>444</v>
      </c>
      <c r="I371">
        <v>30.25</v>
      </c>
      <c r="J371">
        <v>30.25</v>
      </c>
      <c r="K371">
        <v>0</v>
      </c>
      <c r="L371">
        <v>0</v>
      </c>
      <c r="M371">
        <v>0</v>
      </c>
      <c r="N371">
        <v>30.25</v>
      </c>
      <c r="O371" s="14">
        <f t="shared" ca="1" si="5"/>
        <v>1990</v>
      </c>
      <c r="P371" t="s">
        <v>1066</v>
      </c>
    </row>
    <row r="372" spans="1:16" ht="12.75" customHeight="1" x14ac:dyDescent="0.2">
      <c r="A372" t="s">
        <v>604</v>
      </c>
      <c r="B372" t="s">
        <v>651</v>
      </c>
      <c r="C372" t="s">
        <v>71</v>
      </c>
      <c r="D372" t="s">
        <v>192</v>
      </c>
      <c r="E372" t="s">
        <v>399</v>
      </c>
      <c r="F372" s="1">
        <v>45936</v>
      </c>
      <c r="G372" s="1">
        <v>46026</v>
      </c>
      <c r="H372" t="s">
        <v>26</v>
      </c>
      <c r="I372">
        <v>242</v>
      </c>
      <c r="J372">
        <v>242</v>
      </c>
      <c r="K372">
        <v>0</v>
      </c>
      <c r="L372">
        <v>0</v>
      </c>
      <c r="M372">
        <v>0</v>
      </c>
      <c r="N372">
        <v>242</v>
      </c>
      <c r="O372" s="14">
        <f t="shared" ca="1" si="5"/>
        <v>144</v>
      </c>
      <c r="P372" t="s">
        <v>589</v>
      </c>
    </row>
    <row r="373" spans="1:16" ht="12.75" customHeight="1" x14ac:dyDescent="0.2">
      <c r="A373" t="s">
        <v>604</v>
      </c>
      <c r="B373" t="s">
        <v>651</v>
      </c>
      <c r="C373" t="s">
        <v>71</v>
      </c>
      <c r="D373" t="s">
        <v>192</v>
      </c>
      <c r="E373" t="s">
        <v>399</v>
      </c>
      <c r="F373" s="1">
        <v>46030</v>
      </c>
      <c r="G373" s="1">
        <v>46120</v>
      </c>
      <c r="H373" t="s">
        <v>542</v>
      </c>
      <c r="I373">
        <v>242</v>
      </c>
      <c r="J373">
        <v>242</v>
      </c>
      <c r="K373">
        <v>0</v>
      </c>
      <c r="L373">
        <v>242</v>
      </c>
      <c r="M373">
        <v>0</v>
      </c>
      <c r="N373">
        <v>0</v>
      </c>
      <c r="O373" s="14">
        <f t="shared" ca="1" si="5"/>
        <v>50</v>
      </c>
      <c r="P373" t="s">
        <v>589</v>
      </c>
    </row>
    <row r="374" spans="1:16" ht="12.75" customHeight="1" x14ac:dyDescent="0.2">
      <c r="A374" t="s">
        <v>604</v>
      </c>
      <c r="B374" t="s">
        <v>651</v>
      </c>
      <c r="C374" t="s">
        <v>639</v>
      </c>
      <c r="D374" t="s">
        <v>74</v>
      </c>
      <c r="E374" t="s">
        <v>399</v>
      </c>
      <c r="F374" s="1">
        <v>46030</v>
      </c>
      <c r="G374" s="1">
        <v>46120</v>
      </c>
      <c r="H374" t="s">
        <v>532</v>
      </c>
      <c r="I374">
        <v>121</v>
      </c>
      <c r="J374">
        <v>121</v>
      </c>
      <c r="K374">
        <v>0</v>
      </c>
      <c r="L374">
        <v>121</v>
      </c>
      <c r="M374">
        <v>0</v>
      </c>
      <c r="N374">
        <v>0</v>
      </c>
      <c r="O374" s="14">
        <f t="shared" ca="1" si="5"/>
        <v>50</v>
      </c>
      <c r="P374" t="s">
        <v>589</v>
      </c>
    </row>
    <row r="375" spans="1:16" ht="12.75" customHeight="1" x14ac:dyDescent="0.2">
      <c r="A375" t="s">
        <v>604</v>
      </c>
      <c r="B375" t="s">
        <v>651</v>
      </c>
      <c r="C375" t="s">
        <v>143</v>
      </c>
      <c r="D375" t="s">
        <v>477</v>
      </c>
      <c r="E375" t="s">
        <v>399</v>
      </c>
      <c r="F375" s="1">
        <v>45936</v>
      </c>
      <c r="G375" s="1">
        <v>46026</v>
      </c>
      <c r="H375" t="s">
        <v>1187</v>
      </c>
      <c r="I375">
        <v>181.5</v>
      </c>
      <c r="J375">
        <v>181.5</v>
      </c>
      <c r="K375">
        <v>0</v>
      </c>
      <c r="L375">
        <v>0</v>
      </c>
      <c r="M375">
        <v>0</v>
      </c>
      <c r="N375">
        <v>181.5</v>
      </c>
      <c r="O375" s="14">
        <f t="shared" ca="1" si="5"/>
        <v>144</v>
      </c>
      <c r="P375" t="s">
        <v>589</v>
      </c>
    </row>
    <row r="376" spans="1:16" ht="12.75" customHeight="1" x14ac:dyDescent="0.2">
      <c r="A376" t="s">
        <v>604</v>
      </c>
      <c r="B376" t="s">
        <v>651</v>
      </c>
      <c r="C376" t="s">
        <v>143</v>
      </c>
      <c r="D376" t="s">
        <v>477</v>
      </c>
      <c r="E376" t="s">
        <v>399</v>
      </c>
      <c r="F376" s="1">
        <v>46030</v>
      </c>
      <c r="G376" s="1">
        <v>46120</v>
      </c>
      <c r="H376" t="s">
        <v>425</v>
      </c>
      <c r="I376">
        <v>181.5</v>
      </c>
      <c r="J376">
        <v>181.5</v>
      </c>
      <c r="K376">
        <v>0</v>
      </c>
      <c r="L376">
        <v>181.5</v>
      </c>
      <c r="M376">
        <v>0</v>
      </c>
      <c r="N376">
        <v>0</v>
      </c>
      <c r="O376" s="14">
        <f t="shared" ca="1" si="5"/>
        <v>50</v>
      </c>
      <c r="P376" t="s">
        <v>589</v>
      </c>
    </row>
    <row r="377" spans="1:16" ht="12.75" customHeight="1" x14ac:dyDescent="0.2">
      <c r="A377" t="s">
        <v>604</v>
      </c>
      <c r="B377" t="s">
        <v>651</v>
      </c>
      <c r="C377" t="s">
        <v>614</v>
      </c>
      <c r="D377" t="s">
        <v>300</v>
      </c>
      <c r="E377" t="s">
        <v>399</v>
      </c>
      <c r="F377" s="1">
        <v>46030</v>
      </c>
      <c r="G377" s="1">
        <v>46120</v>
      </c>
      <c r="H377" t="s">
        <v>530</v>
      </c>
      <c r="I377">
        <v>415.94</v>
      </c>
      <c r="J377">
        <v>415.94</v>
      </c>
      <c r="K377">
        <v>0</v>
      </c>
      <c r="L377">
        <v>415.94</v>
      </c>
      <c r="M377">
        <v>0</v>
      </c>
      <c r="N377">
        <v>0</v>
      </c>
      <c r="O377" s="14">
        <f t="shared" ca="1" si="5"/>
        <v>50</v>
      </c>
      <c r="P377" t="s">
        <v>589</v>
      </c>
    </row>
    <row r="378" spans="1:16" ht="12.75" customHeight="1" x14ac:dyDescent="0.2">
      <c r="A378" t="s">
        <v>604</v>
      </c>
      <c r="B378" t="s">
        <v>651</v>
      </c>
      <c r="C378" t="s">
        <v>1286</v>
      </c>
      <c r="D378" t="s">
        <v>429</v>
      </c>
      <c r="E378" t="s">
        <v>1150</v>
      </c>
      <c r="F378" s="1">
        <v>44927</v>
      </c>
      <c r="G378" s="1">
        <v>44957</v>
      </c>
      <c r="H378" t="s">
        <v>900</v>
      </c>
      <c r="I378">
        <v>180.29</v>
      </c>
      <c r="J378">
        <v>23.64</v>
      </c>
      <c r="K378">
        <v>0</v>
      </c>
      <c r="L378">
        <v>0</v>
      </c>
      <c r="M378">
        <v>0</v>
      </c>
      <c r="N378">
        <v>23.64</v>
      </c>
      <c r="O378" s="14">
        <f t="shared" ca="1" si="5"/>
        <v>1213</v>
      </c>
      <c r="P378" t="s">
        <v>1066</v>
      </c>
    </row>
    <row r="379" spans="1:16" ht="12.75" customHeight="1" x14ac:dyDescent="0.2">
      <c r="A379" t="s">
        <v>604</v>
      </c>
      <c r="B379" t="s">
        <v>651</v>
      </c>
      <c r="C379" t="s">
        <v>1286</v>
      </c>
      <c r="D379" t="s">
        <v>429</v>
      </c>
      <c r="E379" t="s">
        <v>399</v>
      </c>
      <c r="F379" s="1">
        <v>44942</v>
      </c>
      <c r="G379" s="1">
        <v>44956</v>
      </c>
      <c r="H379" t="s">
        <v>1038</v>
      </c>
      <c r="I379">
        <v>211.75</v>
      </c>
      <c r="J379">
        <v>211.75</v>
      </c>
      <c r="K379">
        <v>0</v>
      </c>
      <c r="L379">
        <v>0</v>
      </c>
      <c r="M379">
        <v>0</v>
      </c>
      <c r="N379">
        <v>211.75</v>
      </c>
      <c r="O379" s="14">
        <f t="shared" ca="1" si="5"/>
        <v>1214</v>
      </c>
      <c r="P379" t="s">
        <v>1066</v>
      </c>
    </row>
    <row r="380" spans="1:16" ht="12.75" customHeight="1" x14ac:dyDescent="0.2">
      <c r="A380" t="s">
        <v>604</v>
      </c>
      <c r="B380" t="s">
        <v>651</v>
      </c>
      <c r="C380" t="s">
        <v>1286</v>
      </c>
      <c r="D380" t="s">
        <v>429</v>
      </c>
      <c r="E380" t="s">
        <v>399</v>
      </c>
      <c r="F380" s="1">
        <v>44965</v>
      </c>
      <c r="G380" s="1">
        <v>44979</v>
      </c>
      <c r="H380" t="s">
        <v>805</v>
      </c>
      <c r="I380">
        <v>211.75</v>
      </c>
      <c r="J380">
        <v>211.75</v>
      </c>
      <c r="K380">
        <v>0</v>
      </c>
      <c r="L380">
        <v>0</v>
      </c>
      <c r="M380">
        <v>0</v>
      </c>
      <c r="N380">
        <v>211.75</v>
      </c>
      <c r="O380" s="14">
        <f t="shared" ca="1" si="5"/>
        <v>1191</v>
      </c>
      <c r="P380" t="s">
        <v>1066</v>
      </c>
    </row>
    <row r="381" spans="1:16" ht="12.75" customHeight="1" x14ac:dyDescent="0.2">
      <c r="A381" t="s">
        <v>604</v>
      </c>
      <c r="B381" t="s">
        <v>651</v>
      </c>
      <c r="C381" t="s">
        <v>1286</v>
      </c>
      <c r="D381" t="s">
        <v>429</v>
      </c>
      <c r="E381" t="s">
        <v>399</v>
      </c>
      <c r="F381" s="1">
        <v>44991</v>
      </c>
      <c r="G381" s="1">
        <v>45005</v>
      </c>
      <c r="H381" t="s">
        <v>519</v>
      </c>
      <c r="I381">
        <v>211.75</v>
      </c>
      <c r="J381">
        <v>211.75</v>
      </c>
      <c r="K381">
        <v>0</v>
      </c>
      <c r="L381">
        <v>0</v>
      </c>
      <c r="M381">
        <v>0</v>
      </c>
      <c r="N381">
        <v>211.75</v>
      </c>
      <c r="O381" s="14">
        <f t="shared" ca="1" si="5"/>
        <v>1165</v>
      </c>
      <c r="P381" t="s">
        <v>1066</v>
      </c>
    </row>
    <row r="382" spans="1:16" ht="12.75" customHeight="1" x14ac:dyDescent="0.2">
      <c r="A382" t="s">
        <v>604</v>
      </c>
      <c r="B382" t="s">
        <v>651</v>
      </c>
      <c r="C382" t="s">
        <v>1286</v>
      </c>
      <c r="D382" t="s">
        <v>429</v>
      </c>
      <c r="E382" t="s">
        <v>399</v>
      </c>
      <c r="F382" s="1">
        <v>45020</v>
      </c>
      <c r="G382" s="1">
        <v>45034</v>
      </c>
      <c r="H382" t="s">
        <v>73</v>
      </c>
      <c r="I382">
        <v>211.75</v>
      </c>
      <c r="J382">
        <v>211.75</v>
      </c>
      <c r="K382">
        <v>0</v>
      </c>
      <c r="L382">
        <v>0</v>
      </c>
      <c r="M382">
        <v>0</v>
      </c>
      <c r="N382">
        <v>211.75</v>
      </c>
      <c r="O382" s="14">
        <f t="shared" ca="1" si="5"/>
        <v>1136</v>
      </c>
      <c r="P382" t="s">
        <v>1066</v>
      </c>
    </row>
    <row r="383" spans="1:16" ht="12.75" customHeight="1" x14ac:dyDescent="0.2">
      <c r="A383" t="s">
        <v>604</v>
      </c>
      <c r="B383" t="s">
        <v>651</v>
      </c>
      <c r="C383" t="s">
        <v>1286</v>
      </c>
      <c r="D383" t="s">
        <v>429</v>
      </c>
      <c r="E383" t="s">
        <v>399</v>
      </c>
      <c r="F383" s="1">
        <v>45048</v>
      </c>
      <c r="G383" s="1">
        <v>45062</v>
      </c>
      <c r="H383" t="s">
        <v>112</v>
      </c>
      <c r="I383">
        <v>211.75</v>
      </c>
      <c r="J383">
        <v>211.75</v>
      </c>
      <c r="K383">
        <v>0</v>
      </c>
      <c r="L383">
        <v>0</v>
      </c>
      <c r="M383">
        <v>0</v>
      </c>
      <c r="N383">
        <v>211.75</v>
      </c>
      <c r="O383" s="14">
        <f t="shared" ca="1" si="5"/>
        <v>1108</v>
      </c>
      <c r="P383" t="s">
        <v>1066</v>
      </c>
    </row>
    <row r="384" spans="1:16" ht="12.75" customHeight="1" x14ac:dyDescent="0.2">
      <c r="A384" t="s">
        <v>604</v>
      </c>
      <c r="B384" t="s">
        <v>651</v>
      </c>
      <c r="C384" t="s">
        <v>1286</v>
      </c>
      <c r="D384" t="s">
        <v>429</v>
      </c>
      <c r="E384" t="s">
        <v>399</v>
      </c>
      <c r="F384" s="1">
        <v>45082</v>
      </c>
      <c r="G384" s="1">
        <v>45096</v>
      </c>
      <c r="H384" t="s">
        <v>36</v>
      </c>
      <c r="I384">
        <v>211.75</v>
      </c>
      <c r="J384">
        <v>211.75</v>
      </c>
      <c r="K384">
        <v>0</v>
      </c>
      <c r="L384">
        <v>0</v>
      </c>
      <c r="M384">
        <v>0</v>
      </c>
      <c r="N384">
        <v>211.75</v>
      </c>
      <c r="O384" s="14">
        <f t="shared" ca="1" si="5"/>
        <v>1074</v>
      </c>
      <c r="P384" t="s">
        <v>1066</v>
      </c>
    </row>
    <row r="385" spans="1:16" ht="12.75" customHeight="1" x14ac:dyDescent="0.2">
      <c r="A385" t="s">
        <v>604</v>
      </c>
      <c r="B385" t="s">
        <v>651</v>
      </c>
      <c r="C385" t="s">
        <v>1286</v>
      </c>
      <c r="D385" t="s">
        <v>429</v>
      </c>
      <c r="E385" t="s">
        <v>399</v>
      </c>
      <c r="F385" s="1">
        <v>45110</v>
      </c>
      <c r="G385" s="1">
        <v>45124</v>
      </c>
      <c r="H385" t="s">
        <v>17</v>
      </c>
      <c r="I385">
        <v>242</v>
      </c>
      <c r="J385">
        <v>242</v>
      </c>
      <c r="K385">
        <v>0</v>
      </c>
      <c r="L385">
        <v>0</v>
      </c>
      <c r="M385">
        <v>0</v>
      </c>
      <c r="N385">
        <v>242</v>
      </c>
      <c r="O385" s="14">
        <f t="shared" ca="1" si="5"/>
        <v>1046</v>
      </c>
      <c r="P385" t="s">
        <v>1066</v>
      </c>
    </row>
    <row r="386" spans="1:16" ht="12.75" customHeight="1" x14ac:dyDescent="0.2">
      <c r="A386" t="s">
        <v>604</v>
      </c>
      <c r="B386" t="s">
        <v>651</v>
      </c>
      <c r="C386" t="s">
        <v>1286</v>
      </c>
      <c r="D386" t="s">
        <v>429</v>
      </c>
      <c r="E386" t="s">
        <v>399</v>
      </c>
      <c r="F386" s="1">
        <v>45141</v>
      </c>
      <c r="G386" s="1">
        <v>45155</v>
      </c>
      <c r="H386" t="s">
        <v>557</v>
      </c>
      <c r="I386">
        <v>242</v>
      </c>
      <c r="J386">
        <v>242</v>
      </c>
      <c r="K386">
        <v>0</v>
      </c>
      <c r="L386">
        <v>0</v>
      </c>
      <c r="M386">
        <v>0</v>
      </c>
      <c r="N386">
        <v>242</v>
      </c>
      <c r="O386" s="14">
        <f t="shared" ca="1" si="5"/>
        <v>1015</v>
      </c>
      <c r="P386" t="s">
        <v>1066</v>
      </c>
    </row>
    <row r="387" spans="1:16" ht="12.75" customHeight="1" x14ac:dyDescent="0.2">
      <c r="A387" t="s">
        <v>604</v>
      </c>
      <c r="B387" t="s">
        <v>651</v>
      </c>
      <c r="C387" t="s">
        <v>1286</v>
      </c>
      <c r="D387" t="s">
        <v>429</v>
      </c>
      <c r="E387" t="s">
        <v>399</v>
      </c>
      <c r="F387" s="1">
        <v>45174</v>
      </c>
      <c r="G387" s="1">
        <v>45188</v>
      </c>
      <c r="H387" t="s">
        <v>134</v>
      </c>
      <c r="I387">
        <v>242</v>
      </c>
      <c r="J387">
        <v>242</v>
      </c>
      <c r="K387">
        <v>0</v>
      </c>
      <c r="L387">
        <v>0</v>
      </c>
      <c r="M387">
        <v>0</v>
      </c>
      <c r="N387">
        <v>242</v>
      </c>
      <c r="O387" s="14">
        <f t="shared" ref="O387:O450" ca="1" si="6">TODAY()-G387</f>
        <v>982</v>
      </c>
      <c r="P387" t="s">
        <v>1066</v>
      </c>
    </row>
    <row r="388" spans="1:16" ht="12.75" customHeight="1" x14ac:dyDescent="0.2">
      <c r="A388" t="s">
        <v>604</v>
      </c>
      <c r="B388" t="s">
        <v>651</v>
      </c>
      <c r="C388" t="s">
        <v>1286</v>
      </c>
      <c r="D388" t="s">
        <v>429</v>
      </c>
      <c r="E388" t="s">
        <v>399</v>
      </c>
      <c r="F388" s="1">
        <v>45202</v>
      </c>
      <c r="G388" s="1">
        <v>45216</v>
      </c>
      <c r="H388" t="s">
        <v>456</v>
      </c>
      <c r="I388">
        <v>242</v>
      </c>
      <c r="J388">
        <v>242</v>
      </c>
      <c r="K388">
        <v>0</v>
      </c>
      <c r="L388">
        <v>0</v>
      </c>
      <c r="M388">
        <v>0</v>
      </c>
      <c r="N388">
        <v>242</v>
      </c>
      <c r="O388" s="14">
        <f t="shared" ca="1" si="6"/>
        <v>954</v>
      </c>
      <c r="P388" t="s">
        <v>1066</v>
      </c>
    </row>
    <row r="389" spans="1:16" ht="12.75" customHeight="1" x14ac:dyDescent="0.2">
      <c r="A389" t="s">
        <v>604</v>
      </c>
      <c r="B389" t="s">
        <v>651</v>
      </c>
      <c r="C389" t="s">
        <v>1286</v>
      </c>
      <c r="D389" t="s">
        <v>429</v>
      </c>
      <c r="E389" t="s">
        <v>399</v>
      </c>
      <c r="F389" s="1">
        <v>45237</v>
      </c>
      <c r="G389" s="1">
        <v>45251</v>
      </c>
      <c r="H389" t="s">
        <v>819</v>
      </c>
      <c r="I389">
        <v>242</v>
      </c>
      <c r="J389">
        <v>242</v>
      </c>
      <c r="K389">
        <v>0</v>
      </c>
      <c r="L389">
        <v>0</v>
      </c>
      <c r="M389">
        <v>0</v>
      </c>
      <c r="N389">
        <v>242</v>
      </c>
      <c r="O389" s="14">
        <f t="shared" ca="1" si="6"/>
        <v>919</v>
      </c>
      <c r="P389" t="s">
        <v>1066</v>
      </c>
    </row>
    <row r="390" spans="1:16" ht="12.75" customHeight="1" x14ac:dyDescent="0.2">
      <c r="A390" t="s">
        <v>604</v>
      </c>
      <c r="B390" t="s">
        <v>651</v>
      </c>
      <c r="C390" t="s">
        <v>1286</v>
      </c>
      <c r="D390" t="s">
        <v>429</v>
      </c>
      <c r="E390" t="s">
        <v>399</v>
      </c>
      <c r="F390" s="1">
        <v>45265</v>
      </c>
      <c r="G390" s="1">
        <v>45279</v>
      </c>
      <c r="H390" t="s">
        <v>893</v>
      </c>
      <c r="I390">
        <v>242</v>
      </c>
      <c r="J390">
        <v>242</v>
      </c>
      <c r="K390">
        <v>0</v>
      </c>
      <c r="L390">
        <v>0</v>
      </c>
      <c r="M390">
        <v>0</v>
      </c>
      <c r="N390">
        <v>242</v>
      </c>
      <c r="O390" s="14">
        <f t="shared" ca="1" si="6"/>
        <v>891</v>
      </c>
      <c r="P390" t="s">
        <v>1066</v>
      </c>
    </row>
    <row r="391" spans="1:16" ht="12.75" customHeight="1" x14ac:dyDescent="0.2">
      <c r="A391" t="s">
        <v>604</v>
      </c>
      <c r="B391" t="s">
        <v>651</v>
      </c>
      <c r="C391" t="s">
        <v>1286</v>
      </c>
      <c r="D391" t="s">
        <v>429</v>
      </c>
      <c r="E391" t="s">
        <v>399</v>
      </c>
      <c r="F391" s="1">
        <v>45295</v>
      </c>
      <c r="G391" s="1">
        <v>45309</v>
      </c>
      <c r="H391" t="s">
        <v>216</v>
      </c>
      <c r="I391">
        <v>242</v>
      </c>
      <c r="J391">
        <v>242</v>
      </c>
      <c r="K391">
        <v>0</v>
      </c>
      <c r="L391">
        <v>0</v>
      </c>
      <c r="M391">
        <v>0</v>
      </c>
      <c r="N391">
        <v>242</v>
      </c>
      <c r="O391" s="14">
        <f t="shared" ca="1" si="6"/>
        <v>861</v>
      </c>
      <c r="P391" t="s">
        <v>589</v>
      </c>
    </row>
    <row r="392" spans="1:16" ht="12.75" customHeight="1" x14ac:dyDescent="0.2">
      <c r="A392" t="s">
        <v>604</v>
      </c>
      <c r="B392" t="s">
        <v>651</v>
      </c>
      <c r="C392" t="s">
        <v>1286</v>
      </c>
      <c r="D392" t="s">
        <v>429</v>
      </c>
      <c r="E392" t="s">
        <v>399</v>
      </c>
      <c r="F392" s="1">
        <v>45327</v>
      </c>
      <c r="G392" s="1">
        <v>45341</v>
      </c>
      <c r="H392" t="s">
        <v>0</v>
      </c>
      <c r="I392">
        <v>242</v>
      </c>
      <c r="J392">
        <v>242</v>
      </c>
      <c r="K392">
        <v>0</v>
      </c>
      <c r="L392">
        <v>0</v>
      </c>
      <c r="M392">
        <v>0</v>
      </c>
      <c r="N392">
        <v>242</v>
      </c>
      <c r="O392" s="14">
        <f t="shared" ca="1" si="6"/>
        <v>829</v>
      </c>
      <c r="P392" t="s">
        <v>589</v>
      </c>
    </row>
    <row r="393" spans="1:16" ht="12.75" customHeight="1" x14ac:dyDescent="0.2">
      <c r="A393" t="s">
        <v>604</v>
      </c>
      <c r="B393" t="s">
        <v>651</v>
      </c>
      <c r="C393" t="s">
        <v>1286</v>
      </c>
      <c r="D393" t="s">
        <v>429</v>
      </c>
      <c r="E393" t="s">
        <v>399</v>
      </c>
      <c r="F393" s="1">
        <v>45357</v>
      </c>
      <c r="G393" s="1">
        <v>45371</v>
      </c>
      <c r="H393" t="s">
        <v>786</v>
      </c>
      <c r="I393">
        <v>242</v>
      </c>
      <c r="J393">
        <v>242</v>
      </c>
      <c r="K393">
        <v>0</v>
      </c>
      <c r="L393">
        <v>0</v>
      </c>
      <c r="M393">
        <v>0</v>
      </c>
      <c r="N393">
        <v>242</v>
      </c>
      <c r="O393" s="14">
        <f t="shared" ca="1" si="6"/>
        <v>799</v>
      </c>
      <c r="P393" t="s">
        <v>589</v>
      </c>
    </row>
    <row r="394" spans="1:16" ht="12.75" customHeight="1" x14ac:dyDescent="0.2">
      <c r="A394" t="s">
        <v>604</v>
      </c>
      <c r="B394" t="s">
        <v>651</v>
      </c>
      <c r="C394" t="s">
        <v>1286</v>
      </c>
      <c r="D394" t="s">
        <v>429</v>
      </c>
      <c r="E394" t="s">
        <v>399</v>
      </c>
      <c r="F394" s="1">
        <v>45386</v>
      </c>
      <c r="G394" s="1">
        <v>45400</v>
      </c>
      <c r="H394" t="s">
        <v>318</v>
      </c>
      <c r="I394">
        <v>242</v>
      </c>
      <c r="J394">
        <v>242</v>
      </c>
      <c r="K394">
        <v>0</v>
      </c>
      <c r="L394">
        <v>0</v>
      </c>
      <c r="M394">
        <v>0</v>
      </c>
      <c r="N394">
        <v>242</v>
      </c>
      <c r="O394" s="14">
        <f t="shared" ca="1" si="6"/>
        <v>770</v>
      </c>
      <c r="P394" t="s">
        <v>589</v>
      </c>
    </row>
    <row r="395" spans="1:16" ht="12.75" customHeight="1" x14ac:dyDescent="0.2">
      <c r="A395" t="s">
        <v>604</v>
      </c>
      <c r="B395" t="s">
        <v>651</v>
      </c>
      <c r="C395" t="s">
        <v>1286</v>
      </c>
      <c r="D395" t="s">
        <v>429</v>
      </c>
      <c r="E395" t="s">
        <v>399</v>
      </c>
      <c r="F395" s="1">
        <v>45418</v>
      </c>
      <c r="G395" s="1">
        <v>45432</v>
      </c>
      <c r="H395" t="s">
        <v>400</v>
      </c>
      <c r="I395">
        <v>242</v>
      </c>
      <c r="J395">
        <v>242</v>
      </c>
      <c r="K395">
        <v>0</v>
      </c>
      <c r="L395">
        <v>0</v>
      </c>
      <c r="M395">
        <v>0</v>
      </c>
      <c r="N395">
        <v>242</v>
      </c>
      <c r="O395" s="14">
        <f t="shared" ca="1" si="6"/>
        <v>738</v>
      </c>
      <c r="P395" t="s">
        <v>589</v>
      </c>
    </row>
    <row r="396" spans="1:16" ht="12.75" customHeight="1" x14ac:dyDescent="0.2">
      <c r="A396" t="s">
        <v>604</v>
      </c>
      <c r="B396" t="s">
        <v>651</v>
      </c>
      <c r="C396" t="s">
        <v>1286</v>
      </c>
      <c r="D396" t="s">
        <v>429</v>
      </c>
      <c r="E396" t="s">
        <v>399</v>
      </c>
      <c r="F396" s="1">
        <v>45446</v>
      </c>
      <c r="G396" s="1">
        <v>45460</v>
      </c>
      <c r="H396" t="s">
        <v>937</v>
      </c>
      <c r="I396">
        <v>242</v>
      </c>
      <c r="J396">
        <v>242</v>
      </c>
      <c r="K396">
        <v>0</v>
      </c>
      <c r="L396">
        <v>0</v>
      </c>
      <c r="M396">
        <v>0</v>
      </c>
      <c r="N396">
        <v>242</v>
      </c>
      <c r="O396" s="14">
        <f t="shared" ca="1" si="6"/>
        <v>710</v>
      </c>
      <c r="P396" t="s">
        <v>589</v>
      </c>
    </row>
    <row r="397" spans="1:16" ht="12.75" customHeight="1" x14ac:dyDescent="0.2">
      <c r="A397" t="s">
        <v>604</v>
      </c>
      <c r="B397" t="s">
        <v>651</v>
      </c>
      <c r="C397" t="s">
        <v>1286</v>
      </c>
      <c r="D397" t="s">
        <v>429</v>
      </c>
      <c r="E397" t="s">
        <v>399</v>
      </c>
      <c r="F397" s="1">
        <v>45481</v>
      </c>
      <c r="G397" s="1">
        <v>45495</v>
      </c>
      <c r="H397" t="s">
        <v>537</v>
      </c>
      <c r="I397">
        <v>242</v>
      </c>
      <c r="J397">
        <v>242</v>
      </c>
      <c r="K397">
        <v>0</v>
      </c>
      <c r="L397">
        <v>0</v>
      </c>
      <c r="M397">
        <v>0</v>
      </c>
      <c r="N397">
        <v>242</v>
      </c>
      <c r="O397" s="14">
        <f t="shared" ca="1" si="6"/>
        <v>675</v>
      </c>
      <c r="P397" t="s">
        <v>589</v>
      </c>
    </row>
    <row r="398" spans="1:16" ht="12.75" customHeight="1" x14ac:dyDescent="0.2">
      <c r="A398" t="s">
        <v>604</v>
      </c>
      <c r="B398" t="s">
        <v>651</v>
      </c>
      <c r="C398" t="s">
        <v>1286</v>
      </c>
      <c r="D398" t="s">
        <v>429</v>
      </c>
      <c r="E398" t="s">
        <v>399</v>
      </c>
      <c r="F398" s="1">
        <v>45509</v>
      </c>
      <c r="G398" s="1">
        <v>45523</v>
      </c>
      <c r="H398" t="s">
        <v>1059</v>
      </c>
      <c r="I398">
        <v>242</v>
      </c>
      <c r="J398">
        <v>242</v>
      </c>
      <c r="K398">
        <v>0</v>
      </c>
      <c r="L398">
        <v>0</v>
      </c>
      <c r="M398">
        <v>0</v>
      </c>
      <c r="N398">
        <v>242</v>
      </c>
      <c r="O398" s="14">
        <f t="shared" ca="1" si="6"/>
        <v>647</v>
      </c>
      <c r="P398" t="s">
        <v>589</v>
      </c>
    </row>
    <row r="399" spans="1:16" ht="12.75" customHeight="1" x14ac:dyDescent="0.2">
      <c r="A399" t="s">
        <v>604</v>
      </c>
      <c r="B399" t="s">
        <v>651</v>
      </c>
      <c r="C399" t="s">
        <v>1286</v>
      </c>
      <c r="D399" t="s">
        <v>429</v>
      </c>
      <c r="E399" t="s">
        <v>399</v>
      </c>
      <c r="F399" s="1">
        <v>45537</v>
      </c>
      <c r="G399" s="1">
        <v>45551</v>
      </c>
      <c r="H399" t="s">
        <v>996</v>
      </c>
      <c r="I399">
        <v>242</v>
      </c>
      <c r="J399">
        <v>242</v>
      </c>
      <c r="K399">
        <v>0</v>
      </c>
      <c r="L399">
        <v>0</v>
      </c>
      <c r="M399">
        <v>0</v>
      </c>
      <c r="N399">
        <v>242</v>
      </c>
      <c r="O399" s="14">
        <f t="shared" ca="1" si="6"/>
        <v>619</v>
      </c>
      <c r="P399" t="s">
        <v>589</v>
      </c>
    </row>
    <row r="400" spans="1:16" ht="12.75" customHeight="1" x14ac:dyDescent="0.2">
      <c r="A400" t="s">
        <v>604</v>
      </c>
      <c r="B400" t="s">
        <v>651</v>
      </c>
      <c r="C400" t="s">
        <v>1286</v>
      </c>
      <c r="D400" t="s">
        <v>429</v>
      </c>
      <c r="E400" t="s">
        <v>399</v>
      </c>
      <c r="F400" s="1">
        <v>45572</v>
      </c>
      <c r="G400" s="1">
        <v>45586</v>
      </c>
      <c r="H400" t="s">
        <v>961</v>
      </c>
      <c r="I400">
        <v>242</v>
      </c>
      <c r="J400">
        <v>242</v>
      </c>
      <c r="K400">
        <v>0</v>
      </c>
      <c r="L400">
        <v>0</v>
      </c>
      <c r="M400">
        <v>0</v>
      </c>
      <c r="N400">
        <v>242</v>
      </c>
      <c r="O400" s="14">
        <f t="shared" ca="1" si="6"/>
        <v>584</v>
      </c>
      <c r="P400" t="s">
        <v>589</v>
      </c>
    </row>
    <row r="401" spans="1:16" ht="12.75" customHeight="1" x14ac:dyDescent="0.2">
      <c r="A401" t="s">
        <v>604</v>
      </c>
      <c r="B401" t="s">
        <v>651</v>
      </c>
      <c r="C401" t="s">
        <v>1286</v>
      </c>
      <c r="D401" t="s">
        <v>429</v>
      </c>
      <c r="E401" t="s">
        <v>399</v>
      </c>
      <c r="F401" s="1">
        <v>45600</v>
      </c>
      <c r="G401" s="1">
        <v>45614</v>
      </c>
      <c r="H401" t="s">
        <v>441</v>
      </c>
      <c r="I401">
        <v>242</v>
      </c>
      <c r="J401">
        <v>242</v>
      </c>
      <c r="K401">
        <v>0</v>
      </c>
      <c r="L401">
        <v>0</v>
      </c>
      <c r="M401">
        <v>0</v>
      </c>
      <c r="N401">
        <v>242</v>
      </c>
      <c r="O401" s="14">
        <f t="shared" ca="1" si="6"/>
        <v>556</v>
      </c>
      <c r="P401" t="s">
        <v>589</v>
      </c>
    </row>
    <row r="402" spans="1:16" ht="12.75" customHeight="1" x14ac:dyDescent="0.2">
      <c r="A402" t="s">
        <v>604</v>
      </c>
      <c r="B402" t="s">
        <v>651</v>
      </c>
      <c r="C402" t="s">
        <v>1286</v>
      </c>
      <c r="D402" t="s">
        <v>429</v>
      </c>
      <c r="E402" t="s">
        <v>399</v>
      </c>
      <c r="F402" s="1">
        <v>45628</v>
      </c>
      <c r="G402" s="1">
        <v>45642</v>
      </c>
      <c r="H402" t="s">
        <v>368</v>
      </c>
      <c r="I402">
        <v>242</v>
      </c>
      <c r="J402">
        <v>242</v>
      </c>
      <c r="K402">
        <v>0</v>
      </c>
      <c r="L402">
        <v>0</v>
      </c>
      <c r="M402">
        <v>0</v>
      </c>
      <c r="N402">
        <v>242</v>
      </c>
      <c r="O402" s="14">
        <f t="shared" ca="1" si="6"/>
        <v>528</v>
      </c>
      <c r="P402" t="s">
        <v>589</v>
      </c>
    </row>
    <row r="403" spans="1:16" ht="12.75" customHeight="1" x14ac:dyDescent="0.2">
      <c r="A403" t="s">
        <v>604</v>
      </c>
      <c r="B403" t="s">
        <v>651</v>
      </c>
      <c r="C403" t="s">
        <v>1286</v>
      </c>
      <c r="D403" t="s">
        <v>429</v>
      </c>
      <c r="E403" t="s">
        <v>399</v>
      </c>
      <c r="F403" s="1">
        <v>45672</v>
      </c>
      <c r="G403" s="1">
        <v>45686</v>
      </c>
      <c r="H403" t="s">
        <v>150</v>
      </c>
      <c r="I403">
        <v>242</v>
      </c>
      <c r="J403">
        <v>242</v>
      </c>
      <c r="K403">
        <v>0</v>
      </c>
      <c r="L403">
        <v>0</v>
      </c>
      <c r="M403">
        <v>0</v>
      </c>
      <c r="N403">
        <v>242</v>
      </c>
      <c r="O403" s="14">
        <f t="shared" ca="1" si="6"/>
        <v>484</v>
      </c>
      <c r="P403" t="s">
        <v>589</v>
      </c>
    </row>
    <row r="404" spans="1:16" ht="12.75" customHeight="1" x14ac:dyDescent="0.2">
      <c r="A404" t="s">
        <v>604</v>
      </c>
      <c r="B404" t="s">
        <v>651</v>
      </c>
      <c r="C404" t="s">
        <v>1286</v>
      </c>
      <c r="D404" t="s">
        <v>429</v>
      </c>
      <c r="E404" t="s">
        <v>399</v>
      </c>
      <c r="F404" s="1">
        <v>45691</v>
      </c>
      <c r="G404" s="1">
        <v>45705</v>
      </c>
      <c r="H404" t="s">
        <v>752</v>
      </c>
      <c r="I404">
        <v>242</v>
      </c>
      <c r="J404">
        <v>242</v>
      </c>
      <c r="K404">
        <v>0</v>
      </c>
      <c r="L404">
        <v>0</v>
      </c>
      <c r="M404">
        <v>0</v>
      </c>
      <c r="N404">
        <v>242</v>
      </c>
      <c r="O404" s="14">
        <f t="shared" ca="1" si="6"/>
        <v>465</v>
      </c>
      <c r="P404" t="s">
        <v>589</v>
      </c>
    </row>
    <row r="405" spans="1:16" ht="12.75" customHeight="1" x14ac:dyDescent="0.2">
      <c r="A405" t="s">
        <v>604</v>
      </c>
      <c r="B405" t="s">
        <v>651</v>
      </c>
      <c r="C405" t="s">
        <v>1286</v>
      </c>
      <c r="D405" t="s">
        <v>429</v>
      </c>
      <c r="E405" t="s">
        <v>399</v>
      </c>
      <c r="F405" s="1">
        <v>45721</v>
      </c>
      <c r="G405" s="1">
        <v>45735</v>
      </c>
      <c r="H405" t="s">
        <v>1080</v>
      </c>
      <c r="I405">
        <v>242</v>
      </c>
      <c r="J405">
        <v>242</v>
      </c>
      <c r="K405">
        <v>0</v>
      </c>
      <c r="L405">
        <v>0</v>
      </c>
      <c r="M405">
        <v>0</v>
      </c>
      <c r="N405">
        <v>242</v>
      </c>
      <c r="O405" s="14">
        <f t="shared" ca="1" si="6"/>
        <v>435</v>
      </c>
      <c r="P405" t="s">
        <v>589</v>
      </c>
    </row>
    <row r="406" spans="1:16" ht="12.75" customHeight="1" x14ac:dyDescent="0.2">
      <c r="A406" t="s">
        <v>604</v>
      </c>
      <c r="B406" t="s">
        <v>651</v>
      </c>
      <c r="C406" t="s">
        <v>1286</v>
      </c>
      <c r="D406" t="s">
        <v>429</v>
      </c>
      <c r="E406" t="s">
        <v>399</v>
      </c>
      <c r="F406" s="1">
        <v>45750</v>
      </c>
      <c r="G406" s="1">
        <v>45764</v>
      </c>
      <c r="H406" t="s">
        <v>736</v>
      </c>
      <c r="I406">
        <v>242</v>
      </c>
      <c r="J406">
        <v>242</v>
      </c>
      <c r="K406">
        <v>0</v>
      </c>
      <c r="L406">
        <v>0</v>
      </c>
      <c r="M406">
        <v>0</v>
      </c>
      <c r="N406">
        <v>242</v>
      </c>
      <c r="O406" s="14">
        <f t="shared" ca="1" si="6"/>
        <v>406</v>
      </c>
      <c r="P406" t="s">
        <v>589</v>
      </c>
    </row>
    <row r="407" spans="1:16" ht="12.75" customHeight="1" x14ac:dyDescent="0.2">
      <c r="A407" t="s">
        <v>604</v>
      </c>
      <c r="B407" t="s">
        <v>651</v>
      </c>
      <c r="C407" t="s">
        <v>1286</v>
      </c>
      <c r="D407" t="s">
        <v>429</v>
      </c>
      <c r="E407" t="s">
        <v>399</v>
      </c>
      <c r="F407" s="1">
        <v>45782</v>
      </c>
      <c r="G407" s="1">
        <v>45796</v>
      </c>
      <c r="H407" t="s">
        <v>608</v>
      </c>
      <c r="I407">
        <v>242</v>
      </c>
      <c r="J407">
        <v>242</v>
      </c>
      <c r="K407">
        <v>0</v>
      </c>
      <c r="L407">
        <v>0</v>
      </c>
      <c r="M407">
        <v>0</v>
      </c>
      <c r="N407">
        <v>242</v>
      </c>
      <c r="O407" s="14">
        <f t="shared" ca="1" si="6"/>
        <v>374</v>
      </c>
      <c r="P407" t="s">
        <v>589</v>
      </c>
    </row>
    <row r="408" spans="1:16" ht="12.75" customHeight="1" x14ac:dyDescent="0.2">
      <c r="A408" t="s">
        <v>604</v>
      </c>
      <c r="B408" t="s">
        <v>651</v>
      </c>
      <c r="C408" t="s">
        <v>1286</v>
      </c>
      <c r="D408" t="s">
        <v>429</v>
      </c>
      <c r="E408" t="s">
        <v>399</v>
      </c>
      <c r="F408" s="1">
        <v>45810</v>
      </c>
      <c r="G408" s="1">
        <v>45824</v>
      </c>
      <c r="H408" t="s">
        <v>496</v>
      </c>
      <c r="I408">
        <v>242</v>
      </c>
      <c r="J408">
        <v>242</v>
      </c>
      <c r="K408">
        <v>0</v>
      </c>
      <c r="L408">
        <v>0</v>
      </c>
      <c r="M408">
        <v>0</v>
      </c>
      <c r="N408">
        <v>242</v>
      </c>
      <c r="O408" s="14">
        <f t="shared" ca="1" si="6"/>
        <v>346</v>
      </c>
      <c r="P408" t="s">
        <v>589</v>
      </c>
    </row>
    <row r="409" spans="1:16" ht="12.75" customHeight="1" x14ac:dyDescent="0.2">
      <c r="A409" t="s">
        <v>604</v>
      </c>
      <c r="B409" t="s">
        <v>651</v>
      </c>
      <c r="C409" t="s">
        <v>1286</v>
      </c>
      <c r="D409" t="s">
        <v>429</v>
      </c>
      <c r="E409" t="s">
        <v>399</v>
      </c>
      <c r="F409" s="1">
        <v>45839</v>
      </c>
      <c r="G409" s="1">
        <v>45853</v>
      </c>
      <c r="H409" t="s">
        <v>392</v>
      </c>
      <c r="I409">
        <v>242</v>
      </c>
      <c r="J409">
        <v>242</v>
      </c>
      <c r="K409">
        <v>0</v>
      </c>
      <c r="L409">
        <v>0</v>
      </c>
      <c r="M409">
        <v>0</v>
      </c>
      <c r="N409">
        <v>242</v>
      </c>
      <c r="O409" s="14">
        <f t="shared" ca="1" si="6"/>
        <v>317</v>
      </c>
      <c r="P409" t="s">
        <v>589</v>
      </c>
    </row>
    <row r="410" spans="1:16" ht="12.75" customHeight="1" x14ac:dyDescent="0.2">
      <c r="A410" t="s">
        <v>604</v>
      </c>
      <c r="B410" t="s">
        <v>651</v>
      </c>
      <c r="C410" t="s">
        <v>1286</v>
      </c>
      <c r="D410" t="s">
        <v>429</v>
      </c>
      <c r="E410" t="s">
        <v>399</v>
      </c>
      <c r="F410" s="1">
        <v>45873</v>
      </c>
      <c r="G410" s="1">
        <v>45887</v>
      </c>
      <c r="H410" t="s">
        <v>131</v>
      </c>
      <c r="I410">
        <v>242</v>
      </c>
      <c r="J410">
        <v>242</v>
      </c>
      <c r="K410">
        <v>0</v>
      </c>
      <c r="L410">
        <v>0</v>
      </c>
      <c r="M410">
        <v>0</v>
      </c>
      <c r="N410">
        <v>242</v>
      </c>
      <c r="O410" s="14">
        <f t="shared" ca="1" si="6"/>
        <v>283</v>
      </c>
      <c r="P410" t="s">
        <v>589</v>
      </c>
    </row>
    <row r="411" spans="1:16" ht="12.75" customHeight="1" x14ac:dyDescent="0.2">
      <c r="A411" t="s">
        <v>604</v>
      </c>
      <c r="B411" t="s">
        <v>651</v>
      </c>
      <c r="C411" t="s">
        <v>1286</v>
      </c>
      <c r="D411" t="s">
        <v>429</v>
      </c>
      <c r="E411" t="s">
        <v>399</v>
      </c>
      <c r="F411" s="1">
        <v>45901</v>
      </c>
      <c r="G411" s="1">
        <v>45915</v>
      </c>
      <c r="H411" t="s">
        <v>1175</v>
      </c>
      <c r="I411">
        <v>242</v>
      </c>
      <c r="J411">
        <v>242</v>
      </c>
      <c r="K411">
        <v>0</v>
      </c>
      <c r="L411">
        <v>0</v>
      </c>
      <c r="M411">
        <v>0</v>
      </c>
      <c r="N411">
        <v>242</v>
      </c>
      <c r="O411" s="14">
        <f t="shared" ca="1" si="6"/>
        <v>255</v>
      </c>
      <c r="P411" t="s">
        <v>589</v>
      </c>
    </row>
    <row r="412" spans="1:16" ht="12.75" customHeight="1" x14ac:dyDescent="0.2">
      <c r="A412" t="s">
        <v>604</v>
      </c>
      <c r="B412" t="s">
        <v>651</v>
      </c>
      <c r="C412" t="s">
        <v>1286</v>
      </c>
      <c r="D412" t="s">
        <v>429</v>
      </c>
      <c r="E412" t="s">
        <v>399</v>
      </c>
      <c r="F412" s="1">
        <v>45936</v>
      </c>
      <c r="G412" s="1">
        <v>45950</v>
      </c>
      <c r="H412" t="s">
        <v>690</v>
      </c>
      <c r="I412">
        <v>242</v>
      </c>
      <c r="J412">
        <v>242</v>
      </c>
      <c r="K412">
        <v>0</v>
      </c>
      <c r="L412">
        <v>0</v>
      </c>
      <c r="M412">
        <v>0</v>
      </c>
      <c r="N412">
        <v>242</v>
      </c>
      <c r="O412" s="14">
        <f t="shared" ca="1" si="6"/>
        <v>220</v>
      </c>
      <c r="P412" t="s">
        <v>589</v>
      </c>
    </row>
    <row r="413" spans="1:16" ht="12.75" customHeight="1" x14ac:dyDescent="0.2">
      <c r="A413" t="s">
        <v>604</v>
      </c>
      <c r="B413" t="s">
        <v>651</v>
      </c>
      <c r="C413" t="s">
        <v>1286</v>
      </c>
      <c r="D413" t="s">
        <v>429</v>
      </c>
      <c r="E413" t="s">
        <v>399</v>
      </c>
      <c r="F413" s="1">
        <v>45966</v>
      </c>
      <c r="G413" s="1">
        <v>45980</v>
      </c>
      <c r="H413" t="s">
        <v>413</v>
      </c>
      <c r="I413">
        <v>242</v>
      </c>
      <c r="J413">
        <v>242</v>
      </c>
      <c r="K413">
        <v>0</v>
      </c>
      <c r="L413">
        <v>0</v>
      </c>
      <c r="M413">
        <v>0</v>
      </c>
      <c r="N413">
        <v>242</v>
      </c>
      <c r="O413" s="14">
        <f t="shared" ca="1" si="6"/>
        <v>190</v>
      </c>
      <c r="P413" t="s">
        <v>589</v>
      </c>
    </row>
    <row r="414" spans="1:16" ht="12.75" customHeight="1" x14ac:dyDescent="0.2">
      <c r="A414" t="s">
        <v>604</v>
      </c>
      <c r="B414" t="s">
        <v>651</v>
      </c>
      <c r="C414" t="s">
        <v>1286</v>
      </c>
      <c r="D414" t="s">
        <v>429</v>
      </c>
      <c r="E414" t="s">
        <v>399</v>
      </c>
      <c r="F414" s="1">
        <v>45993</v>
      </c>
      <c r="G414" s="1">
        <v>46007</v>
      </c>
      <c r="H414" t="s">
        <v>1308</v>
      </c>
      <c r="I414">
        <v>242</v>
      </c>
      <c r="J414">
        <v>242</v>
      </c>
      <c r="K414">
        <v>0</v>
      </c>
      <c r="L414">
        <v>0</v>
      </c>
      <c r="M414">
        <v>0</v>
      </c>
      <c r="N414">
        <v>242</v>
      </c>
      <c r="O414" s="14">
        <f t="shared" ca="1" si="6"/>
        <v>163</v>
      </c>
      <c r="P414" t="s">
        <v>589</v>
      </c>
    </row>
    <row r="415" spans="1:16" ht="12.75" customHeight="1" x14ac:dyDescent="0.2">
      <c r="A415" t="s">
        <v>604</v>
      </c>
      <c r="B415" t="s">
        <v>651</v>
      </c>
      <c r="C415" t="s">
        <v>1286</v>
      </c>
      <c r="D415" t="s">
        <v>429</v>
      </c>
      <c r="E415" t="s">
        <v>399</v>
      </c>
      <c r="F415" s="1">
        <v>46030</v>
      </c>
      <c r="G415" s="1">
        <v>46044</v>
      </c>
      <c r="H415" t="s">
        <v>1179</v>
      </c>
      <c r="I415">
        <v>242</v>
      </c>
      <c r="J415">
        <v>242</v>
      </c>
      <c r="K415">
        <v>0</v>
      </c>
      <c r="L415">
        <v>0</v>
      </c>
      <c r="M415">
        <v>0</v>
      </c>
      <c r="N415">
        <v>242</v>
      </c>
      <c r="O415" s="14">
        <f t="shared" ca="1" si="6"/>
        <v>126</v>
      </c>
      <c r="P415" t="s">
        <v>589</v>
      </c>
    </row>
    <row r="416" spans="1:16" ht="12.75" customHeight="1" x14ac:dyDescent="0.2">
      <c r="A416" t="s">
        <v>604</v>
      </c>
      <c r="B416" t="s">
        <v>651</v>
      </c>
      <c r="C416" t="s">
        <v>1286</v>
      </c>
      <c r="D416" t="s">
        <v>429</v>
      </c>
      <c r="E416" t="s">
        <v>399</v>
      </c>
      <c r="F416" s="1">
        <v>46055</v>
      </c>
      <c r="G416" s="1">
        <v>46069</v>
      </c>
      <c r="H416" t="s">
        <v>424</v>
      </c>
      <c r="I416">
        <v>242</v>
      </c>
      <c r="J416">
        <v>242</v>
      </c>
      <c r="K416">
        <v>0</v>
      </c>
      <c r="L416">
        <v>0</v>
      </c>
      <c r="M416">
        <v>0</v>
      </c>
      <c r="N416">
        <v>242</v>
      </c>
      <c r="O416" s="14">
        <f t="shared" ca="1" si="6"/>
        <v>101</v>
      </c>
      <c r="P416" t="s">
        <v>589</v>
      </c>
    </row>
    <row r="417" spans="1:16" ht="12.75" customHeight="1" x14ac:dyDescent="0.2">
      <c r="A417" t="s">
        <v>604</v>
      </c>
      <c r="B417" t="s">
        <v>651</v>
      </c>
      <c r="C417" t="s">
        <v>1286</v>
      </c>
      <c r="D417" t="s">
        <v>429</v>
      </c>
      <c r="E417" t="s">
        <v>399</v>
      </c>
      <c r="F417" s="1">
        <v>46085</v>
      </c>
      <c r="G417" s="1">
        <v>46099</v>
      </c>
      <c r="H417" t="s">
        <v>302</v>
      </c>
      <c r="I417">
        <v>242</v>
      </c>
      <c r="J417">
        <v>242</v>
      </c>
      <c r="K417">
        <v>0</v>
      </c>
      <c r="L417">
        <v>0</v>
      </c>
      <c r="M417">
        <v>242</v>
      </c>
      <c r="N417">
        <v>0</v>
      </c>
      <c r="O417" s="14">
        <f t="shared" ca="1" si="6"/>
        <v>71</v>
      </c>
      <c r="P417" t="s">
        <v>589</v>
      </c>
    </row>
    <row r="418" spans="1:16" ht="12.75" customHeight="1" x14ac:dyDescent="0.2">
      <c r="A418" t="s">
        <v>604</v>
      </c>
      <c r="B418" t="s">
        <v>651</v>
      </c>
      <c r="C418" t="s">
        <v>1286</v>
      </c>
      <c r="D418" t="s">
        <v>429</v>
      </c>
      <c r="E418" t="s">
        <v>399</v>
      </c>
      <c r="F418" s="1">
        <v>46118</v>
      </c>
      <c r="G418" s="1">
        <v>46132</v>
      </c>
      <c r="H418" t="s">
        <v>1264</v>
      </c>
      <c r="I418">
        <v>242</v>
      </c>
      <c r="J418">
        <v>242</v>
      </c>
      <c r="K418">
        <v>0</v>
      </c>
      <c r="L418">
        <v>242</v>
      </c>
      <c r="M418">
        <v>0</v>
      </c>
      <c r="N418">
        <v>0</v>
      </c>
      <c r="O418" s="14">
        <f t="shared" ca="1" si="6"/>
        <v>38</v>
      </c>
      <c r="P418" t="s">
        <v>589</v>
      </c>
    </row>
    <row r="419" spans="1:16" ht="12.75" customHeight="1" x14ac:dyDescent="0.2">
      <c r="A419" t="s">
        <v>604</v>
      </c>
      <c r="B419" t="s">
        <v>651</v>
      </c>
      <c r="C419" t="s">
        <v>1286</v>
      </c>
      <c r="D419" t="s">
        <v>429</v>
      </c>
      <c r="E419" t="s">
        <v>399</v>
      </c>
      <c r="F419" s="1">
        <v>46148</v>
      </c>
      <c r="G419" s="1">
        <v>46162</v>
      </c>
      <c r="H419" t="s">
        <v>342</v>
      </c>
      <c r="I419">
        <v>242</v>
      </c>
      <c r="J419">
        <v>242</v>
      </c>
      <c r="K419">
        <v>242</v>
      </c>
      <c r="L419">
        <v>0</v>
      </c>
      <c r="M419">
        <v>0</v>
      </c>
      <c r="N419">
        <v>0</v>
      </c>
      <c r="O419" s="14">
        <f t="shared" ca="1" si="6"/>
        <v>8</v>
      </c>
      <c r="P419" t="s">
        <v>589</v>
      </c>
    </row>
    <row r="420" spans="1:16" ht="12.75" customHeight="1" x14ac:dyDescent="0.2">
      <c r="A420" t="s">
        <v>604</v>
      </c>
      <c r="B420" t="s">
        <v>651</v>
      </c>
      <c r="C420" t="s">
        <v>285</v>
      </c>
      <c r="D420" t="s">
        <v>598</v>
      </c>
      <c r="E420" t="s">
        <v>399</v>
      </c>
      <c r="F420" s="1">
        <v>43405</v>
      </c>
      <c r="G420" s="1">
        <v>43435</v>
      </c>
      <c r="H420" t="s">
        <v>1269</v>
      </c>
      <c r="I420">
        <v>180.29</v>
      </c>
      <c r="J420">
        <v>180.29</v>
      </c>
      <c r="K420">
        <v>0</v>
      </c>
      <c r="L420">
        <v>0</v>
      </c>
      <c r="M420">
        <v>0</v>
      </c>
      <c r="N420">
        <v>180.29</v>
      </c>
      <c r="O420" s="14">
        <f t="shared" ca="1" si="6"/>
        <v>2735</v>
      </c>
      <c r="P420" t="s">
        <v>1066</v>
      </c>
    </row>
    <row r="421" spans="1:16" ht="12.75" customHeight="1" x14ac:dyDescent="0.2">
      <c r="A421" t="s">
        <v>604</v>
      </c>
      <c r="B421" t="s">
        <v>651</v>
      </c>
      <c r="C421" t="s">
        <v>285</v>
      </c>
      <c r="D421" t="s">
        <v>598</v>
      </c>
      <c r="E421" t="s">
        <v>399</v>
      </c>
      <c r="F421" s="1">
        <v>43439</v>
      </c>
      <c r="G421" s="1">
        <v>43469</v>
      </c>
      <c r="H421" t="s">
        <v>1263</v>
      </c>
      <c r="I421">
        <v>180.29</v>
      </c>
      <c r="J421">
        <v>180.29</v>
      </c>
      <c r="K421">
        <v>0</v>
      </c>
      <c r="L421">
        <v>0</v>
      </c>
      <c r="M421">
        <v>0</v>
      </c>
      <c r="N421">
        <v>180.29</v>
      </c>
      <c r="O421" s="14">
        <f t="shared" ca="1" si="6"/>
        <v>2701</v>
      </c>
      <c r="P421" t="s">
        <v>1066</v>
      </c>
    </row>
    <row r="422" spans="1:16" ht="12.75" customHeight="1" x14ac:dyDescent="0.2">
      <c r="A422" t="s">
        <v>604</v>
      </c>
      <c r="B422" t="s">
        <v>651</v>
      </c>
      <c r="C422" t="s">
        <v>285</v>
      </c>
      <c r="D422" t="s">
        <v>598</v>
      </c>
      <c r="E422" t="s">
        <v>399</v>
      </c>
      <c r="F422" s="1">
        <v>43467</v>
      </c>
      <c r="G422" s="1">
        <v>43497</v>
      </c>
      <c r="H422" t="s">
        <v>775</v>
      </c>
      <c r="I422">
        <v>180.29</v>
      </c>
      <c r="J422">
        <v>180.29</v>
      </c>
      <c r="K422">
        <v>0</v>
      </c>
      <c r="L422">
        <v>0</v>
      </c>
      <c r="M422">
        <v>0</v>
      </c>
      <c r="N422">
        <v>180.29</v>
      </c>
      <c r="O422" s="14">
        <f t="shared" ca="1" si="6"/>
        <v>2673</v>
      </c>
      <c r="P422" t="s">
        <v>1066</v>
      </c>
    </row>
    <row r="423" spans="1:16" ht="12.75" customHeight="1" x14ac:dyDescent="0.2">
      <c r="A423" t="s">
        <v>604</v>
      </c>
      <c r="B423" t="s">
        <v>651</v>
      </c>
      <c r="C423" t="s">
        <v>285</v>
      </c>
      <c r="D423" t="s">
        <v>598</v>
      </c>
      <c r="E423" t="s">
        <v>399</v>
      </c>
      <c r="F423" s="1">
        <v>43502</v>
      </c>
      <c r="G423" s="1">
        <v>43532</v>
      </c>
      <c r="H423" t="s">
        <v>420</v>
      </c>
      <c r="I423">
        <v>180.29</v>
      </c>
      <c r="J423">
        <v>180.29</v>
      </c>
      <c r="K423">
        <v>0</v>
      </c>
      <c r="L423">
        <v>0</v>
      </c>
      <c r="M423">
        <v>0</v>
      </c>
      <c r="N423">
        <v>180.29</v>
      </c>
      <c r="O423" s="14">
        <f t="shared" ca="1" si="6"/>
        <v>2638</v>
      </c>
      <c r="P423" t="s">
        <v>1066</v>
      </c>
    </row>
    <row r="424" spans="1:16" ht="12.75" customHeight="1" x14ac:dyDescent="0.2">
      <c r="A424" t="s">
        <v>604</v>
      </c>
      <c r="B424" t="s">
        <v>651</v>
      </c>
      <c r="C424" t="s">
        <v>285</v>
      </c>
      <c r="D424" t="s">
        <v>598</v>
      </c>
      <c r="E424" t="s">
        <v>399</v>
      </c>
      <c r="F424" s="1">
        <v>43529</v>
      </c>
      <c r="G424" s="1">
        <v>43559</v>
      </c>
      <c r="H424" t="s">
        <v>934</v>
      </c>
      <c r="I424">
        <v>180.29</v>
      </c>
      <c r="J424">
        <v>180.29</v>
      </c>
      <c r="K424">
        <v>0</v>
      </c>
      <c r="L424">
        <v>0</v>
      </c>
      <c r="M424">
        <v>0</v>
      </c>
      <c r="N424">
        <v>180.29</v>
      </c>
      <c r="O424" s="14">
        <f t="shared" ca="1" si="6"/>
        <v>2611</v>
      </c>
      <c r="P424" t="s">
        <v>1066</v>
      </c>
    </row>
    <row r="425" spans="1:16" ht="12.75" customHeight="1" x14ac:dyDescent="0.2">
      <c r="A425" t="s">
        <v>604</v>
      </c>
      <c r="B425" t="s">
        <v>651</v>
      </c>
      <c r="C425" t="s">
        <v>285</v>
      </c>
      <c r="D425" t="s">
        <v>598</v>
      </c>
      <c r="E425" t="s">
        <v>399</v>
      </c>
      <c r="F425" s="1">
        <v>43563</v>
      </c>
      <c r="G425" s="1">
        <v>43593</v>
      </c>
      <c r="H425" t="s">
        <v>472</v>
      </c>
      <c r="I425">
        <v>180.29</v>
      </c>
      <c r="J425">
        <v>180.29</v>
      </c>
      <c r="K425">
        <v>0</v>
      </c>
      <c r="L425">
        <v>0</v>
      </c>
      <c r="M425">
        <v>0</v>
      </c>
      <c r="N425">
        <v>180.29</v>
      </c>
      <c r="O425" s="14">
        <f t="shared" ca="1" si="6"/>
        <v>2577</v>
      </c>
      <c r="P425" t="s">
        <v>1066</v>
      </c>
    </row>
    <row r="426" spans="1:16" ht="12.75" customHeight="1" x14ac:dyDescent="0.2">
      <c r="A426" t="s">
        <v>604</v>
      </c>
      <c r="B426" t="s">
        <v>651</v>
      </c>
      <c r="C426" t="s">
        <v>285</v>
      </c>
      <c r="D426" t="s">
        <v>598</v>
      </c>
      <c r="E426" t="s">
        <v>399</v>
      </c>
      <c r="F426" s="1">
        <v>43586</v>
      </c>
      <c r="G426" s="1">
        <v>43616</v>
      </c>
      <c r="H426" t="s">
        <v>324</v>
      </c>
      <c r="I426">
        <v>180.29</v>
      </c>
      <c r="J426">
        <v>180.29</v>
      </c>
      <c r="K426">
        <v>0</v>
      </c>
      <c r="L426">
        <v>0</v>
      </c>
      <c r="M426">
        <v>0</v>
      </c>
      <c r="N426">
        <v>180.29</v>
      </c>
      <c r="O426" s="14">
        <f t="shared" ca="1" si="6"/>
        <v>2554</v>
      </c>
      <c r="P426" t="s">
        <v>1066</v>
      </c>
    </row>
    <row r="427" spans="1:16" ht="12.75" customHeight="1" x14ac:dyDescent="0.2">
      <c r="A427" t="s">
        <v>604</v>
      </c>
      <c r="B427" t="s">
        <v>651</v>
      </c>
      <c r="C427" t="s">
        <v>285</v>
      </c>
      <c r="D427" t="s">
        <v>598</v>
      </c>
      <c r="E427" t="s">
        <v>399</v>
      </c>
      <c r="F427" s="1">
        <v>43621</v>
      </c>
      <c r="G427" s="1">
        <v>43651</v>
      </c>
      <c r="H427" t="s">
        <v>348</v>
      </c>
      <c r="I427">
        <v>180.29</v>
      </c>
      <c r="J427">
        <v>180.29</v>
      </c>
      <c r="K427">
        <v>0</v>
      </c>
      <c r="L427">
        <v>0</v>
      </c>
      <c r="M427">
        <v>0</v>
      </c>
      <c r="N427">
        <v>180.29</v>
      </c>
      <c r="O427" s="14">
        <f t="shared" ca="1" si="6"/>
        <v>2519</v>
      </c>
      <c r="P427" t="s">
        <v>1066</v>
      </c>
    </row>
    <row r="428" spans="1:16" ht="12.75" customHeight="1" x14ac:dyDescent="0.2">
      <c r="A428" t="s">
        <v>604</v>
      </c>
      <c r="B428" t="s">
        <v>651</v>
      </c>
      <c r="C428" t="s">
        <v>285</v>
      </c>
      <c r="D428" t="s">
        <v>598</v>
      </c>
      <c r="E428" t="s">
        <v>399</v>
      </c>
      <c r="F428" s="1">
        <v>43648</v>
      </c>
      <c r="G428" s="1">
        <v>43678</v>
      </c>
      <c r="H428" t="s">
        <v>844</v>
      </c>
      <c r="I428">
        <v>180.29</v>
      </c>
      <c r="J428">
        <v>180.29</v>
      </c>
      <c r="K428">
        <v>0</v>
      </c>
      <c r="L428">
        <v>0</v>
      </c>
      <c r="M428">
        <v>0</v>
      </c>
      <c r="N428">
        <v>180.29</v>
      </c>
      <c r="O428" s="14">
        <f t="shared" ca="1" si="6"/>
        <v>2492</v>
      </c>
      <c r="P428" t="s">
        <v>1066</v>
      </c>
    </row>
    <row r="429" spans="1:16" ht="12.75" customHeight="1" x14ac:dyDescent="0.2">
      <c r="A429" t="s">
        <v>604</v>
      </c>
      <c r="B429" t="s">
        <v>651</v>
      </c>
      <c r="C429" t="s">
        <v>285</v>
      </c>
      <c r="D429" t="s">
        <v>598</v>
      </c>
      <c r="E429" t="s">
        <v>399</v>
      </c>
      <c r="F429" s="1">
        <v>43678</v>
      </c>
      <c r="G429" s="1">
        <v>43708</v>
      </c>
      <c r="H429" t="s">
        <v>390</v>
      </c>
      <c r="I429">
        <v>180.29</v>
      </c>
      <c r="J429">
        <v>180.29</v>
      </c>
      <c r="K429">
        <v>0</v>
      </c>
      <c r="L429">
        <v>0</v>
      </c>
      <c r="M429">
        <v>0</v>
      </c>
      <c r="N429">
        <v>180.29</v>
      </c>
      <c r="O429" s="14">
        <f t="shared" ca="1" si="6"/>
        <v>2462</v>
      </c>
      <c r="P429" t="s">
        <v>1066</v>
      </c>
    </row>
    <row r="430" spans="1:16" ht="12.75" customHeight="1" x14ac:dyDescent="0.2">
      <c r="A430" t="s">
        <v>604</v>
      </c>
      <c r="B430" t="s">
        <v>651</v>
      </c>
      <c r="C430" t="s">
        <v>285</v>
      </c>
      <c r="D430" t="s">
        <v>598</v>
      </c>
      <c r="E430" t="s">
        <v>399</v>
      </c>
      <c r="F430" s="1">
        <v>43711</v>
      </c>
      <c r="G430" s="1">
        <v>43741</v>
      </c>
      <c r="H430" t="s">
        <v>897</v>
      </c>
      <c r="I430">
        <v>180.29</v>
      </c>
      <c r="J430">
        <v>180.29</v>
      </c>
      <c r="K430">
        <v>0</v>
      </c>
      <c r="L430">
        <v>0</v>
      </c>
      <c r="M430">
        <v>0</v>
      </c>
      <c r="N430">
        <v>180.29</v>
      </c>
      <c r="O430" s="14">
        <f t="shared" ca="1" si="6"/>
        <v>2429</v>
      </c>
      <c r="P430" t="s">
        <v>1066</v>
      </c>
    </row>
    <row r="431" spans="1:16" ht="12.75" customHeight="1" x14ac:dyDescent="0.2">
      <c r="A431" t="s">
        <v>604</v>
      </c>
      <c r="B431" t="s">
        <v>651</v>
      </c>
      <c r="C431" t="s">
        <v>285</v>
      </c>
      <c r="D431" t="s">
        <v>598</v>
      </c>
      <c r="E431" t="s">
        <v>399</v>
      </c>
      <c r="F431" s="1">
        <v>43740</v>
      </c>
      <c r="G431" s="1">
        <v>43770</v>
      </c>
      <c r="H431" t="s">
        <v>246</v>
      </c>
      <c r="I431">
        <v>180.29</v>
      </c>
      <c r="J431">
        <v>180.29</v>
      </c>
      <c r="K431">
        <v>0</v>
      </c>
      <c r="L431">
        <v>0</v>
      </c>
      <c r="M431">
        <v>0</v>
      </c>
      <c r="N431">
        <v>180.29</v>
      </c>
      <c r="O431" s="14">
        <f t="shared" ca="1" si="6"/>
        <v>2400</v>
      </c>
      <c r="P431" t="s">
        <v>1066</v>
      </c>
    </row>
    <row r="432" spans="1:16" ht="12.75" customHeight="1" x14ac:dyDescent="0.2">
      <c r="A432" t="s">
        <v>604</v>
      </c>
      <c r="B432" t="s">
        <v>651</v>
      </c>
      <c r="C432" t="s">
        <v>285</v>
      </c>
      <c r="D432" t="s">
        <v>598</v>
      </c>
      <c r="E432" t="s">
        <v>399</v>
      </c>
      <c r="F432" s="1">
        <v>43774</v>
      </c>
      <c r="G432" s="1">
        <v>43804</v>
      </c>
      <c r="H432" t="s">
        <v>449</v>
      </c>
      <c r="I432">
        <v>180.29</v>
      </c>
      <c r="J432">
        <v>180.29</v>
      </c>
      <c r="K432">
        <v>0</v>
      </c>
      <c r="L432">
        <v>0</v>
      </c>
      <c r="M432">
        <v>0</v>
      </c>
      <c r="N432">
        <v>180.29</v>
      </c>
      <c r="O432" s="14">
        <f t="shared" ca="1" si="6"/>
        <v>2366</v>
      </c>
      <c r="P432" t="s">
        <v>1066</v>
      </c>
    </row>
    <row r="433" spans="1:16" ht="12.75" customHeight="1" x14ac:dyDescent="0.2">
      <c r="A433" t="s">
        <v>604</v>
      </c>
      <c r="B433" t="s">
        <v>651</v>
      </c>
      <c r="C433" t="s">
        <v>285</v>
      </c>
      <c r="D433" t="s">
        <v>598</v>
      </c>
      <c r="E433" t="s">
        <v>399</v>
      </c>
      <c r="F433" s="1">
        <v>43802</v>
      </c>
      <c r="G433" s="1">
        <v>43832</v>
      </c>
      <c r="H433" t="s">
        <v>983</v>
      </c>
      <c r="I433">
        <v>180.29</v>
      </c>
      <c r="J433">
        <v>180.29</v>
      </c>
      <c r="K433">
        <v>0</v>
      </c>
      <c r="L433">
        <v>0</v>
      </c>
      <c r="M433">
        <v>0</v>
      </c>
      <c r="N433">
        <v>180.29</v>
      </c>
      <c r="O433" s="14">
        <f t="shared" ca="1" si="6"/>
        <v>2338</v>
      </c>
      <c r="P433" t="s">
        <v>1066</v>
      </c>
    </row>
    <row r="434" spans="1:16" ht="12.75" customHeight="1" x14ac:dyDescent="0.2">
      <c r="A434" t="s">
        <v>604</v>
      </c>
      <c r="B434" t="s">
        <v>651</v>
      </c>
      <c r="C434" t="s">
        <v>285</v>
      </c>
      <c r="D434" t="s">
        <v>598</v>
      </c>
      <c r="E434" t="s">
        <v>399</v>
      </c>
      <c r="F434" s="1">
        <v>43865</v>
      </c>
      <c r="G434" s="1">
        <v>43895</v>
      </c>
      <c r="H434" t="s">
        <v>489</v>
      </c>
      <c r="I434">
        <v>180.29</v>
      </c>
      <c r="J434">
        <v>180.29</v>
      </c>
      <c r="K434">
        <v>0</v>
      </c>
      <c r="L434">
        <v>0</v>
      </c>
      <c r="M434">
        <v>0</v>
      </c>
      <c r="N434">
        <v>180.29</v>
      </c>
      <c r="O434" s="14">
        <f t="shared" ca="1" si="6"/>
        <v>2275</v>
      </c>
      <c r="P434" t="s">
        <v>1066</v>
      </c>
    </row>
    <row r="435" spans="1:16" ht="12.75" customHeight="1" x14ac:dyDescent="0.2">
      <c r="A435" t="s">
        <v>604</v>
      </c>
      <c r="B435" t="s">
        <v>651</v>
      </c>
      <c r="C435" t="s">
        <v>285</v>
      </c>
      <c r="D435" t="s">
        <v>598</v>
      </c>
      <c r="E435" t="s">
        <v>399</v>
      </c>
      <c r="F435" s="1">
        <v>43865</v>
      </c>
      <c r="G435" s="1">
        <v>43895</v>
      </c>
      <c r="H435" t="s">
        <v>971</v>
      </c>
      <c r="I435">
        <v>180.29</v>
      </c>
      <c r="J435">
        <v>180.29</v>
      </c>
      <c r="K435">
        <v>0</v>
      </c>
      <c r="L435">
        <v>0</v>
      </c>
      <c r="M435">
        <v>0</v>
      </c>
      <c r="N435">
        <v>180.29</v>
      </c>
      <c r="O435" s="14">
        <f t="shared" ca="1" si="6"/>
        <v>2275</v>
      </c>
      <c r="P435" t="s">
        <v>1066</v>
      </c>
    </row>
    <row r="436" spans="1:16" ht="12.75" customHeight="1" x14ac:dyDescent="0.2">
      <c r="A436" t="s">
        <v>604</v>
      </c>
      <c r="B436" t="s">
        <v>651</v>
      </c>
      <c r="C436" t="s">
        <v>285</v>
      </c>
      <c r="D436" t="s">
        <v>598</v>
      </c>
      <c r="E436" t="s">
        <v>399</v>
      </c>
      <c r="F436" s="1">
        <v>43893</v>
      </c>
      <c r="G436" s="1">
        <v>43920</v>
      </c>
      <c r="H436" t="s">
        <v>855</v>
      </c>
      <c r="I436">
        <v>180.29</v>
      </c>
      <c r="J436">
        <v>180.29</v>
      </c>
      <c r="K436">
        <v>0</v>
      </c>
      <c r="L436">
        <v>0</v>
      </c>
      <c r="M436">
        <v>0</v>
      </c>
      <c r="N436">
        <v>180.29</v>
      </c>
      <c r="O436" s="14">
        <f t="shared" ca="1" si="6"/>
        <v>2250</v>
      </c>
      <c r="P436" t="s">
        <v>1066</v>
      </c>
    </row>
    <row r="437" spans="1:16" ht="12.75" customHeight="1" x14ac:dyDescent="0.2">
      <c r="A437" t="s">
        <v>604</v>
      </c>
      <c r="B437" t="s">
        <v>651</v>
      </c>
      <c r="C437" t="s">
        <v>769</v>
      </c>
      <c r="D437" t="s">
        <v>1042</v>
      </c>
      <c r="E437" t="s">
        <v>399</v>
      </c>
      <c r="F437" s="1">
        <v>45726</v>
      </c>
      <c r="G437" s="1">
        <v>45740</v>
      </c>
      <c r="H437" t="s">
        <v>1188</v>
      </c>
      <c r="I437">
        <v>72.599999999999994</v>
      </c>
      <c r="J437">
        <v>72.599999999999994</v>
      </c>
      <c r="K437">
        <v>0</v>
      </c>
      <c r="L437">
        <v>0</v>
      </c>
      <c r="M437">
        <v>0</v>
      </c>
      <c r="N437">
        <v>72.599999999999994</v>
      </c>
      <c r="O437" s="14">
        <f t="shared" ca="1" si="6"/>
        <v>430</v>
      </c>
      <c r="P437" t="s">
        <v>589</v>
      </c>
    </row>
    <row r="438" spans="1:16" ht="12.75" customHeight="1" x14ac:dyDescent="0.2">
      <c r="A438" t="s">
        <v>604</v>
      </c>
      <c r="B438" t="s">
        <v>651</v>
      </c>
      <c r="C438" t="s">
        <v>769</v>
      </c>
      <c r="D438" t="s">
        <v>1042</v>
      </c>
      <c r="E438" t="s">
        <v>399</v>
      </c>
      <c r="F438" s="1">
        <v>45750</v>
      </c>
      <c r="G438" s="1">
        <v>45764</v>
      </c>
      <c r="H438" t="s">
        <v>848</v>
      </c>
      <c r="I438">
        <v>242</v>
      </c>
      <c r="J438">
        <v>242</v>
      </c>
      <c r="K438">
        <v>0</v>
      </c>
      <c r="L438">
        <v>0</v>
      </c>
      <c r="M438">
        <v>0</v>
      </c>
      <c r="N438">
        <v>242</v>
      </c>
      <c r="O438" s="14">
        <f t="shared" ca="1" si="6"/>
        <v>406</v>
      </c>
      <c r="P438" t="s">
        <v>589</v>
      </c>
    </row>
    <row r="439" spans="1:16" ht="12.75" customHeight="1" x14ac:dyDescent="0.2">
      <c r="A439" t="s">
        <v>604</v>
      </c>
      <c r="B439" t="s">
        <v>651</v>
      </c>
      <c r="C439" t="s">
        <v>769</v>
      </c>
      <c r="D439" t="s">
        <v>1042</v>
      </c>
      <c r="E439" t="s">
        <v>399</v>
      </c>
      <c r="F439" s="1">
        <v>45782</v>
      </c>
      <c r="G439" s="1">
        <v>45796</v>
      </c>
      <c r="H439" t="s">
        <v>922</v>
      </c>
      <c r="I439">
        <v>121</v>
      </c>
      <c r="J439">
        <v>121</v>
      </c>
      <c r="K439">
        <v>0</v>
      </c>
      <c r="L439">
        <v>0</v>
      </c>
      <c r="M439">
        <v>0</v>
      </c>
      <c r="N439">
        <v>121</v>
      </c>
      <c r="O439" s="14">
        <f t="shared" ca="1" si="6"/>
        <v>374</v>
      </c>
      <c r="P439" t="s">
        <v>589</v>
      </c>
    </row>
    <row r="440" spans="1:16" ht="12.75" customHeight="1" x14ac:dyDescent="0.2">
      <c r="A440" t="s">
        <v>604</v>
      </c>
      <c r="B440" t="s">
        <v>651</v>
      </c>
      <c r="C440" t="s">
        <v>769</v>
      </c>
      <c r="D440" t="s">
        <v>1042</v>
      </c>
      <c r="E440" t="s">
        <v>399</v>
      </c>
      <c r="F440" s="1">
        <v>45810</v>
      </c>
      <c r="G440" s="1">
        <v>45824</v>
      </c>
      <c r="H440" t="s">
        <v>808</v>
      </c>
      <c r="I440">
        <v>121</v>
      </c>
      <c r="J440">
        <v>121</v>
      </c>
      <c r="K440">
        <v>0</v>
      </c>
      <c r="L440">
        <v>0</v>
      </c>
      <c r="M440">
        <v>0</v>
      </c>
      <c r="N440">
        <v>121</v>
      </c>
      <c r="O440" s="14">
        <f t="shared" ca="1" si="6"/>
        <v>346</v>
      </c>
      <c r="P440" t="s">
        <v>589</v>
      </c>
    </row>
    <row r="441" spans="1:16" ht="12.75" customHeight="1" x14ac:dyDescent="0.2">
      <c r="A441" t="s">
        <v>604</v>
      </c>
      <c r="B441" t="s">
        <v>651</v>
      </c>
      <c r="C441" t="s">
        <v>769</v>
      </c>
      <c r="D441" t="s">
        <v>1042</v>
      </c>
      <c r="E441" t="s">
        <v>399</v>
      </c>
      <c r="F441" s="1">
        <v>45839</v>
      </c>
      <c r="G441" s="1">
        <v>45853</v>
      </c>
      <c r="H441" t="s">
        <v>969</v>
      </c>
      <c r="I441">
        <v>121</v>
      </c>
      <c r="J441">
        <v>121</v>
      </c>
      <c r="K441">
        <v>0</v>
      </c>
      <c r="L441">
        <v>0</v>
      </c>
      <c r="M441">
        <v>0</v>
      </c>
      <c r="N441">
        <v>121</v>
      </c>
      <c r="O441" s="14">
        <f t="shared" ca="1" si="6"/>
        <v>317</v>
      </c>
      <c r="P441" t="s">
        <v>589</v>
      </c>
    </row>
    <row r="442" spans="1:16" ht="12.75" customHeight="1" x14ac:dyDescent="0.2">
      <c r="A442" t="s">
        <v>604</v>
      </c>
      <c r="B442" t="s">
        <v>651</v>
      </c>
      <c r="C442" t="s">
        <v>769</v>
      </c>
      <c r="D442" t="s">
        <v>1042</v>
      </c>
      <c r="E442" t="s">
        <v>399</v>
      </c>
      <c r="F442" s="1">
        <v>45873</v>
      </c>
      <c r="G442" s="1">
        <v>45887</v>
      </c>
      <c r="H442" t="s">
        <v>1277</v>
      </c>
      <c r="I442">
        <v>121</v>
      </c>
      <c r="J442">
        <v>121</v>
      </c>
      <c r="K442">
        <v>0</v>
      </c>
      <c r="L442">
        <v>0</v>
      </c>
      <c r="M442">
        <v>0</v>
      </c>
      <c r="N442">
        <v>121</v>
      </c>
      <c r="O442" s="14">
        <f t="shared" ca="1" si="6"/>
        <v>283</v>
      </c>
      <c r="P442" t="s">
        <v>589</v>
      </c>
    </row>
    <row r="443" spans="1:16" ht="12.75" customHeight="1" x14ac:dyDescent="0.2">
      <c r="A443" t="s">
        <v>604</v>
      </c>
      <c r="B443" t="s">
        <v>651</v>
      </c>
      <c r="C443" t="s">
        <v>769</v>
      </c>
      <c r="D443" t="s">
        <v>1042</v>
      </c>
      <c r="E443" t="s">
        <v>399</v>
      </c>
      <c r="F443" s="1">
        <v>45901</v>
      </c>
      <c r="G443" s="1">
        <v>45915</v>
      </c>
      <c r="H443" t="s">
        <v>691</v>
      </c>
      <c r="I443">
        <v>121</v>
      </c>
      <c r="J443">
        <v>121</v>
      </c>
      <c r="K443">
        <v>0</v>
      </c>
      <c r="L443">
        <v>0</v>
      </c>
      <c r="M443">
        <v>0</v>
      </c>
      <c r="N443">
        <v>121</v>
      </c>
      <c r="O443" s="14">
        <f t="shared" ca="1" si="6"/>
        <v>255</v>
      </c>
      <c r="P443" t="s">
        <v>589</v>
      </c>
    </row>
    <row r="444" spans="1:16" ht="12.75" customHeight="1" x14ac:dyDescent="0.2">
      <c r="A444" t="s">
        <v>604</v>
      </c>
      <c r="B444" t="s">
        <v>651</v>
      </c>
      <c r="C444" t="s">
        <v>769</v>
      </c>
      <c r="D444" t="s">
        <v>1042</v>
      </c>
      <c r="E444" t="s">
        <v>399</v>
      </c>
      <c r="F444" s="1">
        <v>45936</v>
      </c>
      <c r="G444" s="1">
        <v>45950</v>
      </c>
      <c r="H444" t="s">
        <v>526</v>
      </c>
      <c r="I444">
        <v>121</v>
      </c>
      <c r="J444">
        <v>121</v>
      </c>
      <c r="K444">
        <v>0</v>
      </c>
      <c r="L444">
        <v>0</v>
      </c>
      <c r="M444">
        <v>0</v>
      </c>
      <c r="N444">
        <v>121</v>
      </c>
      <c r="O444" s="14">
        <f t="shared" ca="1" si="6"/>
        <v>220</v>
      </c>
      <c r="P444" t="s">
        <v>589</v>
      </c>
    </row>
    <row r="445" spans="1:16" ht="12.75" customHeight="1" x14ac:dyDescent="0.2">
      <c r="A445" t="s">
        <v>604</v>
      </c>
      <c r="B445" t="s">
        <v>651</v>
      </c>
      <c r="C445" t="s">
        <v>769</v>
      </c>
      <c r="D445" t="s">
        <v>1042</v>
      </c>
      <c r="E445" t="s">
        <v>399</v>
      </c>
      <c r="F445" s="1">
        <v>45966</v>
      </c>
      <c r="G445" s="1">
        <v>45980</v>
      </c>
      <c r="H445" t="s">
        <v>773</v>
      </c>
      <c r="I445">
        <v>121</v>
      </c>
      <c r="J445">
        <v>121</v>
      </c>
      <c r="K445">
        <v>0</v>
      </c>
      <c r="L445">
        <v>0</v>
      </c>
      <c r="M445">
        <v>0</v>
      </c>
      <c r="N445">
        <v>121</v>
      </c>
      <c r="O445" s="14">
        <f t="shared" ca="1" si="6"/>
        <v>190</v>
      </c>
      <c r="P445" t="s">
        <v>589</v>
      </c>
    </row>
    <row r="446" spans="1:16" ht="12.75" customHeight="1" x14ac:dyDescent="0.2">
      <c r="A446" t="s">
        <v>604</v>
      </c>
      <c r="B446" t="s">
        <v>651</v>
      </c>
      <c r="C446" t="s">
        <v>769</v>
      </c>
      <c r="D446" t="s">
        <v>1042</v>
      </c>
      <c r="E446" t="s">
        <v>399</v>
      </c>
      <c r="F446" s="1">
        <v>45993</v>
      </c>
      <c r="G446" s="1">
        <v>46007</v>
      </c>
      <c r="H446" t="s">
        <v>1139</v>
      </c>
      <c r="I446">
        <v>121</v>
      </c>
      <c r="J446">
        <v>121</v>
      </c>
      <c r="K446">
        <v>0</v>
      </c>
      <c r="L446">
        <v>0</v>
      </c>
      <c r="M446">
        <v>0</v>
      </c>
      <c r="N446">
        <v>121</v>
      </c>
      <c r="O446" s="14">
        <f t="shared" ca="1" si="6"/>
        <v>163</v>
      </c>
      <c r="P446" t="s">
        <v>589</v>
      </c>
    </row>
    <row r="447" spans="1:16" ht="12.75" customHeight="1" x14ac:dyDescent="0.2">
      <c r="A447" t="s">
        <v>604</v>
      </c>
      <c r="B447" t="s">
        <v>651</v>
      </c>
      <c r="C447" t="s">
        <v>769</v>
      </c>
      <c r="D447" t="s">
        <v>1042</v>
      </c>
      <c r="E447" t="s">
        <v>399</v>
      </c>
      <c r="F447" s="1">
        <v>46030</v>
      </c>
      <c r="G447" s="1">
        <v>46044</v>
      </c>
      <c r="H447" t="s">
        <v>35</v>
      </c>
      <c r="I447">
        <v>121</v>
      </c>
      <c r="J447">
        <v>121</v>
      </c>
      <c r="K447">
        <v>0</v>
      </c>
      <c r="L447">
        <v>0</v>
      </c>
      <c r="M447">
        <v>0</v>
      </c>
      <c r="N447">
        <v>121</v>
      </c>
      <c r="O447" s="14">
        <f t="shared" ca="1" si="6"/>
        <v>126</v>
      </c>
      <c r="P447" t="s">
        <v>589</v>
      </c>
    </row>
    <row r="448" spans="1:16" ht="12.75" customHeight="1" x14ac:dyDescent="0.2">
      <c r="A448" t="s">
        <v>604</v>
      </c>
      <c r="B448" t="s">
        <v>651</v>
      </c>
      <c r="C448" t="s">
        <v>769</v>
      </c>
      <c r="D448" t="s">
        <v>1042</v>
      </c>
      <c r="E448" t="s">
        <v>399</v>
      </c>
      <c r="F448" s="1">
        <v>46055</v>
      </c>
      <c r="G448" s="1">
        <v>46069</v>
      </c>
      <c r="H448" t="s">
        <v>1246</v>
      </c>
      <c r="I448">
        <v>121</v>
      </c>
      <c r="J448">
        <v>121</v>
      </c>
      <c r="K448">
        <v>0</v>
      </c>
      <c r="L448">
        <v>0</v>
      </c>
      <c r="M448">
        <v>0</v>
      </c>
      <c r="N448">
        <v>121</v>
      </c>
      <c r="O448" s="14">
        <f t="shared" ca="1" si="6"/>
        <v>101</v>
      </c>
      <c r="P448" t="s">
        <v>589</v>
      </c>
    </row>
    <row r="449" spans="1:16" ht="12.75" customHeight="1" x14ac:dyDescent="0.2">
      <c r="A449" t="s">
        <v>604</v>
      </c>
      <c r="B449" t="s">
        <v>651</v>
      </c>
      <c r="C449" t="s">
        <v>769</v>
      </c>
      <c r="D449" t="s">
        <v>1042</v>
      </c>
      <c r="E449" t="s">
        <v>399</v>
      </c>
      <c r="F449" s="1">
        <v>46085</v>
      </c>
      <c r="G449" s="1">
        <v>46099</v>
      </c>
      <c r="H449" t="s">
        <v>1134</v>
      </c>
      <c r="I449">
        <v>121</v>
      </c>
      <c r="J449">
        <v>121</v>
      </c>
      <c r="K449">
        <v>0</v>
      </c>
      <c r="L449">
        <v>0</v>
      </c>
      <c r="M449">
        <v>121</v>
      </c>
      <c r="N449">
        <v>0</v>
      </c>
      <c r="O449" s="14">
        <f t="shared" ca="1" si="6"/>
        <v>71</v>
      </c>
      <c r="P449" t="s">
        <v>589</v>
      </c>
    </row>
    <row r="450" spans="1:16" ht="12.75" customHeight="1" x14ac:dyDescent="0.2">
      <c r="A450" t="s">
        <v>604</v>
      </c>
      <c r="B450" t="s">
        <v>651</v>
      </c>
      <c r="C450" t="s">
        <v>769</v>
      </c>
      <c r="D450" t="s">
        <v>1042</v>
      </c>
      <c r="E450" t="s">
        <v>399</v>
      </c>
      <c r="F450" s="1">
        <v>46122</v>
      </c>
      <c r="G450" s="1">
        <v>46136</v>
      </c>
      <c r="H450" t="s">
        <v>22</v>
      </c>
      <c r="I450">
        <v>121</v>
      </c>
      <c r="J450">
        <v>121</v>
      </c>
      <c r="K450">
        <v>0</v>
      </c>
      <c r="L450">
        <v>121</v>
      </c>
      <c r="M450">
        <v>0</v>
      </c>
      <c r="N450">
        <v>0</v>
      </c>
      <c r="O450" s="14">
        <f t="shared" ca="1" si="6"/>
        <v>34</v>
      </c>
      <c r="P450" t="s">
        <v>589</v>
      </c>
    </row>
    <row r="451" spans="1:16" ht="12.75" customHeight="1" x14ac:dyDescent="0.2">
      <c r="A451" t="s">
        <v>604</v>
      </c>
      <c r="B451" t="s">
        <v>651</v>
      </c>
      <c r="C451" t="s">
        <v>769</v>
      </c>
      <c r="D451" t="s">
        <v>1042</v>
      </c>
      <c r="E451" t="s">
        <v>399</v>
      </c>
      <c r="F451" s="1">
        <v>46148</v>
      </c>
      <c r="G451" s="1">
        <v>46162</v>
      </c>
      <c r="H451" t="s">
        <v>330</v>
      </c>
      <c r="I451">
        <v>121</v>
      </c>
      <c r="J451">
        <v>121</v>
      </c>
      <c r="K451">
        <v>121</v>
      </c>
      <c r="L451">
        <v>0</v>
      </c>
      <c r="M451">
        <v>0</v>
      </c>
      <c r="N451">
        <v>0</v>
      </c>
      <c r="O451" s="14">
        <f t="shared" ref="O451:O514" ca="1" si="7">TODAY()-G451</f>
        <v>8</v>
      </c>
      <c r="P451" t="s">
        <v>589</v>
      </c>
    </row>
    <row r="452" spans="1:16" ht="12.75" customHeight="1" x14ac:dyDescent="0.2">
      <c r="A452" t="s">
        <v>604</v>
      </c>
      <c r="B452" t="s">
        <v>651</v>
      </c>
      <c r="C452" t="s">
        <v>284</v>
      </c>
      <c r="D452" t="s">
        <v>726</v>
      </c>
      <c r="E452" t="s">
        <v>399</v>
      </c>
      <c r="F452" s="1">
        <v>45153</v>
      </c>
      <c r="G452" s="1">
        <v>45183</v>
      </c>
      <c r="H452" t="s">
        <v>680</v>
      </c>
      <c r="I452">
        <v>1728.79</v>
      </c>
      <c r="J452">
        <v>187.76</v>
      </c>
      <c r="K452">
        <v>0</v>
      </c>
      <c r="L452">
        <v>0</v>
      </c>
      <c r="M452">
        <v>0</v>
      </c>
      <c r="N452">
        <v>187.76</v>
      </c>
      <c r="O452" s="14">
        <f t="shared" ca="1" si="7"/>
        <v>987</v>
      </c>
      <c r="P452" t="s">
        <v>1066</v>
      </c>
    </row>
    <row r="453" spans="1:16" ht="12.75" customHeight="1" x14ac:dyDescent="0.2">
      <c r="A453" t="s">
        <v>604</v>
      </c>
      <c r="B453" t="s">
        <v>651</v>
      </c>
      <c r="C453" t="s">
        <v>284</v>
      </c>
      <c r="D453" t="s">
        <v>726</v>
      </c>
      <c r="E453" t="s">
        <v>399</v>
      </c>
      <c r="F453" s="1">
        <v>45153</v>
      </c>
      <c r="G453" s="1">
        <v>45183</v>
      </c>
      <c r="H453" t="s">
        <v>679</v>
      </c>
      <c r="I453">
        <v>2330.7600000000002</v>
      </c>
      <c r="J453">
        <v>2330.7600000000002</v>
      </c>
      <c r="K453">
        <v>0</v>
      </c>
      <c r="L453">
        <v>0</v>
      </c>
      <c r="M453">
        <v>0</v>
      </c>
      <c r="N453">
        <v>2330.7600000000002</v>
      </c>
      <c r="O453" s="14">
        <f t="shared" ca="1" si="7"/>
        <v>987</v>
      </c>
      <c r="P453" t="s">
        <v>1066</v>
      </c>
    </row>
    <row r="454" spans="1:16" ht="12.75" customHeight="1" x14ac:dyDescent="0.2">
      <c r="A454" t="s">
        <v>604</v>
      </c>
      <c r="B454" t="s">
        <v>651</v>
      </c>
      <c r="C454" t="s">
        <v>277</v>
      </c>
      <c r="D454" t="s">
        <v>863</v>
      </c>
      <c r="E454" t="s">
        <v>399</v>
      </c>
      <c r="F454" s="1">
        <v>43440</v>
      </c>
      <c r="G454" s="1">
        <v>43470</v>
      </c>
      <c r="H454" t="s">
        <v>656</v>
      </c>
      <c r="I454">
        <v>2128.11</v>
      </c>
      <c r="J454">
        <v>2128.11</v>
      </c>
      <c r="K454">
        <v>0</v>
      </c>
      <c r="L454">
        <v>0</v>
      </c>
      <c r="M454">
        <v>0</v>
      </c>
      <c r="N454">
        <v>2128.11</v>
      </c>
      <c r="O454" s="14">
        <f t="shared" ca="1" si="7"/>
        <v>2700</v>
      </c>
      <c r="P454" t="s">
        <v>1066</v>
      </c>
    </row>
    <row r="455" spans="1:16" ht="12.75" customHeight="1" x14ac:dyDescent="0.2">
      <c r="A455" t="s">
        <v>604</v>
      </c>
      <c r="B455" t="s">
        <v>651</v>
      </c>
      <c r="C455" t="s">
        <v>471</v>
      </c>
      <c r="D455" t="s">
        <v>428</v>
      </c>
      <c r="E455" t="s">
        <v>399</v>
      </c>
      <c r="F455" s="1">
        <v>43949</v>
      </c>
      <c r="G455" s="1">
        <v>43963</v>
      </c>
      <c r="H455" t="s">
        <v>344</v>
      </c>
      <c r="I455">
        <v>30.25</v>
      </c>
      <c r="J455">
        <v>30.25</v>
      </c>
      <c r="K455">
        <v>0</v>
      </c>
      <c r="L455">
        <v>0</v>
      </c>
      <c r="M455">
        <v>0</v>
      </c>
      <c r="N455">
        <v>30.25</v>
      </c>
      <c r="O455" s="14">
        <f t="shared" ca="1" si="7"/>
        <v>2207</v>
      </c>
      <c r="P455" t="s">
        <v>1066</v>
      </c>
    </row>
    <row r="456" spans="1:16" ht="12.75" customHeight="1" x14ac:dyDescent="0.2">
      <c r="A456" t="s">
        <v>604</v>
      </c>
      <c r="B456" t="s">
        <v>651</v>
      </c>
      <c r="C456" t="s">
        <v>471</v>
      </c>
      <c r="D456" t="s">
        <v>428</v>
      </c>
      <c r="E456" t="s">
        <v>399</v>
      </c>
      <c r="F456" s="1">
        <v>43951</v>
      </c>
      <c r="G456" s="1">
        <v>43965</v>
      </c>
      <c r="H456" t="s">
        <v>833</v>
      </c>
      <c r="I456">
        <v>1404.81</v>
      </c>
      <c r="J456">
        <v>240.79</v>
      </c>
      <c r="K456">
        <v>0</v>
      </c>
      <c r="L456">
        <v>0</v>
      </c>
      <c r="M456">
        <v>0</v>
      </c>
      <c r="N456">
        <v>240.79</v>
      </c>
      <c r="O456" s="14">
        <f t="shared" ca="1" si="7"/>
        <v>2205</v>
      </c>
      <c r="P456" t="s">
        <v>1066</v>
      </c>
    </row>
    <row r="457" spans="1:16" ht="12.75" customHeight="1" x14ac:dyDescent="0.2">
      <c r="A457" t="s">
        <v>604</v>
      </c>
      <c r="B457" t="s">
        <v>651</v>
      </c>
      <c r="C457" t="s">
        <v>471</v>
      </c>
      <c r="D457" t="s">
        <v>428</v>
      </c>
      <c r="E457" t="s">
        <v>399</v>
      </c>
      <c r="F457" s="1">
        <v>43952</v>
      </c>
      <c r="G457" s="1">
        <v>43966</v>
      </c>
      <c r="H457" t="s">
        <v>835</v>
      </c>
      <c r="I457">
        <v>468.27</v>
      </c>
      <c r="J457">
        <v>468.27</v>
      </c>
      <c r="K457">
        <v>0</v>
      </c>
      <c r="L457">
        <v>0</v>
      </c>
      <c r="M457">
        <v>0</v>
      </c>
      <c r="N457">
        <v>468.27</v>
      </c>
      <c r="O457" s="14">
        <f t="shared" ca="1" si="7"/>
        <v>2204</v>
      </c>
      <c r="P457" t="s">
        <v>1066</v>
      </c>
    </row>
    <row r="458" spans="1:16" ht="12.75" customHeight="1" x14ac:dyDescent="0.2">
      <c r="A458" t="s">
        <v>604</v>
      </c>
      <c r="B458" t="s">
        <v>651</v>
      </c>
      <c r="C458" t="s">
        <v>471</v>
      </c>
      <c r="D458" t="s">
        <v>428</v>
      </c>
      <c r="E458" t="s">
        <v>399</v>
      </c>
      <c r="F458" s="1">
        <v>44138</v>
      </c>
      <c r="G458" s="1">
        <v>44152</v>
      </c>
      <c r="H458" t="s">
        <v>24</v>
      </c>
      <c r="I458">
        <v>30.25</v>
      </c>
      <c r="J458">
        <v>30.25</v>
      </c>
      <c r="K458">
        <v>0</v>
      </c>
      <c r="L458">
        <v>0</v>
      </c>
      <c r="M458">
        <v>0</v>
      </c>
      <c r="N458">
        <v>30.25</v>
      </c>
      <c r="O458" s="14">
        <f t="shared" ca="1" si="7"/>
        <v>2018</v>
      </c>
      <c r="P458" t="s">
        <v>1066</v>
      </c>
    </row>
    <row r="459" spans="1:16" ht="12.75" customHeight="1" x14ac:dyDescent="0.2">
      <c r="A459" t="s">
        <v>604</v>
      </c>
      <c r="B459" t="s">
        <v>651</v>
      </c>
      <c r="C459" t="s">
        <v>471</v>
      </c>
      <c r="D459" t="s">
        <v>428</v>
      </c>
      <c r="E459" t="s">
        <v>399</v>
      </c>
      <c r="F459" s="1">
        <v>44166</v>
      </c>
      <c r="G459" s="1">
        <v>44180</v>
      </c>
      <c r="H459" t="s">
        <v>443</v>
      </c>
      <c r="I459">
        <v>30.25</v>
      </c>
      <c r="J459">
        <v>30.25</v>
      </c>
      <c r="K459">
        <v>0</v>
      </c>
      <c r="L459">
        <v>0</v>
      </c>
      <c r="M459">
        <v>0</v>
      </c>
      <c r="N459">
        <v>30.25</v>
      </c>
      <c r="O459" s="14">
        <f t="shared" ca="1" si="7"/>
        <v>1990</v>
      </c>
      <c r="P459" t="s">
        <v>1066</v>
      </c>
    </row>
    <row r="460" spans="1:16" ht="12.75" customHeight="1" x14ac:dyDescent="0.2">
      <c r="A460" t="s">
        <v>604</v>
      </c>
      <c r="B460" t="s">
        <v>651</v>
      </c>
      <c r="C460" t="s">
        <v>471</v>
      </c>
      <c r="D460" t="s">
        <v>428</v>
      </c>
      <c r="E460" t="s">
        <v>399</v>
      </c>
      <c r="F460" s="1">
        <v>44257</v>
      </c>
      <c r="G460" s="1">
        <v>44271</v>
      </c>
      <c r="H460" t="s">
        <v>917</v>
      </c>
      <c r="I460">
        <v>30.25</v>
      </c>
      <c r="J460">
        <v>30.25</v>
      </c>
      <c r="K460">
        <v>0</v>
      </c>
      <c r="L460">
        <v>0</v>
      </c>
      <c r="M460">
        <v>0</v>
      </c>
      <c r="N460">
        <v>30.25</v>
      </c>
      <c r="O460" s="14">
        <f t="shared" ca="1" si="7"/>
        <v>1899</v>
      </c>
      <c r="P460" t="s">
        <v>1066</v>
      </c>
    </row>
    <row r="461" spans="1:16" ht="12.75" customHeight="1" x14ac:dyDescent="0.2">
      <c r="A461" t="s">
        <v>604</v>
      </c>
      <c r="B461" t="s">
        <v>651</v>
      </c>
      <c r="C461" t="s">
        <v>1284</v>
      </c>
      <c r="D461" t="s">
        <v>1273</v>
      </c>
      <c r="E461" t="s">
        <v>399</v>
      </c>
      <c r="F461" s="1">
        <v>43467</v>
      </c>
      <c r="G461" s="1">
        <v>43497</v>
      </c>
      <c r="H461" t="s">
        <v>238</v>
      </c>
      <c r="I461">
        <v>95.59</v>
      </c>
      <c r="J461">
        <v>95.59</v>
      </c>
      <c r="K461">
        <v>0</v>
      </c>
      <c r="L461">
        <v>0</v>
      </c>
      <c r="M461">
        <v>0</v>
      </c>
      <c r="N461">
        <v>95.59</v>
      </c>
      <c r="O461" s="14">
        <f t="shared" ca="1" si="7"/>
        <v>2673</v>
      </c>
      <c r="P461" t="s">
        <v>1066</v>
      </c>
    </row>
    <row r="462" spans="1:16" ht="12.75" customHeight="1" x14ac:dyDescent="0.2">
      <c r="A462" t="s">
        <v>604</v>
      </c>
      <c r="B462" t="s">
        <v>651</v>
      </c>
      <c r="C462" t="s">
        <v>1284</v>
      </c>
      <c r="D462" t="s">
        <v>1273</v>
      </c>
      <c r="E462" t="s">
        <v>399</v>
      </c>
      <c r="F462" s="1">
        <v>43502</v>
      </c>
      <c r="G462" s="1">
        <v>43532</v>
      </c>
      <c r="H462" t="s">
        <v>1100</v>
      </c>
      <c r="I462">
        <v>95.59</v>
      </c>
      <c r="J462">
        <v>95.59</v>
      </c>
      <c r="K462">
        <v>0</v>
      </c>
      <c r="L462">
        <v>0</v>
      </c>
      <c r="M462">
        <v>0</v>
      </c>
      <c r="N462">
        <v>95.59</v>
      </c>
      <c r="O462" s="14">
        <f t="shared" ca="1" si="7"/>
        <v>2638</v>
      </c>
      <c r="P462" t="s">
        <v>1066</v>
      </c>
    </row>
    <row r="463" spans="1:16" ht="12.75" customHeight="1" x14ac:dyDescent="0.2">
      <c r="A463" t="s">
        <v>604</v>
      </c>
      <c r="B463" t="s">
        <v>651</v>
      </c>
      <c r="C463" t="s">
        <v>1284</v>
      </c>
      <c r="D463" t="s">
        <v>1273</v>
      </c>
      <c r="E463" t="s">
        <v>399</v>
      </c>
      <c r="F463" s="1">
        <v>43529</v>
      </c>
      <c r="G463" s="1">
        <v>43559</v>
      </c>
      <c r="H463" t="s">
        <v>1057</v>
      </c>
      <c r="I463">
        <v>95.59</v>
      </c>
      <c r="J463">
        <v>95.59</v>
      </c>
      <c r="K463">
        <v>0</v>
      </c>
      <c r="L463">
        <v>0</v>
      </c>
      <c r="M463">
        <v>0</v>
      </c>
      <c r="N463">
        <v>95.59</v>
      </c>
      <c r="O463" s="14">
        <f t="shared" ca="1" si="7"/>
        <v>2611</v>
      </c>
      <c r="P463" t="s">
        <v>1066</v>
      </c>
    </row>
    <row r="464" spans="1:16" ht="12.75" customHeight="1" x14ac:dyDescent="0.2">
      <c r="A464" t="s">
        <v>604</v>
      </c>
      <c r="B464" t="s">
        <v>651</v>
      </c>
      <c r="C464" t="s">
        <v>1284</v>
      </c>
      <c r="D464" t="s">
        <v>1273</v>
      </c>
      <c r="E464" t="s">
        <v>399</v>
      </c>
      <c r="F464" s="1">
        <v>43563</v>
      </c>
      <c r="G464" s="1">
        <v>43593</v>
      </c>
      <c r="H464" t="s">
        <v>962</v>
      </c>
      <c r="I464">
        <v>95.59</v>
      </c>
      <c r="J464">
        <v>95.59</v>
      </c>
      <c r="K464">
        <v>0</v>
      </c>
      <c r="L464">
        <v>0</v>
      </c>
      <c r="M464">
        <v>0</v>
      </c>
      <c r="N464">
        <v>95.59</v>
      </c>
      <c r="O464" s="14">
        <f t="shared" ca="1" si="7"/>
        <v>2577</v>
      </c>
      <c r="P464" t="s">
        <v>1066</v>
      </c>
    </row>
    <row r="465" spans="1:16" ht="12.75" customHeight="1" x14ac:dyDescent="0.2">
      <c r="A465" t="s">
        <v>604</v>
      </c>
      <c r="B465" t="s">
        <v>651</v>
      </c>
      <c r="C465" t="s">
        <v>1284</v>
      </c>
      <c r="D465" t="s">
        <v>1273</v>
      </c>
      <c r="E465" t="s">
        <v>399</v>
      </c>
      <c r="F465" s="1">
        <v>43586</v>
      </c>
      <c r="G465" s="1">
        <v>43616</v>
      </c>
      <c r="H465" t="s">
        <v>813</v>
      </c>
      <c r="I465">
        <v>95.59</v>
      </c>
      <c r="J465">
        <v>95.59</v>
      </c>
      <c r="K465">
        <v>0</v>
      </c>
      <c r="L465">
        <v>0</v>
      </c>
      <c r="M465">
        <v>0</v>
      </c>
      <c r="N465">
        <v>95.59</v>
      </c>
      <c r="O465" s="14">
        <f t="shared" ca="1" si="7"/>
        <v>2554</v>
      </c>
      <c r="P465" t="s">
        <v>1066</v>
      </c>
    </row>
    <row r="466" spans="1:16" ht="12.75" customHeight="1" x14ac:dyDescent="0.2">
      <c r="A466" t="s">
        <v>604</v>
      </c>
      <c r="B466" t="s">
        <v>651</v>
      </c>
      <c r="C466" t="s">
        <v>1284</v>
      </c>
      <c r="D466" t="s">
        <v>1273</v>
      </c>
      <c r="E466" t="s">
        <v>399</v>
      </c>
      <c r="F466" s="1">
        <v>43621</v>
      </c>
      <c r="G466" s="1">
        <v>43651</v>
      </c>
      <c r="H466" t="s">
        <v>831</v>
      </c>
      <c r="I466">
        <v>95.59</v>
      </c>
      <c r="J466">
        <v>95.59</v>
      </c>
      <c r="K466">
        <v>0</v>
      </c>
      <c r="L466">
        <v>0</v>
      </c>
      <c r="M466">
        <v>0</v>
      </c>
      <c r="N466">
        <v>95.59</v>
      </c>
      <c r="O466" s="14">
        <f t="shared" ca="1" si="7"/>
        <v>2519</v>
      </c>
      <c r="P466" t="s">
        <v>1066</v>
      </c>
    </row>
    <row r="467" spans="1:16" ht="12.75" customHeight="1" x14ac:dyDescent="0.2">
      <c r="A467" t="s">
        <v>604</v>
      </c>
      <c r="B467" t="s">
        <v>651</v>
      </c>
      <c r="C467" t="s">
        <v>1284</v>
      </c>
      <c r="D467" t="s">
        <v>1273</v>
      </c>
      <c r="E467" t="s">
        <v>399</v>
      </c>
      <c r="F467" s="1">
        <v>43648</v>
      </c>
      <c r="G467" s="1">
        <v>43678</v>
      </c>
      <c r="H467" t="s">
        <v>363</v>
      </c>
      <c r="I467">
        <v>95.59</v>
      </c>
      <c r="J467">
        <v>95.59</v>
      </c>
      <c r="K467">
        <v>0</v>
      </c>
      <c r="L467">
        <v>0</v>
      </c>
      <c r="M467">
        <v>0</v>
      </c>
      <c r="N467">
        <v>95.59</v>
      </c>
      <c r="O467" s="14">
        <f t="shared" ca="1" si="7"/>
        <v>2492</v>
      </c>
      <c r="P467" t="s">
        <v>1066</v>
      </c>
    </row>
    <row r="468" spans="1:16" ht="12.75" customHeight="1" x14ac:dyDescent="0.2">
      <c r="A468" t="s">
        <v>604</v>
      </c>
      <c r="B468" t="s">
        <v>651</v>
      </c>
      <c r="C468" t="s">
        <v>1284</v>
      </c>
      <c r="D468" t="s">
        <v>1273</v>
      </c>
      <c r="E468" t="s">
        <v>399</v>
      </c>
      <c r="F468" s="1">
        <v>43678</v>
      </c>
      <c r="G468" s="1">
        <v>43708</v>
      </c>
      <c r="H468" t="s">
        <v>877</v>
      </c>
      <c r="I468">
        <v>95.59</v>
      </c>
      <c r="J468">
        <v>95.59</v>
      </c>
      <c r="K468">
        <v>0</v>
      </c>
      <c r="L468">
        <v>0</v>
      </c>
      <c r="M468">
        <v>0</v>
      </c>
      <c r="N468">
        <v>95.59</v>
      </c>
      <c r="O468" s="14">
        <f t="shared" ca="1" si="7"/>
        <v>2462</v>
      </c>
      <c r="P468" t="s">
        <v>1066</v>
      </c>
    </row>
    <row r="469" spans="1:16" ht="12.75" customHeight="1" x14ac:dyDescent="0.2">
      <c r="A469" t="s">
        <v>604</v>
      </c>
      <c r="B469" t="s">
        <v>651</v>
      </c>
      <c r="C469" t="s">
        <v>1284</v>
      </c>
      <c r="D469" t="s">
        <v>1273</v>
      </c>
      <c r="E469" t="s">
        <v>399</v>
      </c>
      <c r="F469" s="1">
        <v>43711</v>
      </c>
      <c r="G469" s="1">
        <v>43741</v>
      </c>
      <c r="H469" t="s">
        <v>427</v>
      </c>
      <c r="I469">
        <v>95.59</v>
      </c>
      <c r="J469">
        <v>95.59</v>
      </c>
      <c r="K469">
        <v>0</v>
      </c>
      <c r="L469">
        <v>0</v>
      </c>
      <c r="M469">
        <v>0</v>
      </c>
      <c r="N469">
        <v>95.59</v>
      </c>
      <c r="O469" s="14">
        <f t="shared" ca="1" si="7"/>
        <v>2429</v>
      </c>
      <c r="P469" t="s">
        <v>1066</v>
      </c>
    </row>
    <row r="470" spans="1:16" ht="12.75" customHeight="1" x14ac:dyDescent="0.2">
      <c r="A470" t="s">
        <v>604</v>
      </c>
      <c r="B470" t="s">
        <v>651</v>
      </c>
      <c r="C470" t="s">
        <v>1284</v>
      </c>
      <c r="D470" t="s">
        <v>1273</v>
      </c>
      <c r="E470" t="s">
        <v>399</v>
      </c>
      <c r="F470" s="1">
        <v>43740</v>
      </c>
      <c r="G470" s="1">
        <v>43770</v>
      </c>
      <c r="H470" t="s">
        <v>249</v>
      </c>
      <c r="I470">
        <v>95.59</v>
      </c>
      <c r="J470">
        <v>95.59</v>
      </c>
      <c r="K470">
        <v>0</v>
      </c>
      <c r="L470">
        <v>0</v>
      </c>
      <c r="M470">
        <v>0</v>
      </c>
      <c r="N470">
        <v>95.59</v>
      </c>
      <c r="O470" s="14">
        <f t="shared" ca="1" si="7"/>
        <v>2400</v>
      </c>
      <c r="P470" t="s">
        <v>1066</v>
      </c>
    </row>
    <row r="471" spans="1:16" ht="12.75" customHeight="1" x14ac:dyDescent="0.2">
      <c r="A471" t="s">
        <v>604</v>
      </c>
      <c r="B471" t="s">
        <v>651</v>
      </c>
      <c r="C471" t="s">
        <v>1284</v>
      </c>
      <c r="D471" t="s">
        <v>1273</v>
      </c>
      <c r="E471" t="s">
        <v>399</v>
      </c>
      <c r="F471" s="1">
        <v>43774</v>
      </c>
      <c r="G471" s="1">
        <v>43804</v>
      </c>
      <c r="H471" t="s">
        <v>1214</v>
      </c>
      <c r="I471">
        <v>95.59</v>
      </c>
      <c r="J471">
        <v>95.59</v>
      </c>
      <c r="K471">
        <v>0</v>
      </c>
      <c r="L471">
        <v>0</v>
      </c>
      <c r="M471">
        <v>0</v>
      </c>
      <c r="N471">
        <v>95.59</v>
      </c>
      <c r="O471" s="14">
        <f t="shared" ca="1" si="7"/>
        <v>2366</v>
      </c>
      <c r="P471" t="s">
        <v>1066</v>
      </c>
    </row>
    <row r="472" spans="1:16" ht="12.75" customHeight="1" x14ac:dyDescent="0.2">
      <c r="A472" t="s">
        <v>604</v>
      </c>
      <c r="B472" t="s">
        <v>651</v>
      </c>
      <c r="C472" t="s">
        <v>1284</v>
      </c>
      <c r="D472" t="s">
        <v>1273</v>
      </c>
      <c r="E472" t="s">
        <v>399</v>
      </c>
      <c r="F472" s="1">
        <v>43802</v>
      </c>
      <c r="G472" s="1">
        <v>43832</v>
      </c>
      <c r="H472" t="s">
        <v>935</v>
      </c>
      <c r="I472">
        <v>95.59</v>
      </c>
      <c r="J472">
        <v>95.59</v>
      </c>
      <c r="K472">
        <v>0</v>
      </c>
      <c r="L472">
        <v>0</v>
      </c>
      <c r="M472">
        <v>0</v>
      </c>
      <c r="N472">
        <v>95.59</v>
      </c>
      <c r="O472" s="14">
        <f t="shared" ca="1" si="7"/>
        <v>2338</v>
      </c>
      <c r="P472" t="s">
        <v>1066</v>
      </c>
    </row>
    <row r="473" spans="1:16" ht="12.75" customHeight="1" x14ac:dyDescent="0.2">
      <c r="A473" t="s">
        <v>604</v>
      </c>
      <c r="B473" t="s">
        <v>651</v>
      </c>
      <c r="C473" t="s">
        <v>1284</v>
      </c>
      <c r="D473" t="s">
        <v>1273</v>
      </c>
      <c r="E473" t="s">
        <v>399</v>
      </c>
      <c r="F473" s="1">
        <v>43865</v>
      </c>
      <c r="G473" s="1">
        <v>43895</v>
      </c>
      <c r="H473" t="s">
        <v>919</v>
      </c>
      <c r="I473">
        <v>95.59</v>
      </c>
      <c r="J473">
        <v>95.59</v>
      </c>
      <c r="K473">
        <v>0</v>
      </c>
      <c r="L473">
        <v>0</v>
      </c>
      <c r="M473">
        <v>0</v>
      </c>
      <c r="N473">
        <v>95.59</v>
      </c>
      <c r="O473" s="14">
        <f t="shared" ca="1" si="7"/>
        <v>2275</v>
      </c>
      <c r="P473" t="s">
        <v>1066</v>
      </c>
    </row>
    <row r="474" spans="1:16" ht="12.75" customHeight="1" x14ac:dyDescent="0.2">
      <c r="A474" t="s">
        <v>604</v>
      </c>
      <c r="B474" t="s">
        <v>651</v>
      </c>
      <c r="C474" t="s">
        <v>1284</v>
      </c>
      <c r="D474" t="s">
        <v>1273</v>
      </c>
      <c r="E474" t="s">
        <v>399</v>
      </c>
      <c r="F474" s="1">
        <v>43865</v>
      </c>
      <c r="G474" s="1">
        <v>43895</v>
      </c>
      <c r="H474" t="s">
        <v>734</v>
      </c>
      <c r="I474">
        <v>95.59</v>
      </c>
      <c r="J474">
        <v>95.59</v>
      </c>
      <c r="K474">
        <v>0</v>
      </c>
      <c r="L474">
        <v>0</v>
      </c>
      <c r="M474">
        <v>0</v>
      </c>
      <c r="N474">
        <v>95.59</v>
      </c>
      <c r="O474" s="14">
        <f t="shared" ca="1" si="7"/>
        <v>2275</v>
      </c>
      <c r="P474" t="s">
        <v>1066</v>
      </c>
    </row>
    <row r="475" spans="1:16" ht="12.75" customHeight="1" x14ac:dyDescent="0.2">
      <c r="A475" t="s">
        <v>604</v>
      </c>
      <c r="B475" t="s">
        <v>651</v>
      </c>
      <c r="C475" t="s">
        <v>1284</v>
      </c>
      <c r="D475" t="s">
        <v>1273</v>
      </c>
      <c r="E475" t="s">
        <v>399</v>
      </c>
      <c r="F475" s="1">
        <v>43893</v>
      </c>
      <c r="G475" s="1">
        <v>43923</v>
      </c>
      <c r="H475" t="s">
        <v>880</v>
      </c>
      <c r="I475">
        <v>95.59</v>
      </c>
      <c r="J475">
        <v>95.59</v>
      </c>
      <c r="K475">
        <v>0</v>
      </c>
      <c r="L475">
        <v>0</v>
      </c>
      <c r="M475">
        <v>0</v>
      </c>
      <c r="N475">
        <v>95.59</v>
      </c>
      <c r="O475" s="14">
        <f t="shared" ca="1" si="7"/>
        <v>2247</v>
      </c>
      <c r="P475" t="s">
        <v>1066</v>
      </c>
    </row>
    <row r="476" spans="1:16" ht="12.75" customHeight="1" x14ac:dyDescent="0.2">
      <c r="A476" t="s">
        <v>604</v>
      </c>
      <c r="B476" t="s">
        <v>651</v>
      </c>
      <c r="C476" t="s">
        <v>1284</v>
      </c>
      <c r="D476" t="s">
        <v>1273</v>
      </c>
      <c r="E476" t="s">
        <v>399</v>
      </c>
      <c r="F476" s="1">
        <v>43928</v>
      </c>
      <c r="G476" s="1">
        <v>43958</v>
      </c>
      <c r="H476" t="s">
        <v>982</v>
      </c>
      <c r="I476">
        <v>95.59</v>
      </c>
      <c r="J476">
        <v>95.59</v>
      </c>
      <c r="K476">
        <v>0</v>
      </c>
      <c r="L476">
        <v>0</v>
      </c>
      <c r="M476">
        <v>0</v>
      </c>
      <c r="N476">
        <v>95.59</v>
      </c>
      <c r="O476" s="14">
        <f t="shared" ca="1" si="7"/>
        <v>2212</v>
      </c>
      <c r="P476" t="s">
        <v>1066</v>
      </c>
    </row>
    <row r="477" spans="1:16" ht="12.75" customHeight="1" x14ac:dyDescent="0.2">
      <c r="A477" t="s">
        <v>604</v>
      </c>
      <c r="B477" t="s">
        <v>651</v>
      </c>
      <c r="C477" t="s">
        <v>1284</v>
      </c>
      <c r="D477" t="s">
        <v>1273</v>
      </c>
      <c r="E477" t="s">
        <v>399</v>
      </c>
      <c r="F477" s="1">
        <v>43957</v>
      </c>
      <c r="G477" s="1">
        <v>43987</v>
      </c>
      <c r="H477" t="s">
        <v>1192</v>
      </c>
      <c r="I477">
        <v>95.59</v>
      </c>
      <c r="J477">
        <v>95.59</v>
      </c>
      <c r="K477">
        <v>0</v>
      </c>
      <c r="L477">
        <v>0</v>
      </c>
      <c r="M477">
        <v>0</v>
      </c>
      <c r="N477">
        <v>95.59</v>
      </c>
      <c r="O477" s="14">
        <f t="shared" ca="1" si="7"/>
        <v>2183</v>
      </c>
      <c r="P477" t="s">
        <v>1066</v>
      </c>
    </row>
    <row r="478" spans="1:16" ht="12.75" customHeight="1" x14ac:dyDescent="0.2">
      <c r="A478" t="s">
        <v>604</v>
      </c>
      <c r="B478" t="s">
        <v>651</v>
      </c>
      <c r="C478" t="s">
        <v>1284</v>
      </c>
      <c r="D478" t="s">
        <v>1273</v>
      </c>
      <c r="E478" t="s">
        <v>399</v>
      </c>
      <c r="F478" s="1">
        <v>43984</v>
      </c>
      <c r="G478" s="1">
        <v>44014</v>
      </c>
      <c r="H478" t="s">
        <v>199</v>
      </c>
      <c r="I478">
        <v>95.59</v>
      </c>
      <c r="J478">
        <v>95.59</v>
      </c>
      <c r="K478">
        <v>0</v>
      </c>
      <c r="L478">
        <v>0</v>
      </c>
      <c r="M478">
        <v>0</v>
      </c>
      <c r="N478">
        <v>95.59</v>
      </c>
      <c r="O478" s="14">
        <f t="shared" ca="1" si="7"/>
        <v>2156</v>
      </c>
      <c r="P478" t="s">
        <v>1066</v>
      </c>
    </row>
    <row r="479" spans="1:16" ht="12.75" customHeight="1" x14ac:dyDescent="0.2">
      <c r="A479" t="s">
        <v>604</v>
      </c>
      <c r="B479" t="s">
        <v>651</v>
      </c>
      <c r="C479" t="s">
        <v>1284</v>
      </c>
      <c r="D479" t="s">
        <v>1273</v>
      </c>
      <c r="E479" t="s">
        <v>399</v>
      </c>
      <c r="F479" s="1">
        <v>44013</v>
      </c>
      <c r="G479" s="1">
        <v>44043</v>
      </c>
      <c r="H479" t="s">
        <v>795</v>
      </c>
      <c r="I479">
        <v>95.59</v>
      </c>
      <c r="J479">
        <v>95.59</v>
      </c>
      <c r="K479">
        <v>0</v>
      </c>
      <c r="L479">
        <v>0</v>
      </c>
      <c r="M479">
        <v>0</v>
      </c>
      <c r="N479">
        <v>95.59</v>
      </c>
      <c r="O479" s="14">
        <f t="shared" ca="1" si="7"/>
        <v>2127</v>
      </c>
      <c r="P479" t="s">
        <v>1066</v>
      </c>
    </row>
    <row r="480" spans="1:16" ht="12.75" customHeight="1" x14ac:dyDescent="0.2">
      <c r="A480" t="s">
        <v>604</v>
      </c>
      <c r="B480" t="s">
        <v>651</v>
      </c>
      <c r="C480" t="s">
        <v>1284</v>
      </c>
      <c r="D480" t="s">
        <v>1273</v>
      </c>
      <c r="E480" t="s">
        <v>399</v>
      </c>
      <c r="F480" s="1">
        <v>44047</v>
      </c>
      <c r="G480" s="1">
        <v>44077</v>
      </c>
      <c r="H480" t="s">
        <v>225</v>
      </c>
      <c r="I480">
        <v>95.59</v>
      </c>
      <c r="J480">
        <v>95.59</v>
      </c>
      <c r="K480">
        <v>0</v>
      </c>
      <c r="L480">
        <v>0</v>
      </c>
      <c r="M480">
        <v>0</v>
      </c>
      <c r="N480">
        <v>95.59</v>
      </c>
      <c r="O480" s="14">
        <f t="shared" ca="1" si="7"/>
        <v>2093</v>
      </c>
      <c r="P480" t="s">
        <v>1066</v>
      </c>
    </row>
    <row r="481" spans="1:16" ht="12.75" customHeight="1" x14ac:dyDescent="0.2">
      <c r="A481" t="s">
        <v>604</v>
      </c>
      <c r="B481" t="s">
        <v>651</v>
      </c>
      <c r="C481" t="s">
        <v>1284</v>
      </c>
      <c r="D481" t="s">
        <v>1273</v>
      </c>
      <c r="E481" t="s">
        <v>399</v>
      </c>
      <c r="F481" s="1">
        <v>44075</v>
      </c>
      <c r="G481" s="1">
        <v>44105</v>
      </c>
      <c r="H481" t="s">
        <v>616</v>
      </c>
      <c r="I481">
        <v>95.59</v>
      </c>
      <c r="J481">
        <v>95.59</v>
      </c>
      <c r="K481">
        <v>0</v>
      </c>
      <c r="L481">
        <v>0</v>
      </c>
      <c r="M481">
        <v>0</v>
      </c>
      <c r="N481">
        <v>95.59</v>
      </c>
      <c r="O481" s="14">
        <f t="shared" ca="1" si="7"/>
        <v>2065</v>
      </c>
      <c r="P481" t="s">
        <v>1066</v>
      </c>
    </row>
    <row r="482" spans="1:16" ht="12.75" customHeight="1" x14ac:dyDescent="0.2">
      <c r="A482" t="s">
        <v>604</v>
      </c>
      <c r="B482" t="s">
        <v>651</v>
      </c>
      <c r="C482" t="s">
        <v>1284</v>
      </c>
      <c r="D482" t="s">
        <v>1273</v>
      </c>
      <c r="E482" t="s">
        <v>399</v>
      </c>
      <c r="F482" s="1">
        <v>44110</v>
      </c>
      <c r="G482" s="1">
        <v>44140</v>
      </c>
      <c r="H482" t="s">
        <v>129</v>
      </c>
      <c r="I482">
        <v>95.59</v>
      </c>
      <c r="J482">
        <v>95.59</v>
      </c>
      <c r="K482">
        <v>0</v>
      </c>
      <c r="L482">
        <v>0</v>
      </c>
      <c r="M482">
        <v>0</v>
      </c>
      <c r="N482">
        <v>95.59</v>
      </c>
      <c r="O482" s="14">
        <f t="shared" ca="1" si="7"/>
        <v>2030</v>
      </c>
      <c r="P482" t="s">
        <v>1066</v>
      </c>
    </row>
    <row r="483" spans="1:16" ht="12.75" customHeight="1" x14ac:dyDescent="0.2">
      <c r="A483" t="s">
        <v>604</v>
      </c>
      <c r="B483" t="s">
        <v>651</v>
      </c>
      <c r="C483" t="s">
        <v>1284</v>
      </c>
      <c r="D483" t="s">
        <v>1273</v>
      </c>
      <c r="E483" t="s">
        <v>399</v>
      </c>
      <c r="F483" s="1">
        <v>44138</v>
      </c>
      <c r="G483" s="1">
        <v>44168</v>
      </c>
      <c r="H483" t="s">
        <v>329</v>
      </c>
      <c r="I483">
        <v>95.59</v>
      </c>
      <c r="J483">
        <v>95.59</v>
      </c>
      <c r="K483">
        <v>0</v>
      </c>
      <c r="L483">
        <v>0</v>
      </c>
      <c r="M483">
        <v>0</v>
      </c>
      <c r="N483">
        <v>95.59</v>
      </c>
      <c r="O483" s="14">
        <f t="shared" ca="1" si="7"/>
        <v>2002</v>
      </c>
      <c r="P483" t="s">
        <v>1066</v>
      </c>
    </row>
    <row r="484" spans="1:16" ht="12.75" customHeight="1" x14ac:dyDescent="0.2">
      <c r="A484" t="s">
        <v>604</v>
      </c>
      <c r="B484" t="s">
        <v>651</v>
      </c>
      <c r="C484" t="s">
        <v>1284</v>
      </c>
      <c r="D484" t="s">
        <v>1273</v>
      </c>
      <c r="E484" t="s">
        <v>399</v>
      </c>
      <c r="F484" s="1">
        <v>44166</v>
      </c>
      <c r="G484" s="1">
        <v>44196</v>
      </c>
      <c r="H484" t="s">
        <v>617</v>
      </c>
      <c r="I484">
        <v>95.59</v>
      </c>
      <c r="J484">
        <v>95.59</v>
      </c>
      <c r="K484">
        <v>0</v>
      </c>
      <c r="L484">
        <v>0</v>
      </c>
      <c r="M484">
        <v>0</v>
      </c>
      <c r="N484">
        <v>95.59</v>
      </c>
      <c r="O484" s="14">
        <f t="shared" ca="1" si="7"/>
        <v>1974</v>
      </c>
      <c r="P484" t="s">
        <v>1066</v>
      </c>
    </row>
    <row r="485" spans="1:16" ht="12.75" customHeight="1" x14ac:dyDescent="0.2">
      <c r="A485" t="s">
        <v>604</v>
      </c>
      <c r="B485" t="s">
        <v>651</v>
      </c>
      <c r="C485" t="s">
        <v>1284</v>
      </c>
      <c r="D485" t="s">
        <v>1273</v>
      </c>
      <c r="E485" t="s">
        <v>399</v>
      </c>
      <c r="F485" s="1">
        <v>44203</v>
      </c>
      <c r="G485" s="1">
        <v>44233</v>
      </c>
      <c r="H485" t="s">
        <v>183</v>
      </c>
      <c r="I485">
        <v>95.59</v>
      </c>
      <c r="J485">
        <v>95.59</v>
      </c>
      <c r="K485">
        <v>0</v>
      </c>
      <c r="L485">
        <v>0</v>
      </c>
      <c r="M485">
        <v>0</v>
      </c>
      <c r="N485">
        <v>95.59</v>
      </c>
      <c r="O485" s="14">
        <f t="shared" ca="1" si="7"/>
        <v>1937</v>
      </c>
      <c r="P485" t="s">
        <v>1066</v>
      </c>
    </row>
    <row r="486" spans="1:16" ht="12.75" customHeight="1" x14ac:dyDescent="0.2">
      <c r="A486" t="s">
        <v>604</v>
      </c>
      <c r="B486" t="s">
        <v>651</v>
      </c>
      <c r="C486" t="s">
        <v>1284</v>
      </c>
      <c r="D486" t="s">
        <v>1273</v>
      </c>
      <c r="E486" t="s">
        <v>399</v>
      </c>
      <c r="F486" s="1">
        <v>44735</v>
      </c>
      <c r="G486" s="1">
        <v>44765</v>
      </c>
      <c r="H486" t="s">
        <v>1052</v>
      </c>
      <c r="I486">
        <v>3932.5</v>
      </c>
      <c r="J486">
        <v>3932.5</v>
      </c>
      <c r="K486">
        <v>0</v>
      </c>
      <c r="L486">
        <v>0</v>
      </c>
      <c r="M486">
        <v>0</v>
      </c>
      <c r="N486">
        <v>3932.5</v>
      </c>
      <c r="O486" s="14">
        <f t="shared" ca="1" si="7"/>
        <v>1405</v>
      </c>
      <c r="P486" t="s">
        <v>1066</v>
      </c>
    </row>
    <row r="487" spans="1:16" ht="12.75" customHeight="1" x14ac:dyDescent="0.2">
      <c r="A487" t="s">
        <v>604</v>
      </c>
      <c r="B487" t="s">
        <v>651</v>
      </c>
      <c r="C487" t="s">
        <v>283</v>
      </c>
      <c r="D487" t="s">
        <v>1306</v>
      </c>
      <c r="E487" t="s">
        <v>399</v>
      </c>
      <c r="F487" s="1">
        <v>43467</v>
      </c>
      <c r="G487" s="1">
        <v>43497</v>
      </c>
      <c r="H487" t="s">
        <v>239</v>
      </c>
      <c r="I487">
        <v>338.8</v>
      </c>
      <c r="J487">
        <v>338.8</v>
      </c>
      <c r="K487">
        <v>0</v>
      </c>
      <c r="L487">
        <v>0</v>
      </c>
      <c r="M487">
        <v>0</v>
      </c>
      <c r="N487">
        <v>338.8</v>
      </c>
      <c r="O487" s="14">
        <f t="shared" ca="1" si="7"/>
        <v>2673</v>
      </c>
      <c r="P487" t="s">
        <v>1066</v>
      </c>
    </row>
    <row r="488" spans="1:16" ht="12.75" customHeight="1" x14ac:dyDescent="0.2">
      <c r="A488" t="s">
        <v>604</v>
      </c>
      <c r="B488" t="s">
        <v>651</v>
      </c>
      <c r="C488" t="s">
        <v>283</v>
      </c>
      <c r="D488" t="s">
        <v>1306</v>
      </c>
      <c r="E488" t="s">
        <v>399</v>
      </c>
      <c r="F488" s="1">
        <v>43502</v>
      </c>
      <c r="G488" s="1">
        <v>43532</v>
      </c>
      <c r="H488" t="s">
        <v>1099</v>
      </c>
      <c r="I488">
        <v>338.8</v>
      </c>
      <c r="J488">
        <v>338.8</v>
      </c>
      <c r="K488">
        <v>0</v>
      </c>
      <c r="L488">
        <v>0</v>
      </c>
      <c r="M488">
        <v>0</v>
      </c>
      <c r="N488">
        <v>338.8</v>
      </c>
      <c r="O488" s="14">
        <f t="shared" ca="1" si="7"/>
        <v>2638</v>
      </c>
      <c r="P488" t="s">
        <v>1066</v>
      </c>
    </row>
    <row r="489" spans="1:16" ht="12.75" customHeight="1" x14ac:dyDescent="0.2">
      <c r="A489" t="s">
        <v>604</v>
      </c>
      <c r="B489" t="s">
        <v>651</v>
      </c>
      <c r="C489" t="s">
        <v>283</v>
      </c>
      <c r="D489" t="s">
        <v>1306</v>
      </c>
      <c r="E489" t="s">
        <v>399</v>
      </c>
      <c r="F489" s="1">
        <v>43529</v>
      </c>
      <c r="G489" s="1">
        <v>43559</v>
      </c>
      <c r="H489" t="s">
        <v>1056</v>
      </c>
      <c r="I489">
        <v>338.8</v>
      </c>
      <c r="J489">
        <v>338.8</v>
      </c>
      <c r="K489">
        <v>0</v>
      </c>
      <c r="L489">
        <v>0</v>
      </c>
      <c r="M489">
        <v>0</v>
      </c>
      <c r="N489">
        <v>338.8</v>
      </c>
      <c r="O489" s="14">
        <f t="shared" ca="1" si="7"/>
        <v>2611</v>
      </c>
      <c r="P489" t="s">
        <v>1066</v>
      </c>
    </row>
    <row r="490" spans="1:16" ht="12.75" customHeight="1" x14ac:dyDescent="0.2">
      <c r="A490" t="s">
        <v>604</v>
      </c>
      <c r="B490" t="s">
        <v>651</v>
      </c>
      <c r="C490" t="s">
        <v>283</v>
      </c>
      <c r="D490" t="s">
        <v>1306</v>
      </c>
      <c r="E490" t="s">
        <v>399</v>
      </c>
      <c r="F490" s="1">
        <v>43563</v>
      </c>
      <c r="G490" s="1">
        <v>43593</v>
      </c>
      <c r="H490" t="s">
        <v>963</v>
      </c>
      <c r="I490">
        <v>338.8</v>
      </c>
      <c r="J490">
        <v>338.8</v>
      </c>
      <c r="K490">
        <v>0</v>
      </c>
      <c r="L490">
        <v>0</v>
      </c>
      <c r="M490">
        <v>0</v>
      </c>
      <c r="N490">
        <v>338.8</v>
      </c>
      <c r="O490" s="14">
        <f t="shared" ca="1" si="7"/>
        <v>2577</v>
      </c>
      <c r="P490" t="s">
        <v>1066</v>
      </c>
    </row>
    <row r="491" spans="1:16" ht="12.75" customHeight="1" x14ac:dyDescent="0.2">
      <c r="A491" t="s">
        <v>604</v>
      </c>
      <c r="B491" t="s">
        <v>651</v>
      </c>
      <c r="C491" t="s">
        <v>283</v>
      </c>
      <c r="D491" t="s">
        <v>1306</v>
      </c>
      <c r="E491" t="s">
        <v>399</v>
      </c>
      <c r="F491" s="1">
        <v>43586</v>
      </c>
      <c r="G491" s="1">
        <v>43616</v>
      </c>
      <c r="H491" t="s">
        <v>812</v>
      </c>
      <c r="I491">
        <v>338.8</v>
      </c>
      <c r="J491">
        <v>338.8</v>
      </c>
      <c r="K491">
        <v>0</v>
      </c>
      <c r="L491">
        <v>0</v>
      </c>
      <c r="M491">
        <v>0</v>
      </c>
      <c r="N491">
        <v>338.8</v>
      </c>
      <c r="O491" s="14">
        <f t="shared" ca="1" si="7"/>
        <v>2554</v>
      </c>
      <c r="P491" t="s">
        <v>1066</v>
      </c>
    </row>
    <row r="492" spans="1:16" ht="12.75" customHeight="1" x14ac:dyDescent="0.2">
      <c r="A492" t="s">
        <v>604</v>
      </c>
      <c r="B492" t="s">
        <v>651</v>
      </c>
      <c r="C492" t="s">
        <v>283</v>
      </c>
      <c r="D492" t="s">
        <v>1306</v>
      </c>
      <c r="E492" t="s">
        <v>399</v>
      </c>
      <c r="F492" s="1">
        <v>43621</v>
      </c>
      <c r="G492" s="1">
        <v>43651</v>
      </c>
      <c r="H492" t="s">
        <v>829</v>
      </c>
      <c r="I492">
        <v>338.8</v>
      </c>
      <c r="J492">
        <v>338.8</v>
      </c>
      <c r="K492">
        <v>0</v>
      </c>
      <c r="L492">
        <v>0</v>
      </c>
      <c r="M492">
        <v>0</v>
      </c>
      <c r="N492">
        <v>338.8</v>
      </c>
      <c r="O492" s="14">
        <f t="shared" ca="1" si="7"/>
        <v>2519</v>
      </c>
      <c r="P492" t="s">
        <v>1066</v>
      </c>
    </row>
    <row r="493" spans="1:16" ht="12.75" customHeight="1" x14ac:dyDescent="0.2">
      <c r="A493" t="s">
        <v>604</v>
      </c>
      <c r="B493" t="s">
        <v>651</v>
      </c>
      <c r="C493" t="s">
        <v>283</v>
      </c>
      <c r="D493" t="s">
        <v>1306</v>
      </c>
      <c r="E493" t="s">
        <v>399</v>
      </c>
      <c r="F493" s="1">
        <v>43648</v>
      </c>
      <c r="G493" s="1">
        <v>43678</v>
      </c>
      <c r="H493" t="s">
        <v>362</v>
      </c>
      <c r="I493">
        <v>338.8</v>
      </c>
      <c r="J493">
        <v>338.8</v>
      </c>
      <c r="K493">
        <v>0</v>
      </c>
      <c r="L493">
        <v>0</v>
      </c>
      <c r="M493">
        <v>0</v>
      </c>
      <c r="N493">
        <v>338.8</v>
      </c>
      <c r="O493" s="14">
        <f t="shared" ca="1" si="7"/>
        <v>2492</v>
      </c>
      <c r="P493" t="s">
        <v>1066</v>
      </c>
    </row>
    <row r="494" spans="1:16" ht="12.75" customHeight="1" x14ac:dyDescent="0.2">
      <c r="A494" t="s">
        <v>604</v>
      </c>
      <c r="B494" t="s">
        <v>651</v>
      </c>
      <c r="C494" t="s">
        <v>283</v>
      </c>
      <c r="D494" t="s">
        <v>1306</v>
      </c>
      <c r="E494" t="s">
        <v>399</v>
      </c>
      <c r="F494" s="1">
        <v>43678</v>
      </c>
      <c r="G494" s="1">
        <v>43708</v>
      </c>
      <c r="H494" t="s">
        <v>866</v>
      </c>
      <c r="I494">
        <v>338.8</v>
      </c>
      <c r="J494">
        <v>338.8</v>
      </c>
      <c r="K494">
        <v>0</v>
      </c>
      <c r="L494">
        <v>0</v>
      </c>
      <c r="M494">
        <v>0</v>
      </c>
      <c r="N494">
        <v>338.8</v>
      </c>
      <c r="O494" s="14">
        <f t="shared" ca="1" si="7"/>
        <v>2462</v>
      </c>
      <c r="P494" t="s">
        <v>1066</v>
      </c>
    </row>
    <row r="495" spans="1:16" ht="12.75" customHeight="1" x14ac:dyDescent="0.2">
      <c r="A495" t="s">
        <v>604</v>
      </c>
      <c r="B495" t="s">
        <v>651</v>
      </c>
      <c r="C495" t="s">
        <v>283</v>
      </c>
      <c r="D495" t="s">
        <v>1306</v>
      </c>
      <c r="E495" t="s">
        <v>399</v>
      </c>
      <c r="F495" s="1">
        <v>43711</v>
      </c>
      <c r="G495" s="1">
        <v>43741</v>
      </c>
      <c r="H495" t="s">
        <v>417</v>
      </c>
      <c r="I495">
        <v>338.8</v>
      </c>
      <c r="J495">
        <v>338.8</v>
      </c>
      <c r="K495">
        <v>0</v>
      </c>
      <c r="L495">
        <v>0</v>
      </c>
      <c r="M495">
        <v>0</v>
      </c>
      <c r="N495">
        <v>338.8</v>
      </c>
      <c r="O495" s="14">
        <f t="shared" ca="1" si="7"/>
        <v>2429</v>
      </c>
      <c r="P495" t="s">
        <v>1066</v>
      </c>
    </row>
    <row r="496" spans="1:16" ht="12.75" customHeight="1" x14ac:dyDescent="0.2">
      <c r="A496" t="s">
        <v>604</v>
      </c>
      <c r="B496" t="s">
        <v>651</v>
      </c>
      <c r="C496" t="s">
        <v>283</v>
      </c>
      <c r="D496" t="s">
        <v>1306</v>
      </c>
      <c r="E496" t="s">
        <v>399</v>
      </c>
      <c r="F496" s="1">
        <v>43740</v>
      </c>
      <c r="G496" s="1">
        <v>43770</v>
      </c>
      <c r="H496" t="s">
        <v>884</v>
      </c>
      <c r="I496">
        <v>338.8</v>
      </c>
      <c r="J496">
        <v>338.8</v>
      </c>
      <c r="K496">
        <v>0</v>
      </c>
      <c r="L496">
        <v>0</v>
      </c>
      <c r="M496">
        <v>0</v>
      </c>
      <c r="N496">
        <v>338.8</v>
      </c>
      <c r="O496" s="14">
        <f t="shared" ca="1" si="7"/>
        <v>2400</v>
      </c>
      <c r="P496" t="s">
        <v>1066</v>
      </c>
    </row>
    <row r="497" spans="1:16" ht="12.75" customHeight="1" x14ac:dyDescent="0.2">
      <c r="A497" t="s">
        <v>604</v>
      </c>
      <c r="B497" t="s">
        <v>651</v>
      </c>
      <c r="C497" t="s">
        <v>283</v>
      </c>
      <c r="D497" t="s">
        <v>1306</v>
      </c>
      <c r="E497" t="s">
        <v>399</v>
      </c>
      <c r="F497" s="1">
        <v>43774</v>
      </c>
      <c r="G497" s="1">
        <v>43804</v>
      </c>
      <c r="H497" t="s">
        <v>1077</v>
      </c>
      <c r="I497">
        <v>338.8</v>
      </c>
      <c r="J497">
        <v>338.8</v>
      </c>
      <c r="K497">
        <v>0</v>
      </c>
      <c r="L497">
        <v>0</v>
      </c>
      <c r="M497">
        <v>0</v>
      </c>
      <c r="N497">
        <v>338.8</v>
      </c>
      <c r="O497" s="14">
        <f t="shared" ca="1" si="7"/>
        <v>2366</v>
      </c>
      <c r="P497" t="s">
        <v>1066</v>
      </c>
    </row>
    <row r="498" spans="1:16" ht="12.75" customHeight="1" x14ac:dyDescent="0.2">
      <c r="A498" t="s">
        <v>604</v>
      </c>
      <c r="B498" t="s">
        <v>651</v>
      </c>
      <c r="C498" t="s">
        <v>283</v>
      </c>
      <c r="D498" t="s">
        <v>1306</v>
      </c>
      <c r="E498" t="s">
        <v>399</v>
      </c>
      <c r="F498" s="1">
        <v>43802</v>
      </c>
      <c r="G498" s="1">
        <v>43832</v>
      </c>
      <c r="H498" t="s">
        <v>985</v>
      </c>
      <c r="I498">
        <v>338.8</v>
      </c>
      <c r="J498">
        <v>338.8</v>
      </c>
      <c r="K498">
        <v>0</v>
      </c>
      <c r="L498">
        <v>0</v>
      </c>
      <c r="M498">
        <v>0</v>
      </c>
      <c r="N498">
        <v>338.8</v>
      </c>
      <c r="O498" s="14">
        <f t="shared" ca="1" si="7"/>
        <v>2338</v>
      </c>
      <c r="P498" t="s">
        <v>1066</v>
      </c>
    </row>
    <row r="499" spans="1:16" ht="12.75" customHeight="1" x14ac:dyDescent="0.2">
      <c r="A499" t="s">
        <v>604</v>
      </c>
      <c r="B499" t="s">
        <v>651</v>
      </c>
      <c r="C499" t="s">
        <v>283</v>
      </c>
      <c r="D499" t="s">
        <v>1306</v>
      </c>
      <c r="E499" t="s">
        <v>399</v>
      </c>
      <c r="F499" s="1">
        <v>43865</v>
      </c>
      <c r="G499" s="1">
        <v>43895</v>
      </c>
      <c r="H499" t="s">
        <v>741</v>
      </c>
      <c r="I499">
        <v>338.8</v>
      </c>
      <c r="J499">
        <v>338.8</v>
      </c>
      <c r="K499">
        <v>0</v>
      </c>
      <c r="L499">
        <v>0</v>
      </c>
      <c r="M499">
        <v>0</v>
      </c>
      <c r="N499">
        <v>338.8</v>
      </c>
      <c r="O499" s="14">
        <f t="shared" ca="1" si="7"/>
        <v>2275</v>
      </c>
      <c r="P499" t="s">
        <v>1066</v>
      </c>
    </row>
    <row r="500" spans="1:16" ht="12.75" customHeight="1" x14ac:dyDescent="0.2">
      <c r="A500" t="s">
        <v>604</v>
      </c>
      <c r="B500" t="s">
        <v>651</v>
      </c>
      <c r="C500" t="s">
        <v>283</v>
      </c>
      <c r="D500" t="s">
        <v>1306</v>
      </c>
      <c r="E500" t="s">
        <v>399</v>
      </c>
      <c r="F500" s="1">
        <v>43865</v>
      </c>
      <c r="G500" s="1">
        <v>43895</v>
      </c>
      <c r="H500" t="s">
        <v>191</v>
      </c>
      <c r="I500">
        <v>338.8</v>
      </c>
      <c r="J500">
        <v>338.8</v>
      </c>
      <c r="K500">
        <v>0</v>
      </c>
      <c r="L500">
        <v>0</v>
      </c>
      <c r="M500">
        <v>0</v>
      </c>
      <c r="N500">
        <v>338.8</v>
      </c>
      <c r="O500" s="14">
        <f t="shared" ca="1" si="7"/>
        <v>2275</v>
      </c>
      <c r="P500" t="s">
        <v>1066</v>
      </c>
    </row>
    <row r="501" spans="1:16" ht="12.75" customHeight="1" x14ac:dyDescent="0.2">
      <c r="A501" t="s">
        <v>604</v>
      </c>
      <c r="B501" t="s">
        <v>651</v>
      </c>
      <c r="C501" t="s">
        <v>283</v>
      </c>
      <c r="D501" t="s">
        <v>1306</v>
      </c>
      <c r="E501" t="s">
        <v>399</v>
      </c>
      <c r="F501" s="1">
        <v>43893</v>
      </c>
      <c r="G501" s="1">
        <v>43923</v>
      </c>
      <c r="H501" t="s">
        <v>202</v>
      </c>
      <c r="I501">
        <v>338.8</v>
      </c>
      <c r="J501">
        <v>338.8</v>
      </c>
      <c r="K501">
        <v>0</v>
      </c>
      <c r="L501">
        <v>0</v>
      </c>
      <c r="M501">
        <v>0</v>
      </c>
      <c r="N501">
        <v>338.8</v>
      </c>
      <c r="O501" s="14">
        <f t="shared" ca="1" si="7"/>
        <v>2247</v>
      </c>
      <c r="P501" t="s">
        <v>1066</v>
      </c>
    </row>
    <row r="502" spans="1:16" ht="12.75" customHeight="1" x14ac:dyDescent="0.2">
      <c r="A502" t="s">
        <v>604</v>
      </c>
      <c r="B502" t="s">
        <v>651</v>
      </c>
      <c r="C502" t="s">
        <v>283</v>
      </c>
      <c r="D502" t="s">
        <v>1306</v>
      </c>
      <c r="E502" t="s">
        <v>399</v>
      </c>
      <c r="F502" s="1">
        <v>43928</v>
      </c>
      <c r="G502" s="1">
        <v>43958</v>
      </c>
      <c r="H502" t="s">
        <v>951</v>
      </c>
      <c r="I502">
        <v>338.8</v>
      </c>
      <c r="J502">
        <v>338.8</v>
      </c>
      <c r="K502">
        <v>0</v>
      </c>
      <c r="L502">
        <v>0</v>
      </c>
      <c r="M502">
        <v>0</v>
      </c>
      <c r="N502">
        <v>338.8</v>
      </c>
      <c r="O502" s="14">
        <f t="shared" ca="1" si="7"/>
        <v>2212</v>
      </c>
      <c r="P502" t="s">
        <v>1066</v>
      </c>
    </row>
    <row r="503" spans="1:16" ht="12.75" customHeight="1" x14ac:dyDescent="0.2">
      <c r="A503" t="s">
        <v>604</v>
      </c>
      <c r="B503" t="s">
        <v>651</v>
      </c>
      <c r="C503" t="s">
        <v>283</v>
      </c>
      <c r="D503" t="s">
        <v>1306</v>
      </c>
      <c r="E503" t="s">
        <v>399</v>
      </c>
      <c r="F503" s="1">
        <v>43957</v>
      </c>
      <c r="G503" s="1">
        <v>43987</v>
      </c>
      <c r="H503" t="s">
        <v>820</v>
      </c>
      <c r="I503">
        <v>338.8</v>
      </c>
      <c r="J503">
        <v>338.8</v>
      </c>
      <c r="K503">
        <v>0</v>
      </c>
      <c r="L503">
        <v>0</v>
      </c>
      <c r="M503">
        <v>0</v>
      </c>
      <c r="N503">
        <v>338.8</v>
      </c>
      <c r="O503" s="14">
        <f t="shared" ca="1" si="7"/>
        <v>2183</v>
      </c>
      <c r="P503" t="s">
        <v>1066</v>
      </c>
    </row>
    <row r="504" spans="1:16" ht="12.75" customHeight="1" x14ac:dyDescent="0.2">
      <c r="A504" t="s">
        <v>604</v>
      </c>
      <c r="B504" t="s">
        <v>651</v>
      </c>
      <c r="C504" t="s">
        <v>283</v>
      </c>
      <c r="D504" t="s">
        <v>1306</v>
      </c>
      <c r="E504" t="s">
        <v>399</v>
      </c>
      <c r="F504" s="1">
        <v>43984</v>
      </c>
      <c r="G504" s="1">
        <v>44014</v>
      </c>
      <c r="H504" t="s">
        <v>269</v>
      </c>
      <c r="I504">
        <v>338.8</v>
      </c>
      <c r="J504">
        <v>338.8</v>
      </c>
      <c r="K504">
        <v>0</v>
      </c>
      <c r="L504">
        <v>0</v>
      </c>
      <c r="M504">
        <v>0</v>
      </c>
      <c r="N504">
        <v>338.8</v>
      </c>
      <c r="O504" s="14">
        <f t="shared" ca="1" si="7"/>
        <v>2156</v>
      </c>
      <c r="P504" t="s">
        <v>1066</v>
      </c>
    </row>
    <row r="505" spans="1:16" ht="12.75" customHeight="1" x14ac:dyDescent="0.2">
      <c r="A505" t="s">
        <v>604</v>
      </c>
      <c r="B505" t="s">
        <v>651</v>
      </c>
      <c r="C505" t="s">
        <v>283</v>
      </c>
      <c r="D505" t="s">
        <v>1306</v>
      </c>
      <c r="E505" t="s">
        <v>399</v>
      </c>
      <c r="F505" s="1">
        <v>44013</v>
      </c>
      <c r="G505" s="1">
        <v>44043</v>
      </c>
      <c r="H505" t="s">
        <v>32</v>
      </c>
      <c r="I505">
        <v>338.8</v>
      </c>
      <c r="J505">
        <v>338.8</v>
      </c>
      <c r="K505">
        <v>0</v>
      </c>
      <c r="L505">
        <v>0</v>
      </c>
      <c r="M505">
        <v>0</v>
      </c>
      <c r="N505">
        <v>338.8</v>
      </c>
      <c r="O505" s="14">
        <f t="shared" ca="1" si="7"/>
        <v>2127</v>
      </c>
      <c r="P505" t="s">
        <v>1066</v>
      </c>
    </row>
    <row r="506" spans="1:16" ht="12.75" customHeight="1" x14ac:dyDescent="0.2">
      <c r="A506" t="s">
        <v>604</v>
      </c>
      <c r="B506" t="s">
        <v>651</v>
      </c>
      <c r="C506" t="s">
        <v>283</v>
      </c>
      <c r="D506" t="s">
        <v>1306</v>
      </c>
      <c r="E506" t="s">
        <v>399</v>
      </c>
      <c r="F506" s="1">
        <v>44047</v>
      </c>
      <c r="G506" s="1">
        <v>44077</v>
      </c>
      <c r="H506" t="s">
        <v>57</v>
      </c>
      <c r="I506">
        <v>338.8</v>
      </c>
      <c r="J506">
        <v>338.8</v>
      </c>
      <c r="K506">
        <v>0</v>
      </c>
      <c r="L506">
        <v>0</v>
      </c>
      <c r="M506">
        <v>0</v>
      </c>
      <c r="N506">
        <v>338.8</v>
      </c>
      <c r="O506" s="14">
        <f t="shared" ca="1" si="7"/>
        <v>2093</v>
      </c>
      <c r="P506" t="s">
        <v>1066</v>
      </c>
    </row>
    <row r="507" spans="1:16" ht="12.75" customHeight="1" x14ac:dyDescent="0.2">
      <c r="A507" t="s">
        <v>604</v>
      </c>
      <c r="B507" t="s">
        <v>651</v>
      </c>
      <c r="C507" t="s">
        <v>283</v>
      </c>
      <c r="D507" t="s">
        <v>1306</v>
      </c>
      <c r="E507" t="s">
        <v>399</v>
      </c>
      <c r="F507" s="1">
        <v>44075</v>
      </c>
      <c r="G507" s="1">
        <v>44105</v>
      </c>
      <c r="H507" t="s">
        <v>824</v>
      </c>
      <c r="I507">
        <v>338.8</v>
      </c>
      <c r="J507">
        <v>338.8</v>
      </c>
      <c r="K507">
        <v>0</v>
      </c>
      <c r="L507">
        <v>0</v>
      </c>
      <c r="M507">
        <v>0</v>
      </c>
      <c r="N507">
        <v>338.8</v>
      </c>
      <c r="O507" s="14">
        <f t="shared" ca="1" si="7"/>
        <v>2065</v>
      </c>
      <c r="P507" t="s">
        <v>1066</v>
      </c>
    </row>
    <row r="508" spans="1:16" ht="12.75" customHeight="1" x14ac:dyDescent="0.2">
      <c r="A508" t="s">
        <v>604</v>
      </c>
      <c r="B508" t="s">
        <v>651</v>
      </c>
      <c r="C508" t="s">
        <v>283</v>
      </c>
      <c r="D508" t="s">
        <v>1306</v>
      </c>
      <c r="E508" t="s">
        <v>399</v>
      </c>
      <c r="F508" s="1">
        <v>44110</v>
      </c>
      <c r="G508" s="1">
        <v>44140</v>
      </c>
      <c r="H508" t="s">
        <v>204</v>
      </c>
      <c r="I508">
        <v>338.8</v>
      </c>
      <c r="J508">
        <v>338.8</v>
      </c>
      <c r="K508">
        <v>0</v>
      </c>
      <c r="L508">
        <v>0</v>
      </c>
      <c r="M508">
        <v>0</v>
      </c>
      <c r="N508">
        <v>338.8</v>
      </c>
      <c r="O508" s="14">
        <f t="shared" ca="1" si="7"/>
        <v>2030</v>
      </c>
      <c r="P508" t="s">
        <v>1066</v>
      </c>
    </row>
    <row r="509" spans="1:16" ht="12.75" customHeight="1" x14ac:dyDescent="0.2">
      <c r="A509" t="s">
        <v>604</v>
      </c>
      <c r="B509" t="s">
        <v>651</v>
      </c>
      <c r="C509" t="s">
        <v>283</v>
      </c>
      <c r="D509" t="s">
        <v>1306</v>
      </c>
      <c r="E509" t="s">
        <v>399</v>
      </c>
      <c r="F509" s="1">
        <v>44138</v>
      </c>
      <c r="G509" s="1">
        <v>44168</v>
      </c>
      <c r="H509" t="s">
        <v>1017</v>
      </c>
      <c r="I509">
        <v>338.8</v>
      </c>
      <c r="J509">
        <v>338.8</v>
      </c>
      <c r="K509">
        <v>0</v>
      </c>
      <c r="L509">
        <v>0</v>
      </c>
      <c r="M509">
        <v>0</v>
      </c>
      <c r="N509">
        <v>338.8</v>
      </c>
      <c r="O509" s="14">
        <f t="shared" ca="1" si="7"/>
        <v>2002</v>
      </c>
      <c r="P509" t="s">
        <v>1066</v>
      </c>
    </row>
    <row r="510" spans="1:16" ht="12.75" customHeight="1" x14ac:dyDescent="0.2">
      <c r="A510" t="s">
        <v>604</v>
      </c>
      <c r="B510" t="s">
        <v>651</v>
      </c>
      <c r="C510" t="s">
        <v>283</v>
      </c>
      <c r="D510" t="s">
        <v>1306</v>
      </c>
      <c r="E510" t="s">
        <v>399</v>
      </c>
      <c r="F510" s="1">
        <v>44166</v>
      </c>
      <c r="G510" s="1">
        <v>44196</v>
      </c>
      <c r="H510" t="s">
        <v>260</v>
      </c>
      <c r="I510">
        <v>338.8</v>
      </c>
      <c r="J510">
        <v>338.8</v>
      </c>
      <c r="K510">
        <v>0</v>
      </c>
      <c r="L510">
        <v>0</v>
      </c>
      <c r="M510">
        <v>0</v>
      </c>
      <c r="N510">
        <v>338.8</v>
      </c>
      <c r="O510" s="14">
        <f t="shared" ca="1" si="7"/>
        <v>1974</v>
      </c>
      <c r="P510" t="s">
        <v>1066</v>
      </c>
    </row>
    <row r="511" spans="1:16" ht="12.75" customHeight="1" x14ac:dyDescent="0.2">
      <c r="A511" t="s">
        <v>604</v>
      </c>
      <c r="B511" t="s">
        <v>651</v>
      </c>
      <c r="C511" t="s">
        <v>283</v>
      </c>
      <c r="D511" t="s">
        <v>1306</v>
      </c>
      <c r="E511" t="s">
        <v>399</v>
      </c>
      <c r="F511" s="1">
        <v>44203</v>
      </c>
      <c r="G511" s="1">
        <v>44233</v>
      </c>
      <c r="H511" t="s">
        <v>1023</v>
      </c>
      <c r="I511">
        <v>338.8</v>
      </c>
      <c r="J511">
        <v>338.8</v>
      </c>
      <c r="K511">
        <v>0</v>
      </c>
      <c r="L511">
        <v>0</v>
      </c>
      <c r="M511">
        <v>0</v>
      </c>
      <c r="N511">
        <v>338.8</v>
      </c>
      <c r="O511" s="14">
        <f t="shared" ca="1" si="7"/>
        <v>1937</v>
      </c>
      <c r="P511" t="s">
        <v>1066</v>
      </c>
    </row>
    <row r="512" spans="1:16" ht="12.75" customHeight="1" x14ac:dyDescent="0.2">
      <c r="A512" t="s">
        <v>604</v>
      </c>
      <c r="B512" t="s">
        <v>651</v>
      </c>
      <c r="C512" t="s">
        <v>283</v>
      </c>
      <c r="D512" t="s">
        <v>1306</v>
      </c>
      <c r="E512" t="s">
        <v>399</v>
      </c>
      <c r="F512" s="1">
        <v>44735</v>
      </c>
      <c r="G512" s="1">
        <v>44765</v>
      </c>
      <c r="H512" t="s">
        <v>1119</v>
      </c>
      <c r="I512">
        <v>3025</v>
      </c>
      <c r="J512">
        <v>3025</v>
      </c>
      <c r="K512">
        <v>0</v>
      </c>
      <c r="L512">
        <v>0</v>
      </c>
      <c r="M512">
        <v>0</v>
      </c>
      <c r="N512">
        <v>3025</v>
      </c>
      <c r="O512" s="14">
        <f t="shared" ca="1" si="7"/>
        <v>1405</v>
      </c>
      <c r="P512" t="s">
        <v>1066</v>
      </c>
    </row>
    <row r="513" spans="1:16" ht="12.75" customHeight="1" x14ac:dyDescent="0.2">
      <c r="A513" t="s">
        <v>604</v>
      </c>
      <c r="B513" t="s">
        <v>651</v>
      </c>
      <c r="C513" t="s">
        <v>767</v>
      </c>
      <c r="D513" t="s">
        <v>533</v>
      </c>
      <c r="E513" t="s">
        <v>399</v>
      </c>
      <c r="F513" s="1">
        <v>43502</v>
      </c>
      <c r="G513" s="1">
        <v>43532</v>
      </c>
      <c r="H513" t="s">
        <v>87</v>
      </c>
      <c r="I513">
        <v>338.8</v>
      </c>
      <c r="J513">
        <v>338.8</v>
      </c>
      <c r="K513">
        <v>0</v>
      </c>
      <c r="L513">
        <v>0</v>
      </c>
      <c r="M513">
        <v>0</v>
      </c>
      <c r="N513">
        <v>338.8</v>
      </c>
      <c r="O513" s="14">
        <f t="shared" ca="1" si="7"/>
        <v>2638</v>
      </c>
      <c r="P513" t="s">
        <v>1066</v>
      </c>
    </row>
    <row r="514" spans="1:16" ht="12.75" customHeight="1" x14ac:dyDescent="0.2">
      <c r="A514" t="s">
        <v>604</v>
      </c>
      <c r="B514" t="s">
        <v>651</v>
      </c>
      <c r="C514" t="s">
        <v>1120</v>
      </c>
      <c r="D514" t="s">
        <v>785</v>
      </c>
      <c r="E514" t="s">
        <v>399</v>
      </c>
      <c r="F514" s="1">
        <v>43098</v>
      </c>
      <c r="G514" s="1">
        <v>43128</v>
      </c>
      <c r="H514" t="s">
        <v>1161</v>
      </c>
      <c r="I514">
        <v>5860.95</v>
      </c>
      <c r="J514">
        <v>1734.75</v>
      </c>
      <c r="K514">
        <v>0</v>
      </c>
      <c r="L514">
        <v>0</v>
      </c>
      <c r="M514">
        <v>0</v>
      </c>
      <c r="N514">
        <v>1734.75</v>
      </c>
      <c r="O514" s="14">
        <f t="shared" ca="1" si="7"/>
        <v>3042</v>
      </c>
      <c r="P514" t="s">
        <v>1066</v>
      </c>
    </row>
    <row r="515" spans="1:16" ht="12.75" customHeight="1" x14ac:dyDescent="0.2">
      <c r="A515" t="s">
        <v>604</v>
      </c>
      <c r="B515" t="s">
        <v>651</v>
      </c>
      <c r="C515" t="s">
        <v>1120</v>
      </c>
      <c r="D515" t="s">
        <v>785</v>
      </c>
      <c r="E515" t="s">
        <v>399</v>
      </c>
      <c r="F515" s="1">
        <v>43098</v>
      </c>
      <c r="G515" s="1">
        <v>43128</v>
      </c>
      <c r="H515" t="s">
        <v>1160</v>
      </c>
      <c r="I515">
        <v>3424.3</v>
      </c>
      <c r="J515">
        <v>3274.3</v>
      </c>
      <c r="K515">
        <v>0</v>
      </c>
      <c r="L515">
        <v>0</v>
      </c>
      <c r="M515">
        <v>0</v>
      </c>
      <c r="N515">
        <v>3274.3</v>
      </c>
      <c r="O515" s="14">
        <f t="shared" ref="O515:O578" ca="1" si="8">TODAY()-G515</f>
        <v>3042</v>
      </c>
      <c r="P515" t="s">
        <v>1066</v>
      </c>
    </row>
    <row r="516" spans="1:16" ht="12.75" customHeight="1" x14ac:dyDescent="0.2">
      <c r="A516" t="s">
        <v>604</v>
      </c>
      <c r="B516" t="s">
        <v>651</v>
      </c>
      <c r="C516" t="s">
        <v>1120</v>
      </c>
      <c r="D516" t="s">
        <v>785</v>
      </c>
      <c r="E516" t="s">
        <v>399</v>
      </c>
      <c r="F516" s="1">
        <v>43311</v>
      </c>
      <c r="G516" s="1">
        <v>43341</v>
      </c>
      <c r="H516" t="s">
        <v>638</v>
      </c>
      <c r="I516">
        <v>30306.43</v>
      </c>
      <c r="J516">
        <v>30306.43</v>
      </c>
      <c r="K516">
        <v>0</v>
      </c>
      <c r="L516">
        <v>0</v>
      </c>
      <c r="M516">
        <v>0</v>
      </c>
      <c r="N516">
        <v>30306.43</v>
      </c>
      <c r="O516" s="14">
        <f t="shared" ca="1" si="8"/>
        <v>2829</v>
      </c>
      <c r="P516" t="s">
        <v>1066</v>
      </c>
    </row>
    <row r="517" spans="1:16" ht="12.75" customHeight="1" x14ac:dyDescent="0.2">
      <c r="A517" t="s">
        <v>604</v>
      </c>
      <c r="B517" t="s">
        <v>651</v>
      </c>
      <c r="C517" t="s">
        <v>1120</v>
      </c>
      <c r="D517" t="s">
        <v>785</v>
      </c>
      <c r="E517" t="s">
        <v>399</v>
      </c>
      <c r="F517" s="1">
        <v>43627</v>
      </c>
      <c r="G517" s="1">
        <v>43657</v>
      </c>
      <c r="H517" t="s">
        <v>1130</v>
      </c>
      <c r="I517">
        <v>4652.78</v>
      </c>
      <c r="J517">
        <v>4652.78</v>
      </c>
      <c r="K517">
        <v>0</v>
      </c>
      <c r="L517">
        <v>0</v>
      </c>
      <c r="M517">
        <v>0</v>
      </c>
      <c r="N517">
        <v>4652.78</v>
      </c>
      <c r="O517" s="14">
        <f t="shared" ca="1" si="8"/>
        <v>2513</v>
      </c>
      <c r="P517" t="s">
        <v>1066</v>
      </c>
    </row>
    <row r="518" spans="1:16" ht="12.75" customHeight="1" x14ac:dyDescent="0.2">
      <c r="A518" t="s">
        <v>604</v>
      </c>
      <c r="B518" t="s">
        <v>651</v>
      </c>
      <c r="C518" t="s">
        <v>1120</v>
      </c>
      <c r="D518" t="s">
        <v>785</v>
      </c>
      <c r="E518" t="s">
        <v>399</v>
      </c>
      <c r="F518" s="1">
        <v>44162</v>
      </c>
      <c r="G518" s="1">
        <v>44192</v>
      </c>
      <c r="H518" t="s">
        <v>323</v>
      </c>
      <c r="I518">
        <v>302.5</v>
      </c>
      <c r="J518">
        <v>302.5</v>
      </c>
      <c r="K518">
        <v>0</v>
      </c>
      <c r="L518">
        <v>0</v>
      </c>
      <c r="M518">
        <v>0</v>
      </c>
      <c r="N518">
        <v>302.5</v>
      </c>
      <c r="O518" s="14">
        <f t="shared" ca="1" si="8"/>
        <v>1978</v>
      </c>
      <c r="P518" t="s">
        <v>1066</v>
      </c>
    </row>
    <row r="519" spans="1:16" ht="12.75" customHeight="1" x14ac:dyDescent="0.2">
      <c r="A519" t="s">
        <v>604</v>
      </c>
      <c r="B519" t="s">
        <v>651</v>
      </c>
      <c r="C519" t="s">
        <v>643</v>
      </c>
      <c r="D519" t="s">
        <v>1270</v>
      </c>
      <c r="E519" t="s">
        <v>399</v>
      </c>
      <c r="F519" s="1">
        <v>43846</v>
      </c>
      <c r="G519" s="1">
        <v>43876</v>
      </c>
      <c r="H519" t="s">
        <v>458</v>
      </c>
      <c r="I519">
        <v>5915.51</v>
      </c>
      <c r="J519">
        <v>5915.51</v>
      </c>
      <c r="K519">
        <v>0</v>
      </c>
      <c r="L519">
        <v>0</v>
      </c>
      <c r="M519">
        <v>0</v>
      </c>
      <c r="N519">
        <v>5915.51</v>
      </c>
      <c r="O519" s="14">
        <f t="shared" ca="1" si="8"/>
        <v>2294</v>
      </c>
      <c r="P519" t="s">
        <v>1066</v>
      </c>
    </row>
    <row r="520" spans="1:16" ht="12.75" customHeight="1" x14ac:dyDescent="0.2">
      <c r="A520" t="s">
        <v>604</v>
      </c>
      <c r="B520" t="s">
        <v>651</v>
      </c>
      <c r="C520" t="s">
        <v>146</v>
      </c>
      <c r="D520" t="s">
        <v>72</v>
      </c>
      <c r="E520" t="s">
        <v>399</v>
      </c>
      <c r="F520" s="1">
        <v>43865</v>
      </c>
      <c r="G520" s="1">
        <v>43879</v>
      </c>
      <c r="H520" t="s">
        <v>924</v>
      </c>
      <c r="I520">
        <v>117.37</v>
      </c>
      <c r="J520">
        <v>102.11</v>
      </c>
      <c r="K520">
        <v>0</v>
      </c>
      <c r="L520">
        <v>0</v>
      </c>
      <c r="M520">
        <v>0</v>
      </c>
      <c r="N520">
        <v>102.11</v>
      </c>
      <c r="O520" s="14">
        <f t="shared" ca="1" si="8"/>
        <v>2291</v>
      </c>
      <c r="P520" t="s">
        <v>1066</v>
      </c>
    </row>
    <row r="521" spans="1:16" ht="12.75" customHeight="1" x14ac:dyDescent="0.2">
      <c r="A521" t="s">
        <v>604</v>
      </c>
      <c r="B521" t="s">
        <v>651</v>
      </c>
      <c r="C521" t="s">
        <v>146</v>
      </c>
      <c r="D521" t="s">
        <v>72</v>
      </c>
      <c r="E521" t="s">
        <v>399</v>
      </c>
      <c r="F521" s="1">
        <v>43880</v>
      </c>
      <c r="G521" s="1">
        <v>43894</v>
      </c>
      <c r="H521" t="s">
        <v>846</v>
      </c>
      <c r="I521">
        <v>30.25</v>
      </c>
      <c r="J521">
        <v>30.25</v>
      </c>
      <c r="K521">
        <v>0</v>
      </c>
      <c r="L521">
        <v>0</v>
      </c>
      <c r="M521">
        <v>0</v>
      </c>
      <c r="N521">
        <v>30.25</v>
      </c>
      <c r="O521" s="14">
        <f t="shared" ca="1" si="8"/>
        <v>2276</v>
      </c>
      <c r="P521" t="s">
        <v>1066</v>
      </c>
    </row>
    <row r="522" spans="1:16" ht="12.75" customHeight="1" x14ac:dyDescent="0.2">
      <c r="A522" t="s">
        <v>604</v>
      </c>
      <c r="B522" t="s">
        <v>651</v>
      </c>
      <c r="C522" t="s">
        <v>146</v>
      </c>
      <c r="D522" t="s">
        <v>72</v>
      </c>
      <c r="E522" t="s">
        <v>399</v>
      </c>
      <c r="F522" s="1">
        <v>43893</v>
      </c>
      <c r="G522" s="1">
        <v>43907</v>
      </c>
      <c r="H522" t="s">
        <v>881</v>
      </c>
      <c r="I522">
        <v>117.37</v>
      </c>
      <c r="J522">
        <v>117.37</v>
      </c>
      <c r="K522">
        <v>0</v>
      </c>
      <c r="L522">
        <v>0</v>
      </c>
      <c r="M522">
        <v>0</v>
      </c>
      <c r="N522">
        <v>117.37</v>
      </c>
      <c r="O522" s="14">
        <f t="shared" ca="1" si="8"/>
        <v>2263</v>
      </c>
      <c r="P522" t="s">
        <v>1066</v>
      </c>
    </row>
    <row r="523" spans="1:16" ht="12.75" customHeight="1" x14ac:dyDescent="0.2">
      <c r="A523" t="s">
        <v>604</v>
      </c>
      <c r="B523" t="s">
        <v>651</v>
      </c>
      <c r="C523" t="s">
        <v>146</v>
      </c>
      <c r="D523" t="s">
        <v>72</v>
      </c>
      <c r="E523" t="s">
        <v>399</v>
      </c>
      <c r="F523" s="1">
        <v>43899</v>
      </c>
      <c r="G523" s="1">
        <v>43913</v>
      </c>
      <c r="H523" t="s">
        <v>567</v>
      </c>
      <c r="I523">
        <v>30.25</v>
      </c>
      <c r="J523">
        <v>30.25</v>
      </c>
      <c r="K523">
        <v>0</v>
      </c>
      <c r="L523">
        <v>0</v>
      </c>
      <c r="M523">
        <v>0</v>
      </c>
      <c r="N523">
        <v>30.25</v>
      </c>
      <c r="O523" s="14">
        <f t="shared" ca="1" si="8"/>
        <v>2257</v>
      </c>
      <c r="P523" t="s">
        <v>1066</v>
      </c>
    </row>
    <row r="524" spans="1:16" ht="12.75" customHeight="1" x14ac:dyDescent="0.2">
      <c r="A524" t="s">
        <v>604</v>
      </c>
      <c r="B524" t="s">
        <v>651</v>
      </c>
      <c r="C524" t="s">
        <v>146</v>
      </c>
      <c r="D524" t="s">
        <v>72</v>
      </c>
      <c r="E524" t="s">
        <v>399</v>
      </c>
      <c r="F524" s="1">
        <v>43928</v>
      </c>
      <c r="G524" s="1">
        <v>43942</v>
      </c>
      <c r="H524" t="s">
        <v>76</v>
      </c>
      <c r="I524">
        <v>117.37</v>
      </c>
      <c r="J524">
        <v>117.37</v>
      </c>
      <c r="K524">
        <v>0</v>
      </c>
      <c r="L524">
        <v>0</v>
      </c>
      <c r="M524">
        <v>0</v>
      </c>
      <c r="N524">
        <v>117.37</v>
      </c>
      <c r="O524" s="14">
        <f t="shared" ca="1" si="8"/>
        <v>2228</v>
      </c>
      <c r="P524" t="s">
        <v>1066</v>
      </c>
    </row>
    <row r="525" spans="1:16" ht="12.75" customHeight="1" x14ac:dyDescent="0.2">
      <c r="A525" t="s">
        <v>604</v>
      </c>
      <c r="B525" t="s">
        <v>651</v>
      </c>
      <c r="C525" t="s">
        <v>146</v>
      </c>
      <c r="D525" t="s">
        <v>72</v>
      </c>
      <c r="E525" t="s">
        <v>399</v>
      </c>
      <c r="F525" s="1">
        <v>43949</v>
      </c>
      <c r="G525" s="1">
        <v>43963</v>
      </c>
      <c r="H525" t="s">
        <v>345</v>
      </c>
      <c r="I525">
        <v>30.25</v>
      </c>
      <c r="J525">
        <v>30.25</v>
      </c>
      <c r="K525">
        <v>0</v>
      </c>
      <c r="L525">
        <v>0</v>
      </c>
      <c r="M525">
        <v>0</v>
      </c>
      <c r="N525">
        <v>30.25</v>
      </c>
      <c r="O525" s="14">
        <f t="shared" ca="1" si="8"/>
        <v>2207</v>
      </c>
      <c r="P525" t="s">
        <v>1066</v>
      </c>
    </row>
    <row r="526" spans="1:16" ht="12.75" customHeight="1" x14ac:dyDescent="0.2">
      <c r="A526" t="s">
        <v>604</v>
      </c>
      <c r="B526" t="s">
        <v>651</v>
      </c>
      <c r="C526" t="s">
        <v>146</v>
      </c>
      <c r="D526" t="s">
        <v>72</v>
      </c>
      <c r="E526" t="s">
        <v>399</v>
      </c>
      <c r="F526" s="1">
        <v>43957</v>
      </c>
      <c r="G526" s="1">
        <v>43971</v>
      </c>
      <c r="H526" t="s">
        <v>90</v>
      </c>
      <c r="I526">
        <v>117.37</v>
      </c>
      <c r="J526">
        <v>117.37</v>
      </c>
      <c r="K526">
        <v>0</v>
      </c>
      <c r="L526">
        <v>0</v>
      </c>
      <c r="M526">
        <v>0</v>
      </c>
      <c r="N526">
        <v>117.37</v>
      </c>
      <c r="O526" s="14">
        <f t="shared" ca="1" si="8"/>
        <v>2199</v>
      </c>
      <c r="P526" t="s">
        <v>1066</v>
      </c>
    </row>
    <row r="527" spans="1:16" ht="12.75" customHeight="1" x14ac:dyDescent="0.2">
      <c r="A527" t="s">
        <v>604</v>
      </c>
      <c r="B527" t="s">
        <v>651</v>
      </c>
      <c r="C527" t="s">
        <v>146</v>
      </c>
      <c r="D527" t="s">
        <v>72</v>
      </c>
      <c r="E527" t="s">
        <v>399</v>
      </c>
      <c r="F527" s="1">
        <v>43984</v>
      </c>
      <c r="G527" s="1">
        <v>43998</v>
      </c>
      <c r="H527" t="s">
        <v>945</v>
      </c>
      <c r="I527">
        <v>117.37</v>
      </c>
      <c r="J527">
        <v>117.37</v>
      </c>
      <c r="K527">
        <v>0</v>
      </c>
      <c r="L527">
        <v>0</v>
      </c>
      <c r="M527">
        <v>0</v>
      </c>
      <c r="N527">
        <v>117.37</v>
      </c>
      <c r="O527" s="14">
        <f t="shared" ca="1" si="8"/>
        <v>2172</v>
      </c>
      <c r="P527" t="s">
        <v>1066</v>
      </c>
    </row>
    <row r="528" spans="1:16" ht="12.75" customHeight="1" x14ac:dyDescent="0.2">
      <c r="A528" t="s">
        <v>604</v>
      </c>
      <c r="B528" t="s">
        <v>651</v>
      </c>
      <c r="C528" t="s">
        <v>146</v>
      </c>
      <c r="D528" t="s">
        <v>72</v>
      </c>
      <c r="E528" t="s">
        <v>399</v>
      </c>
      <c r="F528" s="1">
        <v>44013</v>
      </c>
      <c r="G528" s="1">
        <v>44027</v>
      </c>
      <c r="H528" t="s">
        <v>790</v>
      </c>
      <c r="I528">
        <v>117.37</v>
      </c>
      <c r="J528">
        <v>117.37</v>
      </c>
      <c r="K528">
        <v>0</v>
      </c>
      <c r="L528">
        <v>0</v>
      </c>
      <c r="M528">
        <v>0</v>
      </c>
      <c r="N528">
        <v>117.37</v>
      </c>
      <c r="O528" s="14">
        <f t="shared" ca="1" si="8"/>
        <v>2143</v>
      </c>
      <c r="P528" t="s">
        <v>1066</v>
      </c>
    </row>
    <row r="529" spans="1:16" ht="12.75" customHeight="1" x14ac:dyDescent="0.2">
      <c r="A529" t="s">
        <v>604</v>
      </c>
      <c r="B529" t="s">
        <v>651</v>
      </c>
      <c r="C529" t="s">
        <v>146</v>
      </c>
      <c r="D529" t="s">
        <v>72</v>
      </c>
      <c r="E529" t="s">
        <v>399</v>
      </c>
      <c r="F529" s="1">
        <v>44047</v>
      </c>
      <c r="G529" s="1">
        <v>44061</v>
      </c>
      <c r="H529" t="s">
        <v>724</v>
      </c>
      <c r="I529">
        <v>117.37</v>
      </c>
      <c r="J529">
        <v>117.37</v>
      </c>
      <c r="K529">
        <v>0</v>
      </c>
      <c r="L529">
        <v>0</v>
      </c>
      <c r="M529">
        <v>0</v>
      </c>
      <c r="N529">
        <v>117.37</v>
      </c>
      <c r="O529" s="14">
        <f t="shared" ca="1" si="8"/>
        <v>2109</v>
      </c>
      <c r="P529" t="s">
        <v>1066</v>
      </c>
    </row>
    <row r="530" spans="1:16" ht="12.75" customHeight="1" x14ac:dyDescent="0.2">
      <c r="A530" t="s">
        <v>604</v>
      </c>
      <c r="B530" t="s">
        <v>651</v>
      </c>
      <c r="C530" t="s">
        <v>146</v>
      </c>
      <c r="D530" t="s">
        <v>72</v>
      </c>
      <c r="E530" t="s">
        <v>399</v>
      </c>
      <c r="F530" s="1">
        <v>44075</v>
      </c>
      <c r="G530" s="1">
        <v>44089</v>
      </c>
      <c r="H530" t="s">
        <v>222</v>
      </c>
      <c r="I530">
        <v>117.37</v>
      </c>
      <c r="J530">
        <v>117.37</v>
      </c>
      <c r="K530">
        <v>0</v>
      </c>
      <c r="L530">
        <v>0</v>
      </c>
      <c r="M530">
        <v>0</v>
      </c>
      <c r="N530">
        <v>117.37</v>
      </c>
      <c r="O530" s="14">
        <f t="shared" ca="1" si="8"/>
        <v>2081</v>
      </c>
      <c r="P530" t="s">
        <v>1066</v>
      </c>
    </row>
    <row r="531" spans="1:16" ht="12.75" customHeight="1" x14ac:dyDescent="0.2">
      <c r="A531" t="s">
        <v>604</v>
      </c>
      <c r="B531" t="s">
        <v>651</v>
      </c>
      <c r="C531" t="s">
        <v>146</v>
      </c>
      <c r="D531" t="s">
        <v>72</v>
      </c>
      <c r="E531" t="s">
        <v>399</v>
      </c>
      <c r="F531" s="1">
        <v>44110</v>
      </c>
      <c r="G531" s="1">
        <v>44124</v>
      </c>
      <c r="H531" t="s">
        <v>858</v>
      </c>
      <c r="I531">
        <v>117.37</v>
      </c>
      <c r="J531">
        <v>117.37</v>
      </c>
      <c r="K531">
        <v>0</v>
      </c>
      <c r="L531">
        <v>0</v>
      </c>
      <c r="M531">
        <v>0</v>
      </c>
      <c r="N531">
        <v>117.37</v>
      </c>
      <c r="O531" s="14">
        <f t="shared" ca="1" si="8"/>
        <v>2046</v>
      </c>
      <c r="P531" t="s">
        <v>1066</v>
      </c>
    </row>
    <row r="532" spans="1:16" ht="12.75" customHeight="1" x14ac:dyDescent="0.2">
      <c r="A532" t="s">
        <v>604</v>
      </c>
      <c r="B532" t="s">
        <v>651</v>
      </c>
      <c r="C532" t="s">
        <v>146</v>
      </c>
      <c r="D532" t="s">
        <v>72</v>
      </c>
      <c r="E532" t="s">
        <v>399</v>
      </c>
      <c r="F532" s="1">
        <v>44138</v>
      </c>
      <c r="G532" s="1">
        <v>44152</v>
      </c>
      <c r="H532" t="s">
        <v>46</v>
      </c>
      <c r="I532">
        <v>117.37</v>
      </c>
      <c r="J532">
        <v>117.37</v>
      </c>
      <c r="K532">
        <v>0</v>
      </c>
      <c r="L532">
        <v>0</v>
      </c>
      <c r="M532">
        <v>0</v>
      </c>
      <c r="N532">
        <v>117.37</v>
      </c>
      <c r="O532" s="14">
        <f t="shared" ca="1" si="8"/>
        <v>2018</v>
      </c>
      <c r="P532" t="s">
        <v>1066</v>
      </c>
    </row>
    <row r="533" spans="1:16" ht="12.75" customHeight="1" x14ac:dyDescent="0.2">
      <c r="A533" t="s">
        <v>604</v>
      </c>
      <c r="B533" t="s">
        <v>651</v>
      </c>
      <c r="C533" t="s">
        <v>146</v>
      </c>
      <c r="D533" t="s">
        <v>72</v>
      </c>
      <c r="E533" t="s">
        <v>399</v>
      </c>
      <c r="F533" s="1">
        <v>44138</v>
      </c>
      <c r="G533" s="1">
        <v>44152</v>
      </c>
      <c r="H533" t="s">
        <v>508</v>
      </c>
      <c r="I533">
        <v>30.25</v>
      </c>
      <c r="J533">
        <v>30.25</v>
      </c>
      <c r="K533">
        <v>0</v>
      </c>
      <c r="L533">
        <v>0</v>
      </c>
      <c r="M533">
        <v>0</v>
      </c>
      <c r="N533">
        <v>30.25</v>
      </c>
      <c r="O533" s="14">
        <f t="shared" ca="1" si="8"/>
        <v>2018</v>
      </c>
      <c r="P533" t="s">
        <v>1066</v>
      </c>
    </row>
    <row r="534" spans="1:16" ht="12.75" customHeight="1" x14ac:dyDescent="0.2">
      <c r="A534" t="s">
        <v>604</v>
      </c>
      <c r="B534" t="s">
        <v>651</v>
      </c>
      <c r="C534" t="s">
        <v>146</v>
      </c>
      <c r="D534" t="s">
        <v>72</v>
      </c>
      <c r="E534" t="s">
        <v>399</v>
      </c>
      <c r="F534" s="1">
        <v>44166</v>
      </c>
      <c r="G534" s="1">
        <v>44180</v>
      </c>
      <c r="H534" t="s">
        <v>253</v>
      </c>
      <c r="I534">
        <v>117.37</v>
      </c>
      <c r="J534">
        <v>117.37</v>
      </c>
      <c r="K534">
        <v>0</v>
      </c>
      <c r="L534">
        <v>0</v>
      </c>
      <c r="M534">
        <v>0</v>
      </c>
      <c r="N534">
        <v>117.37</v>
      </c>
      <c r="O534" s="14">
        <f t="shared" ca="1" si="8"/>
        <v>1990</v>
      </c>
      <c r="P534" t="s">
        <v>1066</v>
      </c>
    </row>
    <row r="535" spans="1:16" ht="12.75" customHeight="1" x14ac:dyDescent="0.2">
      <c r="A535" t="s">
        <v>604</v>
      </c>
      <c r="B535" t="s">
        <v>651</v>
      </c>
      <c r="C535" t="s">
        <v>146</v>
      </c>
      <c r="D535" t="s">
        <v>72</v>
      </c>
      <c r="E535" t="s">
        <v>399</v>
      </c>
      <c r="F535" s="1">
        <v>44166</v>
      </c>
      <c r="G535" s="1">
        <v>44180</v>
      </c>
      <c r="H535" t="s">
        <v>438</v>
      </c>
      <c r="I535">
        <v>30.25</v>
      </c>
      <c r="J535">
        <v>30.25</v>
      </c>
      <c r="K535">
        <v>0</v>
      </c>
      <c r="L535">
        <v>0</v>
      </c>
      <c r="M535">
        <v>0</v>
      </c>
      <c r="N535">
        <v>30.25</v>
      </c>
      <c r="O535" s="14">
        <f t="shared" ca="1" si="8"/>
        <v>1990</v>
      </c>
      <c r="P535" t="s">
        <v>1066</v>
      </c>
    </row>
    <row r="536" spans="1:16" ht="12.75" customHeight="1" x14ac:dyDescent="0.2">
      <c r="A536" t="s">
        <v>604</v>
      </c>
      <c r="B536" t="s">
        <v>651</v>
      </c>
      <c r="C536" t="s">
        <v>146</v>
      </c>
      <c r="D536" t="s">
        <v>72</v>
      </c>
      <c r="E536" t="s">
        <v>399</v>
      </c>
      <c r="F536" s="1">
        <v>44203</v>
      </c>
      <c r="G536" s="1">
        <v>44217</v>
      </c>
      <c r="H536" t="s">
        <v>854</v>
      </c>
      <c r="I536">
        <v>117.37</v>
      </c>
      <c r="J536">
        <v>117.37</v>
      </c>
      <c r="K536">
        <v>0</v>
      </c>
      <c r="L536">
        <v>0</v>
      </c>
      <c r="M536">
        <v>0</v>
      </c>
      <c r="N536">
        <v>117.37</v>
      </c>
      <c r="O536" s="14">
        <f t="shared" ca="1" si="8"/>
        <v>1953</v>
      </c>
      <c r="P536" t="s">
        <v>1066</v>
      </c>
    </row>
    <row r="537" spans="1:16" ht="12.75" customHeight="1" x14ac:dyDescent="0.2">
      <c r="A537" t="s">
        <v>604</v>
      </c>
      <c r="B537" t="s">
        <v>651</v>
      </c>
      <c r="C537" t="s">
        <v>953</v>
      </c>
      <c r="D537" t="s">
        <v>1155</v>
      </c>
      <c r="E537" t="s">
        <v>399</v>
      </c>
      <c r="F537" s="1">
        <v>43678</v>
      </c>
      <c r="G537" s="1">
        <v>43678</v>
      </c>
      <c r="H537" t="s">
        <v>874</v>
      </c>
      <c r="I537">
        <v>117.37</v>
      </c>
      <c r="J537">
        <v>117.37</v>
      </c>
      <c r="K537">
        <v>0</v>
      </c>
      <c r="L537">
        <v>0</v>
      </c>
      <c r="M537">
        <v>0</v>
      </c>
      <c r="N537">
        <v>117.37</v>
      </c>
      <c r="O537" s="14">
        <f t="shared" ca="1" si="8"/>
        <v>2492</v>
      </c>
      <c r="P537" t="s">
        <v>1066</v>
      </c>
    </row>
    <row r="538" spans="1:16" ht="12.75" customHeight="1" x14ac:dyDescent="0.2">
      <c r="A538" t="s">
        <v>604</v>
      </c>
      <c r="B538" t="s">
        <v>651</v>
      </c>
      <c r="C538" t="s">
        <v>953</v>
      </c>
      <c r="D538" t="s">
        <v>1155</v>
      </c>
      <c r="E538" t="s">
        <v>399</v>
      </c>
      <c r="F538" s="1">
        <v>43711</v>
      </c>
      <c r="G538" s="1">
        <v>43741</v>
      </c>
      <c r="H538" t="s">
        <v>410</v>
      </c>
      <c r="I538">
        <v>117.37</v>
      </c>
      <c r="J538">
        <v>117.37</v>
      </c>
      <c r="K538">
        <v>0</v>
      </c>
      <c r="L538">
        <v>0</v>
      </c>
      <c r="M538">
        <v>0</v>
      </c>
      <c r="N538">
        <v>117.37</v>
      </c>
      <c r="O538" s="14">
        <f t="shared" ca="1" si="8"/>
        <v>2429</v>
      </c>
      <c r="P538" t="s">
        <v>1066</v>
      </c>
    </row>
    <row r="539" spans="1:16" ht="12.75" customHeight="1" x14ac:dyDescent="0.2">
      <c r="A539" t="s">
        <v>604</v>
      </c>
      <c r="B539" t="s">
        <v>651</v>
      </c>
      <c r="C539" t="s">
        <v>953</v>
      </c>
      <c r="D539" t="s">
        <v>1155</v>
      </c>
      <c r="E539" t="s">
        <v>399</v>
      </c>
      <c r="F539" s="1">
        <v>43740</v>
      </c>
      <c r="G539" s="1">
        <v>43770</v>
      </c>
      <c r="H539" t="s">
        <v>1252</v>
      </c>
      <c r="I539">
        <v>117.37</v>
      </c>
      <c r="J539">
        <v>117.37</v>
      </c>
      <c r="K539">
        <v>0</v>
      </c>
      <c r="L539">
        <v>0</v>
      </c>
      <c r="M539">
        <v>0</v>
      </c>
      <c r="N539">
        <v>117.37</v>
      </c>
      <c r="O539" s="14">
        <f t="shared" ca="1" si="8"/>
        <v>2400</v>
      </c>
      <c r="P539" t="s">
        <v>1066</v>
      </c>
    </row>
    <row r="540" spans="1:16" ht="12.75" customHeight="1" x14ac:dyDescent="0.2">
      <c r="A540" t="s">
        <v>604</v>
      </c>
      <c r="B540" t="s">
        <v>651</v>
      </c>
      <c r="C540" t="s">
        <v>953</v>
      </c>
      <c r="D540" t="s">
        <v>1155</v>
      </c>
      <c r="E540" t="s">
        <v>399</v>
      </c>
      <c r="F540" s="1">
        <v>43774</v>
      </c>
      <c r="G540" s="1">
        <v>43804</v>
      </c>
      <c r="H540" t="s">
        <v>913</v>
      </c>
      <c r="I540">
        <v>117.37</v>
      </c>
      <c r="J540">
        <v>117.37</v>
      </c>
      <c r="K540">
        <v>0</v>
      </c>
      <c r="L540">
        <v>0</v>
      </c>
      <c r="M540">
        <v>0</v>
      </c>
      <c r="N540">
        <v>117.37</v>
      </c>
      <c r="O540" s="14">
        <f t="shared" ca="1" si="8"/>
        <v>2366</v>
      </c>
      <c r="P540" t="s">
        <v>1066</v>
      </c>
    </row>
    <row r="541" spans="1:16" ht="12.75" customHeight="1" x14ac:dyDescent="0.2">
      <c r="A541" t="s">
        <v>604</v>
      </c>
      <c r="B541" t="s">
        <v>651</v>
      </c>
      <c r="C541" t="s">
        <v>953</v>
      </c>
      <c r="D541" t="s">
        <v>1155</v>
      </c>
      <c r="E541" t="s">
        <v>399</v>
      </c>
      <c r="F541" s="1">
        <v>43802</v>
      </c>
      <c r="G541" s="1">
        <v>43832</v>
      </c>
      <c r="H541" t="s">
        <v>503</v>
      </c>
      <c r="I541">
        <v>117.37</v>
      </c>
      <c r="J541">
        <v>117.37</v>
      </c>
      <c r="K541">
        <v>0</v>
      </c>
      <c r="L541">
        <v>0</v>
      </c>
      <c r="M541">
        <v>0</v>
      </c>
      <c r="N541">
        <v>117.37</v>
      </c>
      <c r="O541" s="14">
        <f t="shared" ca="1" si="8"/>
        <v>2338</v>
      </c>
      <c r="P541" t="s">
        <v>1066</v>
      </c>
    </row>
    <row r="542" spans="1:16" ht="12.75" customHeight="1" x14ac:dyDescent="0.2">
      <c r="A542" t="s">
        <v>604</v>
      </c>
      <c r="B542" t="s">
        <v>651</v>
      </c>
      <c r="C542" t="s">
        <v>953</v>
      </c>
      <c r="D542" t="s">
        <v>1155</v>
      </c>
      <c r="E542" t="s">
        <v>399</v>
      </c>
      <c r="F542" s="1">
        <v>43865</v>
      </c>
      <c r="G542" s="1">
        <v>43895</v>
      </c>
      <c r="H542" t="s">
        <v>926</v>
      </c>
      <c r="I542">
        <v>117.37</v>
      </c>
      <c r="J542">
        <v>117.37</v>
      </c>
      <c r="K542">
        <v>0</v>
      </c>
      <c r="L542">
        <v>0</v>
      </c>
      <c r="M542">
        <v>0</v>
      </c>
      <c r="N542">
        <v>117.37</v>
      </c>
      <c r="O542" s="14">
        <f t="shared" ca="1" si="8"/>
        <v>2275</v>
      </c>
      <c r="P542" t="s">
        <v>1066</v>
      </c>
    </row>
    <row r="543" spans="1:16" ht="12.75" customHeight="1" x14ac:dyDescent="0.2">
      <c r="A543" t="s">
        <v>604</v>
      </c>
      <c r="B543" t="s">
        <v>651</v>
      </c>
      <c r="C543" t="s">
        <v>953</v>
      </c>
      <c r="D543" t="s">
        <v>1155</v>
      </c>
      <c r="E543" t="s">
        <v>399</v>
      </c>
      <c r="F543" s="1">
        <v>43865</v>
      </c>
      <c r="G543" s="1">
        <v>43895</v>
      </c>
      <c r="H543" t="s">
        <v>374</v>
      </c>
      <c r="I543">
        <v>117.37</v>
      </c>
      <c r="J543">
        <v>117.37</v>
      </c>
      <c r="K543">
        <v>0</v>
      </c>
      <c r="L543">
        <v>0</v>
      </c>
      <c r="M543">
        <v>0</v>
      </c>
      <c r="N543">
        <v>117.37</v>
      </c>
      <c r="O543" s="14">
        <f t="shared" ca="1" si="8"/>
        <v>2275</v>
      </c>
      <c r="P543" t="s">
        <v>1066</v>
      </c>
    </row>
    <row r="544" spans="1:16" ht="12.75" customHeight="1" x14ac:dyDescent="0.2">
      <c r="A544" t="s">
        <v>604</v>
      </c>
      <c r="B544" t="s">
        <v>651</v>
      </c>
      <c r="C544" t="s">
        <v>953</v>
      </c>
      <c r="D544" t="s">
        <v>1155</v>
      </c>
      <c r="E544" t="s">
        <v>399</v>
      </c>
      <c r="F544" s="1">
        <v>43893</v>
      </c>
      <c r="G544" s="1">
        <v>43923</v>
      </c>
      <c r="H544" t="s">
        <v>879</v>
      </c>
      <c r="I544">
        <v>117.37</v>
      </c>
      <c r="J544">
        <v>117.37</v>
      </c>
      <c r="K544">
        <v>0</v>
      </c>
      <c r="L544">
        <v>0</v>
      </c>
      <c r="M544">
        <v>0</v>
      </c>
      <c r="N544">
        <v>117.37</v>
      </c>
      <c r="O544" s="14">
        <f t="shared" ca="1" si="8"/>
        <v>2247</v>
      </c>
      <c r="P544" t="s">
        <v>1066</v>
      </c>
    </row>
    <row r="545" spans="1:16" ht="12.75" customHeight="1" x14ac:dyDescent="0.2">
      <c r="A545" t="s">
        <v>604</v>
      </c>
      <c r="B545" t="s">
        <v>651</v>
      </c>
      <c r="C545" t="s">
        <v>953</v>
      </c>
      <c r="D545" t="s">
        <v>1155</v>
      </c>
      <c r="E545" t="s">
        <v>399</v>
      </c>
      <c r="F545" s="1">
        <v>43928</v>
      </c>
      <c r="G545" s="1">
        <v>43958</v>
      </c>
      <c r="H545" t="s">
        <v>335</v>
      </c>
      <c r="I545">
        <v>117.37</v>
      </c>
      <c r="J545">
        <v>117.37</v>
      </c>
      <c r="K545">
        <v>0</v>
      </c>
      <c r="L545">
        <v>0</v>
      </c>
      <c r="M545">
        <v>0</v>
      </c>
      <c r="N545">
        <v>117.37</v>
      </c>
      <c r="O545" s="14">
        <f t="shared" ca="1" si="8"/>
        <v>2212</v>
      </c>
      <c r="P545" t="s">
        <v>1066</v>
      </c>
    </row>
    <row r="546" spans="1:16" ht="12.75" customHeight="1" x14ac:dyDescent="0.2">
      <c r="A546" t="s">
        <v>604</v>
      </c>
      <c r="B546" t="s">
        <v>651</v>
      </c>
      <c r="C546" t="s">
        <v>953</v>
      </c>
      <c r="D546" t="s">
        <v>1155</v>
      </c>
      <c r="E546" t="s">
        <v>399</v>
      </c>
      <c r="F546" s="1">
        <v>43957</v>
      </c>
      <c r="G546" s="1">
        <v>43987</v>
      </c>
      <c r="H546" t="s">
        <v>88</v>
      </c>
      <c r="I546">
        <v>117.37</v>
      </c>
      <c r="J546">
        <v>117.37</v>
      </c>
      <c r="K546">
        <v>0</v>
      </c>
      <c r="L546">
        <v>0</v>
      </c>
      <c r="M546">
        <v>0</v>
      </c>
      <c r="N546">
        <v>117.37</v>
      </c>
      <c r="O546" s="14">
        <f t="shared" ca="1" si="8"/>
        <v>2183</v>
      </c>
      <c r="P546" t="s">
        <v>1066</v>
      </c>
    </row>
    <row r="547" spans="1:16" ht="12.75" customHeight="1" x14ac:dyDescent="0.2">
      <c r="A547" t="s">
        <v>604</v>
      </c>
      <c r="B547" t="s">
        <v>651</v>
      </c>
      <c r="C547" t="s">
        <v>953</v>
      </c>
      <c r="D547" t="s">
        <v>1155</v>
      </c>
      <c r="E547" t="s">
        <v>399</v>
      </c>
      <c r="F547" s="1">
        <v>43984</v>
      </c>
      <c r="G547" s="1">
        <v>44014</v>
      </c>
      <c r="H547" t="s">
        <v>941</v>
      </c>
      <c r="I547">
        <v>117.37</v>
      </c>
      <c r="J547">
        <v>117.37</v>
      </c>
      <c r="K547">
        <v>0</v>
      </c>
      <c r="L547">
        <v>0</v>
      </c>
      <c r="M547">
        <v>0</v>
      </c>
      <c r="N547">
        <v>117.37</v>
      </c>
      <c r="O547" s="14">
        <f t="shared" ca="1" si="8"/>
        <v>2156</v>
      </c>
      <c r="P547" t="s">
        <v>1066</v>
      </c>
    </row>
    <row r="548" spans="1:16" ht="12.75" customHeight="1" x14ac:dyDescent="0.2">
      <c r="A548" t="s">
        <v>604</v>
      </c>
      <c r="B548" t="s">
        <v>651</v>
      </c>
      <c r="C548" t="s">
        <v>953</v>
      </c>
      <c r="D548" t="s">
        <v>1155</v>
      </c>
      <c r="E548" t="s">
        <v>399</v>
      </c>
      <c r="F548" s="1">
        <v>44013</v>
      </c>
      <c r="G548" s="1">
        <v>44043</v>
      </c>
      <c r="H548" t="s">
        <v>791</v>
      </c>
      <c r="I548">
        <v>117.37</v>
      </c>
      <c r="J548">
        <v>117.37</v>
      </c>
      <c r="K548">
        <v>0</v>
      </c>
      <c r="L548">
        <v>0</v>
      </c>
      <c r="M548">
        <v>0</v>
      </c>
      <c r="N548">
        <v>117.37</v>
      </c>
      <c r="O548" s="14">
        <f t="shared" ca="1" si="8"/>
        <v>2127</v>
      </c>
      <c r="P548" t="s">
        <v>1066</v>
      </c>
    </row>
    <row r="549" spans="1:16" ht="12.75" customHeight="1" x14ac:dyDescent="0.2">
      <c r="A549" t="s">
        <v>604</v>
      </c>
      <c r="B549" t="s">
        <v>651</v>
      </c>
      <c r="C549" t="s">
        <v>953</v>
      </c>
      <c r="D549" t="s">
        <v>1155</v>
      </c>
      <c r="E549" t="s">
        <v>399</v>
      </c>
      <c r="F549" s="1">
        <v>44047</v>
      </c>
      <c r="G549" s="1">
        <v>44077</v>
      </c>
      <c r="H549" t="s">
        <v>725</v>
      </c>
      <c r="I549">
        <v>117.37</v>
      </c>
      <c r="J549">
        <v>117.37</v>
      </c>
      <c r="K549">
        <v>0</v>
      </c>
      <c r="L549">
        <v>0</v>
      </c>
      <c r="M549">
        <v>0</v>
      </c>
      <c r="N549">
        <v>117.37</v>
      </c>
      <c r="O549" s="14">
        <f t="shared" ca="1" si="8"/>
        <v>2093</v>
      </c>
      <c r="P549" t="s">
        <v>1066</v>
      </c>
    </row>
    <row r="550" spans="1:16" ht="12.75" customHeight="1" x14ac:dyDescent="0.2">
      <c r="A550" t="s">
        <v>604</v>
      </c>
      <c r="B550" t="s">
        <v>651</v>
      </c>
      <c r="C550" t="s">
        <v>953</v>
      </c>
      <c r="D550" t="s">
        <v>1155</v>
      </c>
      <c r="E550" t="s">
        <v>399</v>
      </c>
      <c r="F550" s="1">
        <v>44075</v>
      </c>
      <c r="G550" s="1">
        <v>44105</v>
      </c>
      <c r="H550" t="s">
        <v>1087</v>
      </c>
      <c r="I550">
        <v>117.37</v>
      </c>
      <c r="J550">
        <v>117.37</v>
      </c>
      <c r="K550">
        <v>0</v>
      </c>
      <c r="L550">
        <v>0</v>
      </c>
      <c r="M550">
        <v>0</v>
      </c>
      <c r="N550">
        <v>117.37</v>
      </c>
      <c r="O550" s="14">
        <f t="shared" ca="1" si="8"/>
        <v>2065</v>
      </c>
      <c r="P550" t="s">
        <v>1066</v>
      </c>
    </row>
    <row r="551" spans="1:16" ht="12.75" customHeight="1" x14ac:dyDescent="0.2">
      <c r="A551" t="s">
        <v>604</v>
      </c>
      <c r="B551" t="s">
        <v>651</v>
      </c>
      <c r="C551" t="s">
        <v>953</v>
      </c>
      <c r="D551" t="s">
        <v>1155</v>
      </c>
      <c r="E551" t="s">
        <v>399</v>
      </c>
      <c r="F551" s="1">
        <v>44110</v>
      </c>
      <c r="G551" s="1">
        <v>44140</v>
      </c>
      <c r="H551" t="s">
        <v>376</v>
      </c>
      <c r="I551">
        <v>117.37</v>
      </c>
      <c r="J551">
        <v>117.37</v>
      </c>
      <c r="K551">
        <v>0</v>
      </c>
      <c r="L551">
        <v>0</v>
      </c>
      <c r="M551">
        <v>0</v>
      </c>
      <c r="N551">
        <v>117.37</v>
      </c>
      <c r="O551" s="14">
        <f t="shared" ca="1" si="8"/>
        <v>2030</v>
      </c>
      <c r="P551" t="s">
        <v>1066</v>
      </c>
    </row>
    <row r="552" spans="1:16" ht="12.75" customHeight="1" x14ac:dyDescent="0.2">
      <c r="A552" t="s">
        <v>604</v>
      </c>
      <c r="B552" t="s">
        <v>651</v>
      </c>
      <c r="C552" t="s">
        <v>953</v>
      </c>
      <c r="D552" t="s">
        <v>1155</v>
      </c>
      <c r="E552" t="s">
        <v>399</v>
      </c>
      <c r="F552" s="1">
        <v>44138</v>
      </c>
      <c r="G552" s="1">
        <v>44168</v>
      </c>
      <c r="H552" t="s">
        <v>331</v>
      </c>
      <c r="I552">
        <v>117.37</v>
      </c>
      <c r="J552">
        <v>117.37</v>
      </c>
      <c r="K552">
        <v>0</v>
      </c>
      <c r="L552">
        <v>0</v>
      </c>
      <c r="M552">
        <v>0</v>
      </c>
      <c r="N552">
        <v>117.37</v>
      </c>
      <c r="O552" s="14">
        <f t="shared" ca="1" si="8"/>
        <v>2002</v>
      </c>
      <c r="P552" t="s">
        <v>1066</v>
      </c>
    </row>
    <row r="553" spans="1:16" ht="12.75" customHeight="1" x14ac:dyDescent="0.2">
      <c r="A553" t="s">
        <v>604</v>
      </c>
      <c r="B553" t="s">
        <v>651</v>
      </c>
      <c r="C553" t="s">
        <v>953</v>
      </c>
      <c r="D553" t="s">
        <v>1155</v>
      </c>
      <c r="E553" t="s">
        <v>399</v>
      </c>
      <c r="F553" s="1">
        <v>44166</v>
      </c>
      <c r="G553" s="1">
        <v>44196</v>
      </c>
      <c r="H553" t="s">
        <v>792</v>
      </c>
      <c r="I553">
        <v>117.37</v>
      </c>
      <c r="J553">
        <v>117.37</v>
      </c>
      <c r="K553">
        <v>0</v>
      </c>
      <c r="L553">
        <v>0</v>
      </c>
      <c r="M553">
        <v>0</v>
      </c>
      <c r="N553">
        <v>117.37</v>
      </c>
      <c r="O553" s="14">
        <f t="shared" ca="1" si="8"/>
        <v>1974</v>
      </c>
      <c r="P553" t="s">
        <v>1066</v>
      </c>
    </row>
    <row r="554" spans="1:16" ht="12.75" customHeight="1" x14ac:dyDescent="0.2">
      <c r="A554" t="s">
        <v>604</v>
      </c>
      <c r="B554" t="s">
        <v>651</v>
      </c>
      <c r="C554" t="s">
        <v>953</v>
      </c>
      <c r="D554" t="s">
        <v>1155</v>
      </c>
      <c r="E554" t="s">
        <v>399</v>
      </c>
      <c r="F554" s="1">
        <v>44203</v>
      </c>
      <c r="G554" s="1">
        <v>44233</v>
      </c>
      <c r="H554" t="s">
        <v>316</v>
      </c>
      <c r="I554">
        <v>117.37</v>
      </c>
      <c r="J554">
        <v>117.37</v>
      </c>
      <c r="K554">
        <v>0</v>
      </c>
      <c r="L554">
        <v>0</v>
      </c>
      <c r="M554">
        <v>0</v>
      </c>
      <c r="N554">
        <v>117.37</v>
      </c>
      <c r="O554" s="14">
        <f t="shared" ca="1" si="8"/>
        <v>1937</v>
      </c>
      <c r="P554" t="s">
        <v>1066</v>
      </c>
    </row>
    <row r="555" spans="1:16" ht="12.75" customHeight="1" x14ac:dyDescent="0.2">
      <c r="A555" t="s">
        <v>604</v>
      </c>
      <c r="B555" t="s">
        <v>651</v>
      </c>
      <c r="C555" t="s">
        <v>953</v>
      </c>
      <c r="D555" t="s">
        <v>1155</v>
      </c>
      <c r="E555" t="s">
        <v>399</v>
      </c>
      <c r="F555" s="1">
        <v>44243</v>
      </c>
      <c r="G555" s="1">
        <v>44273</v>
      </c>
      <c r="H555" t="s">
        <v>450</v>
      </c>
      <c r="I555">
        <v>117.37</v>
      </c>
      <c r="J555">
        <v>117.37</v>
      </c>
      <c r="K555">
        <v>0</v>
      </c>
      <c r="L555">
        <v>0</v>
      </c>
      <c r="M555">
        <v>0</v>
      </c>
      <c r="N555">
        <v>117.37</v>
      </c>
      <c r="O555" s="14">
        <f t="shared" ca="1" si="8"/>
        <v>1897</v>
      </c>
      <c r="P555" t="s">
        <v>1066</v>
      </c>
    </row>
    <row r="556" spans="1:16" ht="12.75" customHeight="1" x14ac:dyDescent="0.2">
      <c r="A556" t="s">
        <v>604</v>
      </c>
      <c r="B556" t="s">
        <v>651</v>
      </c>
      <c r="C556" t="s">
        <v>953</v>
      </c>
      <c r="D556" t="s">
        <v>1155</v>
      </c>
      <c r="E556" t="s">
        <v>399</v>
      </c>
      <c r="F556" s="1">
        <v>44257</v>
      </c>
      <c r="G556" s="1">
        <v>44287</v>
      </c>
      <c r="H556" t="s">
        <v>811</v>
      </c>
      <c r="I556">
        <v>117.37</v>
      </c>
      <c r="J556">
        <v>117.37</v>
      </c>
      <c r="K556">
        <v>0</v>
      </c>
      <c r="L556">
        <v>0</v>
      </c>
      <c r="M556">
        <v>0</v>
      </c>
      <c r="N556">
        <v>117.37</v>
      </c>
      <c r="O556" s="14">
        <f t="shared" ca="1" si="8"/>
        <v>1883</v>
      </c>
      <c r="P556" t="s">
        <v>1066</v>
      </c>
    </row>
    <row r="557" spans="1:16" ht="12.75" customHeight="1" x14ac:dyDescent="0.2">
      <c r="A557" t="s">
        <v>604</v>
      </c>
      <c r="B557" t="s">
        <v>651</v>
      </c>
      <c r="C557" t="s">
        <v>953</v>
      </c>
      <c r="D557" t="s">
        <v>1155</v>
      </c>
      <c r="E557" t="s">
        <v>399</v>
      </c>
      <c r="F557" s="1">
        <v>44285</v>
      </c>
      <c r="G557" s="1">
        <v>44315</v>
      </c>
      <c r="H557" t="s">
        <v>564</v>
      </c>
      <c r="I557">
        <v>117.37</v>
      </c>
      <c r="J557">
        <v>117.37</v>
      </c>
      <c r="K557">
        <v>0</v>
      </c>
      <c r="L557">
        <v>0</v>
      </c>
      <c r="M557">
        <v>0</v>
      </c>
      <c r="N557">
        <v>117.37</v>
      </c>
      <c r="O557" s="14">
        <f t="shared" ca="1" si="8"/>
        <v>1855</v>
      </c>
      <c r="P557" t="s">
        <v>1066</v>
      </c>
    </row>
    <row r="558" spans="1:16" ht="12.75" customHeight="1" x14ac:dyDescent="0.2">
      <c r="A558" t="s">
        <v>604</v>
      </c>
      <c r="B558" t="s">
        <v>651</v>
      </c>
      <c r="C558" t="s">
        <v>953</v>
      </c>
      <c r="D558" t="s">
        <v>1155</v>
      </c>
      <c r="E558" t="s">
        <v>399</v>
      </c>
      <c r="F558" s="1">
        <v>44320</v>
      </c>
      <c r="G558" s="1">
        <v>44350</v>
      </c>
      <c r="H558" t="s">
        <v>764</v>
      </c>
      <c r="I558">
        <v>117.37</v>
      </c>
      <c r="J558">
        <v>117.37</v>
      </c>
      <c r="K558">
        <v>0</v>
      </c>
      <c r="L558">
        <v>0</v>
      </c>
      <c r="M558">
        <v>0</v>
      </c>
      <c r="N558">
        <v>117.37</v>
      </c>
      <c r="O558" s="14">
        <f t="shared" ca="1" si="8"/>
        <v>1820</v>
      </c>
      <c r="P558" t="s">
        <v>1066</v>
      </c>
    </row>
    <row r="559" spans="1:16" ht="12.75" customHeight="1" x14ac:dyDescent="0.2">
      <c r="A559" t="s">
        <v>604</v>
      </c>
      <c r="B559" t="s">
        <v>651</v>
      </c>
      <c r="C559" t="s">
        <v>953</v>
      </c>
      <c r="D559" t="s">
        <v>1155</v>
      </c>
      <c r="E559" t="s">
        <v>399</v>
      </c>
      <c r="F559" s="1">
        <v>44348</v>
      </c>
      <c r="G559" s="1">
        <v>44378</v>
      </c>
      <c r="H559" t="s">
        <v>550</v>
      </c>
      <c r="I559">
        <v>117.37</v>
      </c>
      <c r="J559">
        <v>117.37</v>
      </c>
      <c r="K559">
        <v>0</v>
      </c>
      <c r="L559">
        <v>0</v>
      </c>
      <c r="M559">
        <v>0</v>
      </c>
      <c r="N559">
        <v>117.37</v>
      </c>
      <c r="O559" s="14">
        <f t="shared" ca="1" si="8"/>
        <v>1792</v>
      </c>
      <c r="P559" t="s">
        <v>1066</v>
      </c>
    </row>
    <row r="560" spans="1:16" ht="12.75" customHeight="1" x14ac:dyDescent="0.2">
      <c r="A560" t="s">
        <v>604</v>
      </c>
      <c r="B560" t="s">
        <v>651</v>
      </c>
      <c r="C560" t="s">
        <v>953</v>
      </c>
      <c r="D560" t="s">
        <v>1155</v>
      </c>
      <c r="E560" t="s">
        <v>399</v>
      </c>
      <c r="F560" s="1">
        <v>44378</v>
      </c>
      <c r="G560" s="1">
        <v>44408</v>
      </c>
      <c r="H560" t="s">
        <v>543</v>
      </c>
      <c r="I560">
        <v>117.37</v>
      </c>
      <c r="J560">
        <v>117.37</v>
      </c>
      <c r="K560">
        <v>0</v>
      </c>
      <c r="L560">
        <v>0</v>
      </c>
      <c r="M560">
        <v>0</v>
      </c>
      <c r="N560">
        <v>117.37</v>
      </c>
      <c r="O560" s="14">
        <f t="shared" ca="1" si="8"/>
        <v>1762</v>
      </c>
      <c r="P560" t="s">
        <v>1066</v>
      </c>
    </row>
    <row r="561" spans="1:16" ht="12.75" customHeight="1" x14ac:dyDescent="0.2">
      <c r="A561" t="s">
        <v>604</v>
      </c>
      <c r="B561" t="s">
        <v>651</v>
      </c>
      <c r="C561" t="s">
        <v>953</v>
      </c>
      <c r="D561" t="s">
        <v>1155</v>
      </c>
      <c r="E561" t="s">
        <v>399</v>
      </c>
      <c r="F561" s="1">
        <v>44412</v>
      </c>
      <c r="G561" s="1">
        <v>44442</v>
      </c>
      <c r="H561" t="s">
        <v>159</v>
      </c>
      <c r="I561">
        <v>117.37</v>
      </c>
      <c r="J561">
        <v>117.37</v>
      </c>
      <c r="K561">
        <v>0</v>
      </c>
      <c r="L561">
        <v>0</v>
      </c>
      <c r="M561">
        <v>0</v>
      </c>
      <c r="N561">
        <v>117.37</v>
      </c>
      <c r="O561" s="14">
        <f t="shared" ca="1" si="8"/>
        <v>1728</v>
      </c>
      <c r="P561" t="s">
        <v>1066</v>
      </c>
    </row>
    <row r="562" spans="1:16" ht="12.75" customHeight="1" x14ac:dyDescent="0.2">
      <c r="A562" t="s">
        <v>604</v>
      </c>
      <c r="B562" t="s">
        <v>651</v>
      </c>
      <c r="C562" t="s">
        <v>953</v>
      </c>
      <c r="D562" t="s">
        <v>1155</v>
      </c>
      <c r="E562" t="s">
        <v>399</v>
      </c>
      <c r="F562" s="1">
        <v>44448</v>
      </c>
      <c r="G562" s="1">
        <v>44478</v>
      </c>
      <c r="H562" t="s">
        <v>1223</v>
      </c>
      <c r="I562">
        <v>117.37</v>
      </c>
      <c r="J562">
        <v>117.37</v>
      </c>
      <c r="K562">
        <v>0</v>
      </c>
      <c r="L562">
        <v>0</v>
      </c>
      <c r="M562">
        <v>0</v>
      </c>
      <c r="N562">
        <v>117.37</v>
      </c>
      <c r="O562" s="14">
        <f t="shared" ca="1" si="8"/>
        <v>1692</v>
      </c>
      <c r="P562" t="s">
        <v>1066</v>
      </c>
    </row>
    <row r="563" spans="1:16" ht="12.75" customHeight="1" x14ac:dyDescent="0.2">
      <c r="A563" t="s">
        <v>604</v>
      </c>
      <c r="B563" t="s">
        <v>651</v>
      </c>
      <c r="C563" t="s">
        <v>953</v>
      </c>
      <c r="D563" t="s">
        <v>1155</v>
      </c>
      <c r="E563" t="s">
        <v>399</v>
      </c>
      <c r="F563" s="1">
        <v>44470</v>
      </c>
      <c r="G563" s="1">
        <v>44500</v>
      </c>
      <c r="H563" t="s">
        <v>118</v>
      </c>
      <c r="I563">
        <v>117.37</v>
      </c>
      <c r="J563">
        <v>117.37</v>
      </c>
      <c r="K563">
        <v>0</v>
      </c>
      <c r="L563">
        <v>0</v>
      </c>
      <c r="M563">
        <v>0</v>
      </c>
      <c r="N563">
        <v>117.37</v>
      </c>
      <c r="O563" s="14">
        <f t="shared" ca="1" si="8"/>
        <v>1670</v>
      </c>
      <c r="P563" t="s">
        <v>1066</v>
      </c>
    </row>
    <row r="564" spans="1:16" ht="12.75" customHeight="1" x14ac:dyDescent="0.2">
      <c r="A564" t="s">
        <v>604</v>
      </c>
      <c r="B564" t="s">
        <v>651</v>
      </c>
      <c r="C564" t="s">
        <v>953</v>
      </c>
      <c r="D564" t="s">
        <v>1155</v>
      </c>
      <c r="E564" t="s">
        <v>399</v>
      </c>
      <c r="F564" s="1">
        <v>44503</v>
      </c>
      <c r="G564" s="1">
        <v>44533</v>
      </c>
      <c r="H564" t="s">
        <v>442</v>
      </c>
      <c r="I564">
        <v>117.37</v>
      </c>
      <c r="J564">
        <v>117.37</v>
      </c>
      <c r="K564">
        <v>0</v>
      </c>
      <c r="L564">
        <v>0</v>
      </c>
      <c r="M564">
        <v>0</v>
      </c>
      <c r="N564">
        <v>117.37</v>
      </c>
      <c r="O564" s="14">
        <f t="shared" ca="1" si="8"/>
        <v>1637</v>
      </c>
      <c r="P564" t="s">
        <v>1066</v>
      </c>
    </row>
    <row r="565" spans="1:16" ht="12.75" customHeight="1" x14ac:dyDescent="0.2">
      <c r="A565" t="s">
        <v>604</v>
      </c>
      <c r="B565" t="s">
        <v>651</v>
      </c>
      <c r="C565" t="s">
        <v>953</v>
      </c>
      <c r="D565" t="s">
        <v>1155</v>
      </c>
      <c r="E565" t="s">
        <v>399</v>
      </c>
      <c r="F565" s="1">
        <v>44532</v>
      </c>
      <c r="G565" s="1">
        <v>44562</v>
      </c>
      <c r="H565" t="s">
        <v>1104</v>
      </c>
      <c r="I565">
        <v>117.37</v>
      </c>
      <c r="J565">
        <v>117.37</v>
      </c>
      <c r="K565">
        <v>0</v>
      </c>
      <c r="L565">
        <v>0</v>
      </c>
      <c r="M565">
        <v>0</v>
      </c>
      <c r="N565">
        <v>117.37</v>
      </c>
      <c r="O565" s="14">
        <f t="shared" ca="1" si="8"/>
        <v>1608</v>
      </c>
      <c r="P565" t="s">
        <v>1066</v>
      </c>
    </row>
    <row r="566" spans="1:16" ht="12.75" customHeight="1" x14ac:dyDescent="0.2">
      <c r="A566" t="s">
        <v>604</v>
      </c>
      <c r="B566" t="s">
        <v>651</v>
      </c>
      <c r="C566" t="s">
        <v>953</v>
      </c>
      <c r="D566" t="s">
        <v>1155</v>
      </c>
      <c r="E566" t="s">
        <v>399</v>
      </c>
      <c r="F566" s="1">
        <v>44573</v>
      </c>
      <c r="G566" s="1">
        <v>44603</v>
      </c>
      <c r="H566" t="s">
        <v>453</v>
      </c>
      <c r="I566">
        <v>117.37</v>
      </c>
      <c r="J566">
        <v>117.37</v>
      </c>
      <c r="K566">
        <v>0</v>
      </c>
      <c r="L566">
        <v>0</v>
      </c>
      <c r="M566">
        <v>0</v>
      </c>
      <c r="N566">
        <v>117.37</v>
      </c>
      <c r="O566" s="14">
        <f t="shared" ca="1" si="8"/>
        <v>1567</v>
      </c>
      <c r="P566" t="s">
        <v>1066</v>
      </c>
    </row>
    <row r="567" spans="1:16" ht="12.75" customHeight="1" x14ac:dyDescent="0.2">
      <c r="A567" t="s">
        <v>604</v>
      </c>
      <c r="B567" t="s">
        <v>651</v>
      </c>
      <c r="C567" t="s">
        <v>464</v>
      </c>
      <c r="D567" t="s">
        <v>241</v>
      </c>
      <c r="E567" t="s">
        <v>399</v>
      </c>
      <c r="F567" s="1">
        <v>42768</v>
      </c>
      <c r="G567" s="1">
        <v>42798</v>
      </c>
      <c r="H567" t="s">
        <v>603</v>
      </c>
      <c r="I567">
        <v>810.7</v>
      </c>
      <c r="J567">
        <v>810.7</v>
      </c>
      <c r="K567">
        <v>0</v>
      </c>
      <c r="L567">
        <v>0</v>
      </c>
      <c r="M567">
        <v>0</v>
      </c>
      <c r="N567">
        <v>810.7</v>
      </c>
      <c r="O567" s="14">
        <f t="shared" ca="1" si="8"/>
        <v>3372</v>
      </c>
      <c r="P567" t="s">
        <v>1066</v>
      </c>
    </row>
    <row r="568" spans="1:16" ht="12.75" customHeight="1" x14ac:dyDescent="0.2">
      <c r="A568" t="s">
        <v>604</v>
      </c>
      <c r="B568" t="s">
        <v>651</v>
      </c>
      <c r="C568" t="s">
        <v>464</v>
      </c>
      <c r="D568" t="s">
        <v>241</v>
      </c>
      <c r="E568" t="s">
        <v>399</v>
      </c>
      <c r="F568" s="1">
        <v>42796</v>
      </c>
      <c r="G568" s="1">
        <v>42826</v>
      </c>
      <c r="H568" t="s">
        <v>869</v>
      </c>
      <c r="I568">
        <v>405.35</v>
      </c>
      <c r="J568">
        <v>405.35</v>
      </c>
      <c r="K568">
        <v>0</v>
      </c>
      <c r="L568">
        <v>0</v>
      </c>
      <c r="M568">
        <v>0</v>
      </c>
      <c r="N568">
        <v>405.35</v>
      </c>
      <c r="O568" s="14">
        <f t="shared" ca="1" si="8"/>
        <v>3344</v>
      </c>
      <c r="P568" t="s">
        <v>1066</v>
      </c>
    </row>
    <row r="569" spans="1:16" ht="12.75" customHeight="1" x14ac:dyDescent="0.2">
      <c r="A569" t="s">
        <v>604</v>
      </c>
      <c r="B569" t="s">
        <v>651</v>
      </c>
      <c r="C569" t="s">
        <v>464</v>
      </c>
      <c r="D569" t="s">
        <v>241</v>
      </c>
      <c r="E569" t="s">
        <v>399</v>
      </c>
      <c r="F569" s="1">
        <v>42828</v>
      </c>
      <c r="G569" s="1">
        <v>42858</v>
      </c>
      <c r="H569" t="s">
        <v>556</v>
      </c>
      <c r="I569">
        <v>405.35</v>
      </c>
      <c r="J569">
        <v>405.35</v>
      </c>
      <c r="K569">
        <v>0</v>
      </c>
      <c r="L569">
        <v>0</v>
      </c>
      <c r="M569">
        <v>0</v>
      </c>
      <c r="N569">
        <v>405.35</v>
      </c>
      <c r="O569" s="14">
        <f t="shared" ca="1" si="8"/>
        <v>3312</v>
      </c>
      <c r="P569" t="s">
        <v>1066</v>
      </c>
    </row>
    <row r="570" spans="1:16" ht="12.75" customHeight="1" x14ac:dyDescent="0.2">
      <c r="A570" t="s">
        <v>604</v>
      </c>
      <c r="B570" t="s">
        <v>651</v>
      </c>
      <c r="C570" t="s">
        <v>464</v>
      </c>
      <c r="D570" t="s">
        <v>241</v>
      </c>
      <c r="E570" t="s">
        <v>399</v>
      </c>
      <c r="F570" s="1">
        <v>42857</v>
      </c>
      <c r="G570" s="1">
        <v>42887</v>
      </c>
      <c r="H570" t="s">
        <v>1199</v>
      </c>
      <c r="I570">
        <v>405.35</v>
      </c>
      <c r="J570">
        <v>405.35</v>
      </c>
      <c r="K570">
        <v>0</v>
      </c>
      <c r="L570">
        <v>0</v>
      </c>
      <c r="M570">
        <v>0</v>
      </c>
      <c r="N570">
        <v>405.35</v>
      </c>
      <c r="O570" s="14">
        <f t="shared" ca="1" si="8"/>
        <v>3283</v>
      </c>
      <c r="P570" t="s">
        <v>1066</v>
      </c>
    </row>
    <row r="571" spans="1:16" ht="12.75" customHeight="1" x14ac:dyDescent="0.2">
      <c r="A571" t="s">
        <v>604</v>
      </c>
      <c r="B571" t="s">
        <v>651</v>
      </c>
      <c r="C571" t="s">
        <v>464</v>
      </c>
      <c r="D571" t="s">
        <v>241</v>
      </c>
      <c r="E571" t="s">
        <v>399</v>
      </c>
      <c r="F571" s="1">
        <v>42887</v>
      </c>
      <c r="G571" s="1">
        <v>42917</v>
      </c>
      <c r="H571" t="s">
        <v>740</v>
      </c>
      <c r="I571">
        <v>405.35</v>
      </c>
      <c r="J571">
        <v>405.35</v>
      </c>
      <c r="K571">
        <v>0</v>
      </c>
      <c r="L571">
        <v>0</v>
      </c>
      <c r="M571">
        <v>0</v>
      </c>
      <c r="N571">
        <v>405.35</v>
      </c>
      <c r="O571" s="14">
        <f t="shared" ca="1" si="8"/>
        <v>3253</v>
      </c>
      <c r="P571" t="s">
        <v>1066</v>
      </c>
    </row>
    <row r="572" spans="1:16" ht="12.75" customHeight="1" x14ac:dyDescent="0.2">
      <c r="A572" t="s">
        <v>604</v>
      </c>
      <c r="B572" t="s">
        <v>651</v>
      </c>
      <c r="C572" t="s">
        <v>464</v>
      </c>
      <c r="D572" t="s">
        <v>241</v>
      </c>
      <c r="E572" t="s">
        <v>399</v>
      </c>
      <c r="F572" s="1">
        <v>42919</v>
      </c>
      <c r="G572" s="1">
        <v>42949</v>
      </c>
      <c r="H572" t="s">
        <v>904</v>
      </c>
      <c r="I572">
        <v>405.35</v>
      </c>
      <c r="J572">
        <v>405.35</v>
      </c>
      <c r="K572">
        <v>0</v>
      </c>
      <c r="L572">
        <v>0</v>
      </c>
      <c r="M572">
        <v>0</v>
      </c>
      <c r="N572">
        <v>405.35</v>
      </c>
      <c r="O572" s="14">
        <f t="shared" ca="1" si="8"/>
        <v>3221</v>
      </c>
      <c r="P572" t="s">
        <v>1066</v>
      </c>
    </row>
    <row r="573" spans="1:16" ht="12.75" customHeight="1" x14ac:dyDescent="0.2">
      <c r="A573" t="s">
        <v>604</v>
      </c>
      <c r="B573" t="s">
        <v>651</v>
      </c>
      <c r="C573" t="s">
        <v>464</v>
      </c>
      <c r="D573" t="s">
        <v>241</v>
      </c>
      <c r="E573" t="s">
        <v>399</v>
      </c>
      <c r="F573" s="1">
        <v>42948</v>
      </c>
      <c r="G573" s="1">
        <v>42978</v>
      </c>
      <c r="H573" t="s">
        <v>555</v>
      </c>
      <c r="I573">
        <v>405.35</v>
      </c>
      <c r="J573">
        <v>405.35</v>
      </c>
      <c r="K573">
        <v>0</v>
      </c>
      <c r="L573">
        <v>0</v>
      </c>
      <c r="M573">
        <v>0</v>
      </c>
      <c r="N573">
        <v>405.35</v>
      </c>
      <c r="O573" s="14">
        <f t="shared" ca="1" si="8"/>
        <v>3192</v>
      </c>
      <c r="P573" t="s">
        <v>1066</v>
      </c>
    </row>
    <row r="574" spans="1:16" ht="12.75" customHeight="1" x14ac:dyDescent="0.2">
      <c r="A574" t="s">
        <v>604</v>
      </c>
      <c r="B574" t="s">
        <v>651</v>
      </c>
      <c r="C574" t="s">
        <v>464</v>
      </c>
      <c r="D574" t="s">
        <v>241</v>
      </c>
      <c r="E574" t="s">
        <v>399</v>
      </c>
      <c r="F574" s="1">
        <v>42979</v>
      </c>
      <c r="G574" s="1">
        <v>43009</v>
      </c>
      <c r="H574" t="s">
        <v>857</v>
      </c>
      <c r="I574">
        <v>405.35</v>
      </c>
      <c r="J574">
        <v>405.35</v>
      </c>
      <c r="K574">
        <v>0</v>
      </c>
      <c r="L574">
        <v>0</v>
      </c>
      <c r="M574">
        <v>0</v>
      </c>
      <c r="N574">
        <v>405.35</v>
      </c>
      <c r="O574" s="14">
        <f t="shared" ca="1" si="8"/>
        <v>3161</v>
      </c>
      <c r="P574" t="s">
        <v>1066</v>
      </c>
    </row>
    <row r="575" spans="1:16" ht="12.75" customHeight="1" x14ac:dyDescent="0.2">
      <c r="A575" t="s">
        <v>604</v>
      </c>
      <c r="B575" t="s">
        <v>651</v>
      </c>
      <c r="C575" t="s">
        <v>464</v>
      </c>
      <c r="D575" t="s">
        <v>241</v>
      </c>
      <c r="E575" t="s">
        <v>399</v>
      </c>
      <c r="F575" s="1">
        <v>43013</v>
      </c>
      <c r="G575" s="1">
        <v>43043</v>
      </c>
      <c r="H575" t="s">
        <v>1219</v>
      </c>
      <c r="I575">
        <v>405.35</v>
      </c>
      <c r="J575">
        <v>405.35</v>
      </c>
      <c r="K575">
        <v>0</v>
      </c>
      <c r="L575">
        <v>0</v>
      </c>
      <c r="M575">
        <v>0</v>
      </c>
      <c r="N575">
        <v>405.35</v>
      </c>
      <c r="O575" s="14">
        <f t="shared" ca="1" si="8"/>
        <v>3127</v>
      </c>
      <c r="P575" t="s">
        <v>1066</v>
      </c>
    </row>
    <row r="576" spans="1:16" ht="12.75" customHeight="1" x14ac:dyDescent="0.2">
      <c r="A576" t="s">
        <v>604</v>
      </c>
      <c r="B576" t="s">
        <v>651</v>
      </c>
      <c r="C576" t="s">
        <v>464</v>
      </c>
      <c r="D576" t="s">
        <v>241</v>
      </c>
      <c r="E576" t="s">
        <v>399</v>
      </c>
      <c r="F576" s="1">
        <v>43040</v>
      </c>
      <c r="G576" s="1">
        <v>43070</v>
      </c>
      <c r="H576" t="s">
        <v>571</v>
      </c>
      <c r="I576">
        <v>405.35</v>
      </c>
      <c r="J576">
        <v>405.35</v>
      </c>
      <c r="K576">
        <v>0</v>
      </c>
      <c r="L576">
        <v>0</v>
      </c>
      <c r="M576">
        <v>0</v>
      </c>
      <c r="N576">
        <v>405.35</v>
      </c>
      <c r="O576" s="14">
        <f t="shared" ca="1" si="8"/>
        <v>3100</v>
      </c>
      <c r="P576" t="s">
        <v>1066</v>
      </c>
    </row>
    <row r="577" spans="1:16" ht="12.75" customHeight="1" x14ac:dyDescent="0.2">
      <c r="A577" t="s">
        <v>604</v>
      </c>
      <c r="B577" t="s">
        <v>651</v>
      </c>
      <c r="C577" t="s">
        <v>464</v>
      </c>
      <c r="D577" t="s">
        <v>241</v>
      </c>
      <c r="E577" t="s">
        <v>399</v>
      </c>
      <c r="F577" s="1">
        <v>43076</v>
      </c>
      <c r="G577" s="1">
        <v>43106</v>
      </c>
      <c r="H577" t="s">
        <v>491</v>
      </c>
      <c r="I577">
        <v>405.35</v>
      </c>
      <c r="J577">
        <v>405.35</v>
      </c>
      <c r="K577">
        <v>0</v>
      </c>
      <c r="L577">
        <v>0</v>
      </c>
      <c r="M577">
        <v>0</v>
      </c>
      <c r="N577">
        <v>405.35</v>
      </c>
      <c r="O577" s="14">
        <f t="shared" ca="1" si="8"/>
        <v>3064</v>
      </c>
      <c r="P577" t="s">
        <v>1066</v>
      </c>
    </row>
    <row r="578" spans="1:16" ht="12.75" customHeight="1" x14ac:dyDescent="0.2">
      <c r="A578" t="s">
        <v>604</v>
      </c>
      <c r="B578" t="s">
        <v>651</v>
      </c>
      <c r="C578" t="s">
        <v>464</v>
      </c>
      <c r="D578" t="s">
        <v>241</v>
      </c>
      <c r="E578" t="s">
        <v>399</v>
      </c>
      <c r="F578" s="1">
        <v>43098</v>
      </c>
      <c r="G578" s="1">
        <v>43128</v>
      </c>
      <c r="H578" t="s">
        <v>662</v>
      </c>
      <c r="I578">
        <v>1197.9000000000001</v>
      </c>
      <c r="J578">
        <v>1197.9000000000001</v>
      </c>
      <c r="K578">
        <v>0</v>
      </c>
      <c r="L578">
        <v>0</v>
      </c>
      <c r="M578">
        <v>0</v>
      </c>
      <c r="N578">
        <v>1197.9000000000001</v>
      </c>
      <c r="O578" s="14">
        <f t="shared" ca="1" si="8"/>
        <v>3042</v>
      </c>
      <c r="P578" t="s">
        <v>1066</v>
      </c>
    </row>
    <row r="579" spans="1:16" ht="12.75" customHeight="1" x14ac:dyDescent="0.2">
      <c r="A579" t="s">
        <v>604</v>
      </c>
      <c r="B579" t="s">
        <v>651</v>
      </c>
      <c r="C579" t="s">
        <v>464</v>
      </c>
      <c r="D579" t="s">
        <v>241</v>
      </c>
      <c r="E579" t="s">
        <v>399</v>
      </c>
      <c r="F579" s="1">
        <v>43098</v>
      </c>
      <c r="G579" s="1">
        <v>43128</v>
      </c>
      <c r="H579" t="s">
        <v>1162</v>
      </c>
      <c r="I579">
        <v>217.8</v>
      </c>
      <c r="J579">
        <v>217.8</v>
      </c>
      <c r="K579">
        <v>0</v>
      </c>
      <c r="L579">
        <v>0</v>
      </c>
      <c r="M579">
        <v>0</v>
      </c>
      <c r="N579">
        <v>217.8</v>
      </c>
      <c r="O579" s="14">
        <f t="shared" ref="O579:O642" ca="1" si="9">TODAY()-G579</f>
        <v>3042</v>
      </c>
      <c r="P579" t="s">
        <v>1066</v>
      </c>
    </row>
    <row r="580" spans="1:16" ht="12.75" customHeight="1" x14ac:dyDescent="0.2">
      <c r="A580" t="s">
        <v>604</v>
      </c>
      <c r="B580" t="s">
        <v>651</v>
      </c>
      <c r="C580" t="s">
        <v>464</v>
      </c>
      <c r="D580" t="s">
        <v>241</v>
      </c>
      <c r="E580" t="s">
        <v>399</v>
      </c>
      <c r="F580" s="1">
        <v>43311</v>
      </c>
      <c r="G580" s="1">
        <v>43341</v>
      </c>
      <c r="H580" t="s">
        <v>660</v>
      </c>
      <c r="I580">
        <v>1488.38</v>
      </c>
      <c r="J580">
        <v>1488.38</v>
      </c>
      <c r="K580">
        <v>0</v>
      </c>
      <c r="L580">
        <v>0</v>
      </c>
      <c r="M580">
        <v>0</v>
      </c>
      <c r="N580">
        <v>1488.38</v>
      </c>
      <c r="O580" s="14">
        <f t="shared" ca="1" si="9"/>
        <v>2829</v>
      </c>
      <c r="P580" t="s">
        <v>1066</v>
      </c>
    </row>
    <row r="581" spans="1:16" ht="12.75" customHeight="1" x14ac:dyDescent="0.2">
      <c r="A581" t="s">
        <v>604</v>
      </c>
      <c r="B581" t="s">
        <v>651</v>
      </c>
      <c r="C581" t="s">
        <v>464</v>
      </c>
      <c r="D581" t="s">
        <v>241</v>
      </c>
      <c r="E581" t="s">
        <v>399</v>
      </c>
      <c r="F581" s="1">
        <v>43627</v>
      </c>
      <c r="G581" s="1">
        <v>43657</v>
      </c>
      <c r="H581" t="s">
        <v>1121</v>
      </c>
      <c r="I581">
        <v>3682.37</v>
      </c>
      <c r="J581">
        <v>3682.37</v>
      </c>
      <c r="K581">
        <v>0</v>
      </c>
      <c r="L581">
        <v>0</v>
      </c>
      <c r="M581">
        <v>0</v>
      </c>
      <c r="N581">
        <v>3682.37</v>
      </c>
      <c r="O581" s="14">
        <f t="shared" ca="1" si="9"/>
        <v>2513</v>
      </c>
      <c r="P581" t="s">
        <v>1066</v>
      </c>
    </row>
    <row r="582" spans="1:16" ht="12.75" customHeight="1" x14ac:dyDescent="0.2">
      <c r="A582" t="s">
        <v>604</v>
      </c>
      <c r="B582" t="s">
        <v>651</v>
      </c>
      <c r="C582" t="s">
        <v>464</v>
      </c>
      <c r="D582" t="s">
        <v>241</v>
      </c>
      <c r="E582" t="s">
        <v>399</v>
      </c>
      <c r="F582" s="1">
        <v>44162</v>
      </c>
      <c r="G582" s="1">
        <v>44192</v>
      </c>
      <c r="H582" t="s">
        <v>360</v>
      </c>
      <c r="I582">
        <v>302.5</v>
      </c>
      <c r="J582">
        <v>302.5</v>
      </c>
      <c r="K582">
        <v>0</v>
      </c>
      <c r="L582">
        <v>0</v>
      </c>
      <c r="M582">
        <v>0</v>
      </c>
      <c r="N582">
        <v>302.5</v>
      </c>
      <c r="O582" s="14">
        <f t="shared" ca="1" si="9"/>
        <v>1978</v>
      </c>
      <c r="P582" t="s">
        <v>1066</v>
      </c>
    </row>
    <row r="583" spans="1:16" ht="12.75" customHeight="1" x14ac:dyDescent="0.2">
      <c r="A583" t="s">
        <v>604</v>
      </c>
      <c r="B583" t="s">
        <v>651</v>
      </c>
      <c r="C583" t="s">
        <v>497</v>
      </c>
      <c r="D583" t="s">
        <v>34</v>
      </c>
      <c r="E583" t="s">
        <v>399</v>
      </c>
      <c r="F583" s="1">
        <v>45726</v>
      </c>
      <c r="G583" s="1">
        <v>45756</v>
      </c>
      <c r="H583" t="s">
        <v>1191</v>
      </c>
      <c r="I583">
        <v>1149.5</v>
      </c>
      <c r="J583">
        <v>1149.5</v>
      </c>
      <c r="K583">
        <v>0</v>
      </c>
      <c r="L583">
        <v>0</v>
      </c>
      <c r="M583">
        <v>0</v>
      </c>
      <c r="N583">
        <v>1149.5</v>
      </c>
      <c r="O583" s="14">
        <f t="shared" ca="1" si="9"/>
        <v>414</v>
      </c>
      <c r="P583" t="s">
        <v>589</v>
      </c>
    </row>
    <row r="584" spans="1:16" ht="12.75" customHeight="1" x14ac:dyDescent="0.2">
      <c r="A584" t="s">
        <v>604</v>
      </c>
      <c r="B584" t="s">
        <v>651</v>
      </c>
      <c r="C584" t="s">
        <v>497</v>
      </c>
      <c r="D584" t="s">
        <v>34</v>
      </c>
      <c r="E584" t="s">
        <v>399</v>
      </c>
      <c r="F584" s="1">
        <v>46104</v>
      </c>
      <c r="G584" s="1">
        <v>46134</v>
      </c>
      <c r="H584" t="s">
        <v>263</v>
      </c>
      <c r="I584">
        <v>1253.44</v>
      </c>
      <c r="J584">
        <v>1253.44</v>
      </c>
      <c r="K584">
        <v>0</v>
      </c>
      <c r="L584">
        <v>1253.44</v>
      </c>
      <c r="M584">
        <v>0</v>
      </c>
      <c r="N584">
        <v>0</v>
      </c>
      <c r="O584" s="14">
        <f t="shared" ca="1" si="9"/>
        <v>36</v>
      </c>
      <c r="P584" t="s">
        <v>589</v>
      </c>
    </row>
    <row r="585" spans="1:16" ht="12.75" customHeight="1" x14ac:dyDescent="0.2">
      <c r="A585" t="s">
        <v>604</v>
      </c>
      <c r="B585" t="s">
        <v>651</v>
      </c>
      <c r="C585" t="s">
        <v>552</v>
      </c>
      <c r="D585" t="s">
        <v>612</v>
      </c>
      <c r="E585" t="s">
        <v>399</v>
      </c>
      <c r="F585" s="1">
        <v>43830</v>
      </c>
      <c r="G585" s="1">
        <v>43860</v>
      </c>
      <c r="H585" t="s">
        <v>162</v>
      </c>
      <c r="I585">
        <v>644.04</v>
      </c>
      <c r="J585">
        <v>644.04</v>
      </c>
      <c r="K585">
        <v>0</v>
      </c>
      <c r="L585">
        <v>0</v>
      </c>
      <c r="M585">
        <v>0</v>
      </c>
      <c r="N585">
        <v>644.04</v>
      </c>
      <c r="O585" s="14">
        <f t="shared" ca="1" si="9"/>
        <v>2310</v>
      </c>
      <c r="P585" t="s">
        <v>1066</v>
      </c>
    </row>
    <row r="586" spans="1:16" ht="12.75" customHeight="1" x14ac:dyDescent="0.2">
      <c r="A586" t="s">
        <v>604</v>
      </c>
      <c r="B586" t="s">
        <v>651</v>
      </c>
      <c r="C586" t="s">
        <v>552</v>
      </c>
      <c r="D586" t="s">
        <v>612</v>
      </c>
      <c r="E586" t="s">
        <v>399</v>
      </c>
      <c r="F586" s="1">
        <v>43865</v>
      </c>
      <c r="G586" s="1">
        <v>43879</v>
      </c>
      <c r="H586" t="s">
        <v>251</v>
      </c>
      <c r="I586">
        <v>240.79</v>
      </c>
      <c r="J586">
        <v>240.79</v>
      </c>
      <c r="K586">
        <v>0</v>
      </c>
      <c r="L586">
        <v>0</v>
      </c>
      <c r="M586">
        <v>0</v>
      </c>
      <c r="N586">
        <v>240.79</v>
      </c>
      <c r="O586" s="14">
        <f t="shared" ca="1" si="9"/>
        <v>2291</v>
      </c>
      <c r="P586" t="s">
        <v>1066</v>
      </c>
    </row>
    <row r="587" spans="1:16" ht="12.75" customHeight="1" x14ac:dyDescent="0.2">
      <c r="A587" t="s">
        <v>604</v>
      </c>
      <c r="B587" t="s">
        <v>651</v>
      </c>
      <c r="C587" t="s">
        <v>552</v>
      </c>
      <c r="D587" t="s">
        <v>612</v>
      </c>
      <c r="E587" t="s">
        <v>399</v>
      </c>
      <c r="F587" s="1">
        <v>43865</v>
      </c>
      <c r="G587" s="1">
        <v>43879</v>
      </c>
      <c r="H587" t="s">
        <v>185</v>
      </c>
      <c r="I587">
        <v>240.79</v>
      </c>
      <c r="J587">
        <v>240.79</v>
      </c>
      <c r="K587">
        <v>0</v>
      </c>
      <c r="L587">
        <v>0</v>
      </c>
      <c r="M587">
        <v>0</v>
      </c>
      <c r="N587">
        <v>240.79</v>
      </c>
      <c r="O587" s="14">
        <f t="shared" ca="1" si="9"/>
        <v>2291</v>
      </c>
      <c r="P587" t="s">
        <v>1066</v>
      </c>
    </row>
    <row r="588" spans="1:16" ht="12.75" customHeight="1" x14ac:dyDescent="0.2">
      <c r="A588" t="s">
        <v>604</v>
      </c>
      <c r="B588" t="s">
        <v>651</v>
      </c>
      <c r="C588" t="s">
        <v>552</v>
      </c>
      <c r="D588" t="s">
        <v>612</v>
      </c>
      <c r="E588" t="s">
        <v>399</v>
      </c>
      <c r="F588" s="1">
        <v>43899</v>
      </c>
      <c r="G588" s="1">
        <v>43913</v>
      </c>
      <c r="H588" t="s">
        <v>568</v>
      </c>
      <c r="I588">
        <v>30.25</v>
      </c>
      <c r="J588">
        <v>30.25</v>
      </c>
      <c r="K588">
        <v>0</v>
      </c>
      <c r="L588">
        <v>0</v>
      </c>
      <c r="M588">
        <v>0</v>
      </c>
      <c r="N588">
        <v>30.25</v>
      </c>
      <c r="O588" s="14">
        <f t="shared" ca="1" si="9"/>
        <v>2257</v>
      </c>
      <c r="P588" t="s">
        <v>1066</v>
      </c>
    </row>
    <row r="589" spans="1:16" ht="12.75" customHeight="1" x14ac:dyDescent="0.2">
      <c r="A589" t="s">
        <v>604</v>
      </c>
      <c r="B589" t="s">
        <v>651</v>
      </c>
      <c r="C589" t="s">
        <v>552</v>
      </c>
      <c r="D589" t="s">
        <v>612</v>
      </c>
      <c r="E589" t="s">
        <v>399</v>
      </c>
      <c r="F589" s="1">
        <v>43922</v>
      </c>
      <c r="G589" s="1">
        <v>43936</v>
      </c>
      <c r="H589" t="s">
        <v>1008</v>
      </c>
      <c r="I589">
        <v>30.25</v>
      </c>
      <c r="J589">
        <v>30.25</v>
      </c>
      <c r="K589">
        <v>0</v>
      </c>
      <c r="L589">
        <v>0</v>
      </c>
      <c r="M589">
        <v>0</v>
      </c>
      <c r="N589">
        <v>30.25</v>
      </c>
      <c r="O589" s="14">
        <f t="shared" ca="1" si="9"/>
        <v>2234</v>
      </c>
      <c r="P589" t="s">
        <v>1066</v>
      </c>
    </row>
    <row r="590" spans="1:16" ht="12.75" customHeight="1" x14ac:dyDescent="0.2">
      <c r="A590" t="s">
        <v>604</v>
      </c>
      <c r="B590" t="s">
        <v>651</v>
      </c>
      <c r="C590" t="s">
        <v>552</v>
      </c>
      <c r="D590" t="s">
        <v>612</v>
      </c>
      <c r="E590" t="s">
        <v>399</v>
      </c>
      <c r="F590" s="1">
        <v>43949</v>
      </c>
      <c r="G590" s="1">
        <v>43963</v>
      </c>
      <c r="H590" t="s">
        <v>167</v>
      </c>
      <c r="I590">
        <v>30.25</v>
      </c>
      <c r="J590">
        <v>30.25</v>
      </c>
      <c r="K590">
        <v>0</v>
      </c>
      <c r="L590">
        <v>0</v>
      </c>
      <c r="M590">
        <v>0</v>
      </c>
      <c r="N590">
        <v>30.25</v>
      </c>
      <c r="O590" s="14">
        <f t="shared" ca="1" si="9"/>
        <v>2207</v>
      </c>
      <c r="P590" t="s">
        <v>1066</v>
      </c>
    </row>
    <row r="591" spans="1:16" ht="12.75" customHeight="1" x14ac:dyDescent="0.2">
      <c r="A591" t="s">
        <v>604</v>
      </c>
      <c r="B591" t="s">
        <v>651</v>
      </c>
      <c r="C591" t="s">
        <v>552</v>
      </c>
      <c r="D591" t="s">
        <v>612</v>
      </c>
      <c r="E591" t="s">
        <v>399</v>
      </c>
      <c r="F591" s="1">
        <v>44166</v>
      </c>
      <c r="G591" s="1">
        <v>44180</v>
      </c>
      <c r="H591" t="s">
        <v>125</v>
      </c>
      <c r="I591">
        <v>30.25</v>
      </c>
      <c r="J591">
        <v>30.25</v>
      </c>
      <c r="K591">
        <v>0</v>
      </c>
      <c r="L591">
        <v>0</v>
      </c>
      <c r="M591">
        <v>0</v>
      </c>
      <c r="N591">
        <v>30.25</v>
      </c>
      <c r="O591" s="14">
        <f t="shared" ca="1" si="9"/>
        <v>1990</v>
      </c>
      <c r="P591" t="s">
        <v>1066</v>
      </c>
    </row>
    <row r="592" spans="1:16" ht="12.75" customHeight="1" x14ac:dyDescent="0.2">
      <c r="A592" t="s">
        <v>604</v>
      </c>
      <c r="B592" t="s">
        <v>651</v>
      </c>
      <c r="C592" t="s">
        <v>552</v>
      </c>
      <c r="D592" t="s">
        <v>612</v>
      </c>
      <c r="E592" t="s">
        <v>399</v>
      </c>
      <c r="F592" s="1">
        <v>44257</v>
      </c>
      <c r="G592" s="1">
        <v>44271</v>
      </c>
      <c r="H592" t="s">
        <v>1073</v>
      </c>
      <c r="I592">
        <v>30.25</v>
      </c>
      <c r="J592">
        <v>30.25</v>
      </c>
      <c r="K592">
        <v>0</v>
      </c>
      <c r="L592">
        <v>0</v>
      </c>
      <c r="M592">
        <v>0</v>
      </c>
      <c r="N592">
        <v>30.25</v>
      </c>
      <c r="O592" s="14">
        <f t="shared" ca="1" si="9"/>
        <v>1899</v>
      </c>
      <c r="P592" t="s">
        <v>1066</v>
      </c>
    </row>
    <row r="593" spans="1:16" ht="12.75" customHeight="1" x14ac:dyDescent="0.2">
      <c r="A593" t="s">
        <v>604</v>
      </c>
      <c r="B593" t="s">
        <v>651</v>
      </c>
      <c r="C593" t="s">
        <v>1288</v>
      </c>
      <c r="D593" t="s">
        <v>636</v>
      </c>
      <c r="E593" t="s">
        <v>399</v>
      </c>
      <c r="F593" s="1">
        <v>43042</v>
      </c>
      <c r="G593" s="1">
        <v>43072</v>
      </c>
      <c r="H593" t="s">
        <v>254</v>
      </c>
      <c r="I593">
        <v>1210</v>
      </c>
      <c r="J593">
        <v>1210</v>
      </c>
      <c r="K593">
        <v>0</v>
      </c>
      <c r="L593">
        <v>0</v>
      </c>
      <c r="M593">
        <v>0</v>
      </c>
      <c r="N593">
        <v>1210</v>
      </c>
      <c r="O593" s="14">
        <f t="shared" ca="1" si="9"/>
        <v>3098</v>
      </c>
      <c r="P593" t="s">
        <v>1066</v>
      </c>
    </row>
    <row r="594" spans="1:16" ht="12.75" customHeight="1" x14ac:dyDescent="0.2">
      <c r="A594" t="s">
        <v>604</v>
      </c>
      <c r="B594" t="s">
        <v>651</v>
      </c>
      <c r="C594" t="s">
        <v>771</v>
      </c>
      <c r="D594" t="s">
        <v>16</v>
      </c>
      <c r="E594" t="s">
        <v>399</v>
      </c>
      <c r="F594" s="1">
        <v>45048</v>
      </c>
      <c r="G594" s="1">
        <v>45062</v>
      </c>
      <c r="H594" t="s">
        <v>1303</v>
      </c>
      <c r="I594">
        <v>211.75</v>
      </c>
      <c r="J594">
        <v>211.75</v>
      </c>
      <c r="K594">
        <v>0</v>
      </c>
      <c r="L594">
        <v>0</v>
      </c>
      <c r="M594">
        <v>0</v>
      </c>
      <c r="N594">
        <v>211.75</v>
      </c>
      <c r="O594" s="14">
        <f t="shared" ca="1" si="9"/>
        <v>1108</v>
      </c>
      <c r="P594" t="s">
        <v>1066</v>
      </c>
    </row>
    <row r="595" spans="1:16" ht="12.75" customHeight="1" x14ac:dyDescent="0.2">
      <c r="A595" t="s">
        <v>604</v>
      </c>
      <c r="B595" t="s">
        <v>651</v>
      </c>
      <c r="C595" t="s">
        <v>771</v>
      </c>
      <c r="D595" t="s">
        <v>16</v>
      </c>
      <c r="E595" t="s">
        <v>399</v>
      </c>
      <c r="F595" s="1">
        <v>45295</v>
      </c>
      <c r="G595" s="1">
        <v>45309</v>
      </c>
      <c r="H595" t="s">
        <v>895</v>
      </c>
      <c r="I595">
        <v>338.8</v>
      </c>
      <c r="J595">
        <v>338.8</v>
      </c>
      <c r="K595">
        <v>0</v>
      </c>
      <c r="L595">
        <v>0</v>
      </c>
      <c r="M595">
        <v>0</v>
      </c>
      <c r="N595">
        <v>338.8</v>
      </c>
      <c r="O595" s="14">
        <f t="shared" ca="1" si="9"/>
        <v>861</v>
      </c>
      <c r="P595" t="s">
        <v>589</v>
      </c>
    </row>
    <row r="596" spans="1:16" ht="12.75" customHeight="1" x14ac:dyDescent="0.2">
      <c r="A596" t="s">
        <v>604</v>
      </c>
      <c r="B596" t="s">
        <v>651</v>
      </c>
      <c r="C596" t="s">
        <v>771</v>
      </c>
      <c r="D596" t="s">
        <v>16</v>
      </c>
      <c r="E596" t="s">
        <v>399</v>
      </c>
      <c r="F596" s="1">
        <v>45327</v>
      </c>
      <c r="G596" s="1">
        <v>45341</v>
      </c>
      <c r="H596" t="s">
        <v>152</v>
      </c>
      <c r="I596">
        <v>338.8</v>
      </c>
      <c r="J596">
        <v>338.8</v>
      </c>
      <c r="K596">
        <v>0</v>
      </c>
      <c r="L596">
        <v>0</v>
      </c>
      <c r="M596">
        <v>0</v>
      </c>
      <c r="N596">
        <v>338.8</v>
      </c>
      <c r="O596" s="14">
        <f t="shared" ca="1" si="9"/>
        <v>829</v>
      </c>
      <c r="P596" t="s">
        <v>589</v>
      </c>
    </row>
    <row r="597" spans="1:16" ht="12.75" customHeight="1" x14ac:dyDescent="0.2">
      <c r="A597" t="s">
        <v>604</v>
      </c>
      <c r="B597" t="s">
        <v>651</v>
      </c>
      <c r="C597" t="s">
        <v>771</v>
      </c>
      <c r="D597" t="s">
        <v>16</v>
      </c>
      <c r="E597" t="s">
        <v>399</v>
      </c>
      <c r="F597" s="1">
        <v>45357</v>
      </c>
      <c r="G597" s="1">
        <v>45371</v>
      </c>
      <c r="H597" t="s">
        <v>499</v>
      </c>
      <c r="I597">
        <v>338.8</v>
      </c>
      <c r="J597">
        <v>338.8</v>
      </c>
      <c r="K597">
        <v>0</v>
      </c>
      <c r="L597">
        <v>0</v>
      </c>
      <c r="M597">
        <v>0</v>
      </c>
      <c r="N597">
        <v>338.8</v>
      </c>
      <c r="O597" s="14">
        <f t="shared" ca="1" si="9"/>
        <v>799</v>
      </c>
      <c r="P597" t="s">
        <v>589</v>
      </c>
    </row>
    <row r="598" spans="1:16" ht="12.75" customHeight="1" x14ac:dyDescent="0.2">
      <c r="A598" t="s">
        <v>604</v>
      </c>
      <c r="B598" t="s">
        <v>651</v>
      </c>
      <c r="C598" t="s">
        <v>771</v>
      </c>
      <c r="D598" t="s">
        <v>16</v>
      </c>
      <c r="E598" t="s">
        <v>399</v>
      </c>
      <c r="F598" s="1">
        <v>45386</v>
      </c>
      <c r="G598" s="1">
        <v>45400</v>
      </c>
      <c r="H598" t="s">
        <v>289</v>
      </c>
      <c r="I598">
        <v>338.8</v>
      </c>
      <c r="J598">
        <v>338.8</v>
      </c>
      <c r="K598">
        <v>0</v>
      </c>
      <c r="L598">
        <v>0</v>
      </c>
      <c r="M598">
        <v>0</v>
      </c>
      <c r="N598">
        <v>338.8</v>
      </c>
      <c r="O598" s="14">
        <f t="shared" ca="1" si="9"/>
        <v>770</v>
      </c>
      <c r="P598" t="s">
        <v>589</v>
      </c>
    </row>
    <row r="599" spans="1:16" ht="12.75" customHeight="1" x14ac:dyDescent="0.2">
      <c r="A599" t="s">
        <v>604</v>
      </c>
      <c r="B599" t="s">
        <v>651</v>
      </c>
      <c r="C599" t="s">
        <v>771</v>
      </c>
      <c r="D599" t="s">
        <v>16</v>
      </c>
      <c r="E599" t="s">
        <v>399</v>
      </c>
      <c r="F599" s="1">
        <v>45412</v>
      </c>
      <c r="G599" s="1">
        <v>45426</v>
      </c>
      <c r="H599" t="s">
        <v>312</v>
      </c>
      <c r="I599">
        <v>2008.6</v>
      </c>
      <c r="J599">
        <v>2008.6</v>
      </c>
      <c r="K599">
        <v>0</v>
      </c>
      <c r="L599">
        <v>0</v>
      </c>
      <c r="M599">
        <v>0</v>
      </c>
      <c r="N599">
        <v>2008.6</v>
      </c>
      <c r="O599" s="14">
        <f t="shared" ca="1" si="9"/>
        <v>744</v>
      </c>
      <c r="P599" t="s">
        <v>589</v>
      </c>
    </row>
    <row r="600" spans="1:16" ht="12.75" customHeight="1" x14ac:dyDescent="0.2">
      <c r="A600" t="s">
        <v>604</v>
      </c>
      <c r="B600" t="s">
        <v>651</v>
      </c>
      <c r="C600" t="s">
        <v>1041</v>
      </c>
      <c r="D600" t="s">
        <v>1006</v>
      </c>
      <c r="E600" t="s">
        <v>399</v>
      </c>
      <c r="F600" s="1">
        <v>43922</v>
      </c>
      <c r="G600" s="1">
        <v>43936</v>
      </c>
      <c r="H600" t="s">
        <v>843</v>
      </c>
      <c r="I600">
        <v>30.25</v>
      </c>
      <c r="J600">
        <v>30.25</v>
      </c>
      <c r="K600">
        <v>0</v>
      </c>
      <c r="L600">
        <v>0</v>
      </c>
      <c r="M600">
        <v>0</v>
      </c>
      <c r="N600">
        <v>30.25</v>
      </c>
      <c r="O600" s="14">
        <f t="shared" ca="1" si="9"/>
        <v>2234</v>
      </c>
      <c r="P600" t="s">
        <v>1066</v>
      </c>
    </row>
    <row r="601" spans="1:16" ht="12.75" customHeight="1" x14ac:dyDescent="0.2">
      <c r="A601" t="s">
        <v>604</v>
      </c>
      <c r="B601" t="s">
        <v>651</v>
      </c>
      <c r="C601" t="s">
        <v>1041</v>
      </c>
      <c r="D601" t="s">
        <v>1006</v>
      </c>
      <c r="E601" t="s">
        <v>399</v>
      </c>
      <c r="F601" s="1">
        <v>43949</v>
      </c>
      <c r="G601" s="1">
        <v>43963</v>
      </c>
      <c r="H601" t="s">
        <v>1228</v>
      </c>
      <c r="I601">
        <v>30.25</v>
      </c>
      <c r="J601">
        <v>30.25</v>
      </c>
      <c r="K601">
        <v>0</v>
      </c>
      <c r="L601">
        <v>0</v>
      </c>
      <c r="M601">
        <v>0</v>
      </c>
      <c r="N601">
        <v>30.25</v>
      </c>
      <c r="O601" s="14">
        <f t="shared" ca="1" si="9"/>
        <v>2207</v>
      </c>
      <c r="P601" t="s">
        <v>1066</v>
      </c>
    </row>
    <row r="602" spans="1:16" ht="12.75" customHeight="1" x14ac:dyDescent="0.2">
      <c r="A602" t="s">
        <v>604</v>
      </c>
      <c r="B602" t="s">
        <v>651</v>
      </c>
      <c r="C602" t="s">
        <v>1041</v>
      </c>
      <c r="D602" t="s">
        <v>1006</v>
      </c>
      <c r="E602" t="s">
        <v>399</v>
      </c>
      <c r="F602" s="1">
        <v>44110</v>
      </c>
      <c r="G602" s="1">
        <v>44124</v>
      </c>
      <c r="H602" t="s">
        <v>720</v>
      </c>
      <c r="I602">
        <v>30.25</v>
      </c>
      <c r="J602">
        <v>30.25</v>
      </c>
      <c r="K602">
        <v>0</v>
      </c>
      <c r="L602">
        <v>0</v>
      </c>
      <c r="M602">
        <v>0</v>
      </c>
      <c r="N602">
        <v>30.25</v>
      </c>
      <c r="O602" s="14">
        <f t="shared" ca="1" si="9"/>
        <v>2046</v>
      </c>
      <c r="P602" t="s">
        <v>1066</v>
      </c>
    </row>
    <row r="603" spans="1:16" ht="12.75" customHeight="1" x14ac:dyDescent="0.2">
      <c r="A603" t="s">
        <v>604</v>
      </c>
      <c r="B603" t="s">
        <v>651</v>
      </c>
      <c r="C603" t="s">
        <v>1041</v>
      </c>
      <c r="D603" t="s">
        <v>1006</v>
      </c>
      <c r="E603" t="s">
        <v>399</v>
      </c>
      <c r="F603" s="1">
        <v>44138</v>
      </c>
      <c r="G603" s="1">
        <v>44152</v>
      </c>
      <c r="H603" t="s">
        <v>231</v>
      </c>
      <c r="I603">
        <v>30.25</v>
      </c>
      <c r="J603">
        <v>30.25</v>
      </c>
      <c r="K603">
        <v>0</v>
      </c>
      <c r="L603">
        <v>0</v>
      </c>
      <c r="M603">
        <v>0</v>
      </c>
      <c r="N603">
        <v>30.25</v>
      </c>
      <c r="O603" s="14">
        <f t="shared" ca="1" si="9"/>
        <v>2018</v>
      </c>
      <c r="P603" t="s">
        <v>1066</v>
      </c>
    </row>
    <row r="604" spans="1:16" ht="12.75" customHeight="1" x14ac:dyDescent="0.2">
      <c r="A604" t="s">
        <v>604</v>
      </c>
      <c r="B604" t="s">
        <v>651</v>
      </c>
      <c r="C604" t="s">
        <v>1041</v>
      </c>
      <c r="D604" t="s">
        <v>1006</v>
      </c>
      <c r="E604" t="s">
        <v>399</v>
      </c>
      <c r="F604" s="1">
        <v>44166</v>
      </c>
      <c r="G604" s="1">
        <v>44180</v>
      </c>
      <c r="H604" t="s">
        <v>440</v>
      </c>
      <c r="I604">
        <v>30.25</v>
      </c>
      <c r="J604">
        <v>30.25</v>
      </c>
      <c r="K604">
        <v>0</v>
      </c>
      <c r="L604">
        <v>0</v>
      </c>
      <c r="M604">
        <v>0</v>
      </c>
      <c r="N604">
        <v>30.25</v>
      </c>
      <c r="O604" s="14">
        <f t="shared" ca="1" si="9"/>
        <v>1990</v>
      </c>
      <c r="P604" t="s">
        <v>1066</v>
      </c>
    </row>
    <row r="605" spans="1:16" ht="12.75" customHeight="1" x14ac:dyDescent="0.2">
      <c r="A605" t="s">
        <v>604</v>
      </c>
      <c r="B605" t="s">
        <v>651</v>
      </c>
      <c r="C605" t="s">
        <v>1041</v>
      </c>
      <c r="D605" t="s">
        <v>1006</v>
      </c>
      <c r="E605" t="s">
        <v>399</v>
      </c>
      <c r="F605" s="1">
        <v>44257</v>
      </c>
      <c r="G605" s="1">
        <v>44271</v>
      </c>
      <c r="H605" t="s">
        <v>1290</v>
      </c>
      <c r="I605">
        <v>30.25</v>
      </c>
      <c r="J605">
        <v>30.25</v>
      </c>
      <c r="K605">
        <v>0</v>
      </c>
      <c r="L605">
        <v>0</v>
      </c>
      <c r="M605">
        <v>0</v>
      </c>
      <c r="N605">
        <v>30.25</v>
      </c>
      <c r="O605" s="14">
        <f t="shared" ca="1" si="9"/>
        <v>1899</v>
      </c>
      <c r="P605" t="s">
        <v>1066</v>
      </c>
    </row>
    <row r="606" spans="1:16" ht="12.75" customHeight="1" x14ac:dyDescent="0.2">
      <c r="A606" t="s">
        <v>604</v>
      </c>
      <c r="B606" t="s">
        <v>651</v>
      </c>
      <c r="C606" t="s">
        <v>455</v>
      </c>
      <c r="D606" t="s">
        <v>864</v>
      </c>
      <c r="E606" t="s">
        <v>399</v>
      </c>
      <c r="F606" s="1">
        <v>44249</v>
      </c>
      <c r="G606" s="1">
        <v>44279</v>
      </c>
      <c r="H606" t="s">
        <v>630</v>
      </c>
      <c r="I606">
        <v>848.52</v>
      </c>
      <c r="J606">
        <v>848.52</v>
      </c>
      <c r="K606">
        <v>0</v>
      </c>
      <c r="L606">
        <v>0</v>
      </c>
      <c r="M606">
        <v>0</v>
      </c>
      <c r="N606">
        <v>848.52</v>
      </c>
      <c r="O606" s="14">
        <f t="shared" ca="1" si="9"/>
        <v>1891</v>
      </c>
      <c r="P606" t="s">
        <v>1066</v>
      </c>
    </row>
    <row r="607" spans="1:16" ht="12.75" customHeight="1" x14ac:dyDescent="0.2">
      <c r="A607" t="s">
        <v>604</v>
      </c>
      <c r="B607" t="s">
        <v>651</v>
      </c>
      <c r="C607" t="s">
        <v>455</v>
      </c>
      <c r="D607" t="s">
        <v>864</v>
      </c>
      <c r="E607" t="s">
        <v>399</v>
      </c>
      <c r="F607" s="1">
        <v>46104</v>
      </c>
      <c r="G607" s="1">
        <v>46134</v>
      </c>
      <c r="H607" t="s">
        <v>1211</v>
      </c>
      <c r="I607">
        <v>500</v>
      </c>
      <c r="J607">
        <v>500</v>
      </c>
      <c r="K607">
        <v>0</v>
      </c>
      <c r="L607">
        <v>500</v>
      </c>
      <c r="M607">
        <v>0</v>
      </c>
      <c r="N607">
        <v>0</v>
      </c>
      <c r="O607" s="14">
        <f t="shared" ca="1" si="9"/>
        <v>36</v>
      </c>
      <c r="P607" t="s">
        <v>589</v>
      </c>
    </row>
    <row r="608" spans="1:16" ht="12.75" customHeight="1" x14ac:dyDescent="0.2">
      <c r="A608" t="s">
        <v>604</v>
      </c>
      <c r="B608" t="s">
        <v>651</v>
      </c>
      <c r="C608" t="s">
        <v>455</v>
      </c>
      <c r="D608" t="s">
        <v>864</v>
      </c>
      <c r="E608" t="s">
        <v>399</v>
      </c>
      <c r="F608" s="1">
        <v>46111</v>
      </c>
      <c r="G608" s="1">
        <v>46141</v>
      </c>
      <c r="H608" t="s">
        <v>121</v>
      </c>
      <c r="I608">
        <v>-500</v>
      </c>
      <c r="J608">
        <v>-500</v>
      </c>
      <c r="K608">
        <v>-500</v>
      </c>
      <c r="L608">
        <v>0</v>
      </c>
      <c r="M608">
        <v>0</v>
      </c>
      <c r="N608">
        <v>0</v>
      </c>
      <c r="O608" s="14">
        <f t="shared" ca="1" si="9"/>
        <v>29</v>
      </c>
      <c r="P608" t="s">
        <v>589</v>
      </c>
    </row>
    <row r="609" spans="1:16" ht="12.75" customHeight="1" x14ac:dyDescent="0.2">
      <c r="A609" t="s">
        <v>604</v>
      </c>
      <c r="B609" t="s">
        <v>651</v>
      </c>
      <c r="C609" t="s">
        <v>1280</v>
      </c>
      <c r="D609" t="s">
        <v>8</v>
      </c>
      <c r="E609" t="s">
        <v>399</v>
      </c>
      <c r="F609" s="1">
        <v>44573</v>
      </c>
      <c r="G609" s="1">
        <v>44603</v>
      </c>
      <c r="H609" t="s">
        <v>744</v>
      </c>
      <c r="I609">
        <v>2242.38</v>
      </c>
      <c r="J609">
        <v>27</v>
      </c>
      <c r="K609">
        <v>0</v>
      </c>
      <c r="L609">
        <v>0</v>
      </c>
      <c r="M609">
        <v>0</v>
      </c>
      <c r="N609">
        <v>27</v>
      </c>
      <c r="O609" s="14">
        <f t="shared" ca="1" si="9"/>
        <v>1567</v>
      </c>
      <c r="P609" t="s">
        <v>1066</v>
      </c>
    </row>
    <row r="610" spans="1:16" ht="12.75" customHeight="1" x14ac:dyDescent="0.2">
      <c r="A610" t="s">
        <v>604</v>
      </c>
      <c r="B610" t="s">
        <v>651</v>
      </c>
      <c r="C610" t="s">
        <v>1280</v>
      </c>
      <c r="D610" t="s">
        <v>8</v>
      </c>
      <c r="E610" t="s">
        <v>399</v>
      </c>
      <c r="F610" s="1">
        <v>46112</v>
      </c>
      <c r="G610" s="1">
        <v>46142</v>
      </c>
      <c r="H610" t="s">
        <v>123</v>
      </c>
      <c r="I610">
        <v>500</v>
      </c>
      <c r="J610">
        <v>500</v>
      </c>
      <c r="K610">
        <v>500</v>
      </c>
      <c r="L610">
        <v>0</v>
      </c>
      <c r="M610">
        <v>0</v>
      </c>
      <c r="N610">
        <v>0</v>
      </c>
      <c r="O610" s="14">
        <f t="shared" ca="1" si="9"/>
        <v>28</v>
      </c>
      <c r="P610" t="s">
        <v>589</v>
      </c>
    </row>
    <row r="611" spans="1:16" ht="12.75" customHeight="1" x14ac:dyDescent="0.2">
      <c r="A611" t="s">
        <v>604</v>
      </c>
      <c r="B611" t="s">
        <v>651</v>
      </c>
      <c r="C611" t="s">
        <v>1280</v>
      </c>
      <c r="D611" t="s">
        <v>8</v>
      </c>
      <c r="E611" t="s">
        <v>399</v>
      </c>
      <c r="F611" s="1">
        <v>46118</v>
      </c>
      <c r="G611" s="1">
        <v>46148</v>
      </c>
      <c r="H611" t="s">
        <v>511</v>
      </c>
      <c r="I611">
        <v>3278.55</v>
      </c>
      <c r="J611">
        <v>3278.55</v>
      </c>
      <c r="K611">
        <v>3278.55</v>
      </c>
      <c r="L611">
        <v>0</v>
      </c>
      <c r="M611">
        <v>0</v>
      </c>
      <c r="N611">
        <v>0</v>
      </c>
      <c r="O611" s="14">
        <f t="shared" ca="1" si="9"/>
        <v>22</v>
      </c>
      <c r="P611" t="s">
        <v>589</v>
      </c>
    </row>
    <row r="612" spans="1:16" ht="12.75" customHeight="1" x14ac:dyDescent="0.2">
      <c r="A612" t="s">
        <v>604</v>
      </c>
      <c r="B612" t="s">
        <v>651</v>
      </c>
      <c r="C612" t="s">
        <v>1280</v>
      </c>
      <c r="D612" t="s">
        <v>8</v>
      </c>
      <c r="E612" t="s">
        <v>399</v>
      </c>
      <c r="F612" s="1">
        <v>46119</v>
      </c>
      <c r="G612" s="1">
        <v>46149</v>
      </c>
      <c r="H612" t="s">
        <v>514</v>
      </c>
      <c r="I612">
        <v>-3278.55</v>
      </c>
      <c r="J612">
        <v>-3278.55</v>
      </c>
      <c r="K612">
        <v>-3278.55</v>
      </c>
      <c r="L612">
        <v>0</v>
      </c>
      <c r="M612">
        <v>0</v>
      </c>
      <c r="N612">
        <v>0</v>
      </c>
      <c r="O612" s="14">
        <f t="shared" ca="1" si="9"/>
        <v>21</v>
      </c>
      <c r="P612" t="s">
        <v>589</v>
      </c>
    </row>
    <row r="613" spans="1:16" ht="12.75" customHeight="1" x14ac:dyDescent="0.2">
      <c r="A613" t="s">
        <v>604</v>
      </c>
      <c r="B613" t="s">
        <v>651</v>
      </c>
      <c r="C613" t="s">
        <v>279</v>
      </c>
      <c r="D613" t="s">
        <v>349</v>
      </c>
      <c r="E613" t="s">
        <v>399</v>
      </c>
      <c r="F613" s="1">
        <v>45691</v>
      </c>
      <c r="G613" s="1">
        <v>45705</v>
      </c>
      <c r="H613" t="s">
        <v>407</v>
      </c>
      <c r="I613">
        <v>363</v>
      </c>
      <c r="J613">
        <v>363</v>
      </c>
      <c r="K613">
        <v>0</v>
      </c>
      <c r="L613">
        <v>0</v>
      </c>
      <c r="M613">
        <v>0</v>
      </c>
      <c r="N613">
        <v>363</v>
      </c>
      <c r="O613" s="14">
        <f t="shared" ca="1" si="9"/>
        <v>465</v>
      </c>
      <c r="P613" t="s">
        <v>589</v>
      </c>
    </row>
    <row r="614" spans="1:16" ht="12.75" customHeight="1" x14ac:dyDescent="0.2">
      <c r="A614" t="s">
        <v>604</v>
      </c>
      <c r="B614" t="s">
        <v>651</v>
      </c>
      <c r="C614" t="s">
        <v>1051</v>
      </c>
      <c r="D614" t="s">
        <v>1174</v>
      </c>
      <c r="E614" t="s">
        <v>1150</v>
      </c>
      <c r="F614" s="1">
        <v>45657</v>
      </c>
      <c r="G614" s="1">
        <v>45687</v>
      </c>
      <c r="H614" t="s">
        <v>900</v>
      </c>
      <c r="I614">
        <v>-3710.5</v>
      </c>
      <c r="J614">
        <v>-3710.5</v>
      </c>
      <c r="K614">
        <v>0</v>
      </c>
      <c r="L614">
        <v>0</v>
      </c>
      <c r="M614">
        <v>0</v>
      </c>
      <c r="N614">
        <v>-3710.5</v>
      </c>
      <c r="O614" s="14">
        <f t="shared" ca="1" si="9"/>
        <v>483</v>
      </c>
      <c r="P614" t="s">
        <v>589</v>
      </c>
    </row>
    <row r="615" spans="1:16" ht="12.75" customHeight="1" x14ac:dyDescent="0.2">
      <c r="A615" t="s">
        <v>604</v>
      </c>
      <c r="B615" t="s">
        <v>651</v>
      </c>
      <c r="C615" t="s">
        <v>1051</v>
      </c>
      <c r="D615" t="s">
        <v>1174</v>
      </c>
      <c r="E615" t="s">
        <v>1150</v>
      </c>
      <c r="F615" s="1">
        <v>46022</v>
      </c>
      <c r="G615" s="1">
        <v>46052</v>
      </c>
      <c r="H615" t="s">
        <v>900</v>
      </c>
      <c r="I615">
        <v>-539.5</v>
      </c>
      <c r="J615">
        <v>-539.5</v>
      </c>
      <c r="K615">
        <v>0</v>
      </c>
      <c r="L615">
        <v>0</v>
      </c>
      <c r="M615">
        <v>0</v>
      </c>
      <c r="N615">
        <v>-539.5</v>
      </c>
      <c r="O615" s="14">
        <f t="shared" ca="1" si="9"/>
        <v>118</v>
      </c>
      <c r="P615" t="s">
        <v>589</v>
      </c>
    </row>
    <row r="616" spans="1:16" ht="12.75" customHeight="1" x14ac:dyDescent="0.2">
      <c r="A616" t="s">
        <v>604</v>
      </c>
      <c r="B616" t="s">
        <v>651</v>
      </c>
      <c r="C616" t="s">
        <v>853</v>
      </c>
      <c r="D616" t="s">
        <v>766</v>
      </c>
      <c r="E616" t="s">
        <v>399</v>
      </c>
      <c r="F616" s="1">
        <v>44110</v>
      </c>
      <c r="G616" s="1">
        <v>44140</v>
      </c>
      <c r="H616" t="s">
        <v>1079</v>
      </c>
      <c r="I616">
        <v>240.79</v>
      </c>
      <c r="J616">
        <v>130.07</v>
      </c>
      <c r="K616">
        <v>0</v>
      </c>
      <c r="L616">
        <v>0</v>
      </c>
      <c r="M616">
        <v>0</v>
      </c>
      <c r="N616">
        <v>130.07</v>
      </c>
      <c r="O616" s="14">
        <f t="shared" ca="1" si="9"/>
        <v>2030</v>
      </c>
      <c r="P616" t="s">
        <v>1066</v>
      </c>
    </row>
    <row r="617" spans="1:16" ht="12.75" customHeight="1" x14ac:dyDescent="0.2">
      <c r="A617" t="s">
        <v>604</v>
      </c>
      <c r="B617" t="s">
        <v>651</v>
      </c>
      <c r="C617" t="s">
        <v>853</v>
      </c>
      <c r="D617" t="s">
        <v>766</v>
      </c>
      <c r="E617" t="s">
        <v>399</v>
      </c>
      <c r="F617" s="1">
        <v>44138</v>
      </c>
      <c r="G617" s="1">
        <v>44168</v>
      </c>
      <c r="H617" t="s">
        <v>610</v>
      </c>
      <c r="I617">
        <v>240.79</v>
      </c>
      <c r="J617">
        <v>240.79</v>
      </c>
      <c r="K617">
        <v>0</v>
      </c>
      <c r="L617">
        <v>0</v>
      </c>
      <c r="M617">
        <v>0</v>
      </c>
      <c r="N617">
        <v>240.79</v>
      </c>
      <c r="O617" s="14">
        <f t="shared" ca="1" si="9"/>
        <v>2002</v>
      </c>
      <c r="P617" t="s">
        <v>1066</v>
      </c>
    </row>
    <row r="618" spans="1:16" ht="12.75" customHeight="1" x14ac:dyDescent="0.2">
      <c r="A618" t="s">
        <v>604</v>
      </c>
      <c r="B618" t="s">
        <v>651</v>
      </c>
      <c r="C618" t="s">
        <v>853</v>
      </c>
      <c r="D618" t="s">
        <v>766</v>
      </c>
      <c r="E618" t="s">
        <v>399</v>
      </c>
      <c r="F618" s="1">
        <v>44166</v>
      </c>
      <c r="G618" s="1">
        <v>44196</v>
      </c>
      <c r="H618" t="s">
        <v>1090</v>
      </c>
      <c r="I618">
        <v>240.79</v>
      </c>
      <c r="J618">
        <v>240.79</v>
      </c>
      <c r="K618">
        <v>0</v>
      </c>
      <c r="L618">
        <v>0</v>
      </c>
      <c r="M618">
        <v>0</v>
      </c>
      <c r="N618">
        <v>240.79</v>
      </c>
      <c r="O618" s="14">
        <f t="shared" ca="1" si="9"/>
        <v>1974</v>
      </c>
      <c r="P618" t="s">
        <v>1066</v>
      </c>
    </row>
    <row r="619" spans="1:16" ht="12.75" customHeight="1" x14ac:dyDescent="0.2">
      <c r="A619" t="s">
        <v>604</v>
      </c>
      <c r="B619" t="s">
        <v>651</v>
      </c>
      <c r="C619" t="s">
        <v>853</v>
      </c>
      <c r="D619" t="s">
        <v>766</v>
      </c>
      <c r="E619" t="s">
        <v>399</v>
      </c>
      <c r="F619" s="1">
        <v>44203</v>
      </c>
      <c r="G619" s="1">
        <v>44233</v>
      </c>
      <c r="H619" t="s">
        <v>182</v>
      </c>
      <c r="I619">
        <v>240.79</v>
      </c>
      <c r="J619">
        <v>240.79</v>
      </c>
      <c r="K619">
        <v>0</v>
      </c>
      <c r="L619">
        <v>0</v>
      </c>
      <c r="M619">
        <v>0</v>
      </c>
      <c r="N619">
        <v>240.79</v>
      </c>
      <c r="O619" s="14">
        <f t="shared" ca="1" si="9"/>
        <v>1937</v>
      </c>
      <c r="P619" t="s">
        <v>1066</v>
      </c>
    </row>
    <row r="620" spans="1:16" ht="12.75" customHeight="1" x14ac:dyDescent="0.2">
      <c r="A620" t="s">
        <v>604</v>
      </c>
      <c r="B620" t="s">
        <v>651</v>
      </c>
      <c r="C620" t="s">
        <v>853</v>
      </c>
      <c r="D620" t="s">
        <v>766</v>
      </c>
      <c r="E620" t="s">
        <v>399</v>
      </c>
      <c r="F620" s="1">
        <v>44243</v>
      </c>
      <c r="G620" s="1">
        <v>44273</v>
      </c>
      <c r="H620" t="s">
        <v>105</v>
      </c>
      <c r="I620">
        <v>240.79</v>
      </c>
      <c r="J620">
        <v>240.79</v>
      </c>
      <c r="K620">
        <v>0</v>
      </c>
      <c r="L620">
        <v>0</v>
      </c>
      <c r="M620">
        <v>0</v>
      </c>
      <c r="N620">
        <v>240.79</v>
      </c>
      <c r="O620" s="14">
        <f t="shared" ca="1" si="9"/>
        <v>1897</v>
      </c>
      <c r="P620" t="s">
        <v>1066</v>
      </c>
    </row>
    <row r="621" spans="1:16" ht="12.75" customHeight="1" x14ac:dyDescent="0.2">
      <c r="A621" t="s">
        <v>604</v>
      </c>
      <c r="B621" t="s">
        <v>651</v>
      </c>
      <c r="C621" t="s">
        <v>853</v>
      </c>
      <c r="D621" t="s">
        <v>766</v>
      </c>
      <c r="E621" t="s">
        <v>399</v>
      </c>
      <c r="F621" s="1">
        <v>44257</v>
      </c>
      <c r="G621" s="1">
        <v>44287</v>
      </c>
      <c r="H621" t="s">
        <v>326</v>
      </c>
      <c r="I621">
        <v>240.79</v>
      </c>
      <c r="J621">
        <v>240.79</v>
      </c>
      <c r="K621">
        <v>0</v>
      </c>
      <c r="L621">
        <v>0</v>
      </c>
      <c r="M621">
        <v>0</v>
      </c>
      <c r="N621">
        <v>240.79</v>
      </c>
      <c r="O621" s="14">
        <f t="shared" ca="1" si="9"/>
        <v>1883</v>
      </c>
      <c r="P621" t="s">
        <v>1066</v>
      </c>
    </row>
    <row r="622" spans="1:16" ht="12.75" customHeight="1" x14ac:dyDescent="0.2">
      <c r="A622" t="s">
        <v>604</v>
      </c>
      <c r="B622" t="s">
        <v>651</v>
      </c>
      <c r="C622" t="s">
        <v>853</v>
      </c>
      <c r="D622" t="s">
        <v>766</v>
      </c>
      <c r="E622" t="s">
        <v>399</v>
      </c>
      <c r="F622" s="1">
        <v>44285</v>
      </c>
      <c r="G622" s="1">
        <v>44315</v>
      </c>
      <c r="H622" t="s">
        <v>13</v>
      </c>
      <c r="I622">
        <v>240.79</v>
      </c>
      <c r="J622">
        <v>240.79</v>
      </c>
      <c r="K622">
        <v>0</v>
      </c>
      <c r="L622">
        <v>0</v>
      </c>
      <c r="M622">
        <v>0</v>
      </c>
      <c r="N622">
        <v>240.79</v>
      </c>
      <c r="O622" s="14">
        <f t="shared" ca="1" si="9"/>
        <v>1855</v>
      </c>
      <c r="P622" t="s">
        <v>1066</v>
      </c>
    </row>
    <row r="623" spans="1:16" ht="12.75" customHeight="1" x14ac:dyDescent="0.2">
      <c r="A623" t="s">
        <v>604</v>
      </c>
      <c r="B623" t="s">
        <v>651</v>
      </c>
      <c r="C623" t="s">
        <v>853</v>
      </c>
      <c r="D623" t="s">
        <v>766</v>
      </c>
      <c r="E623" t="s">
        <v>399</v>
      </c>
      <c r="F623" s="1">
        <v>44350</v>
      </c>
      <c r="G623" s="1">
        <v>44380</v>
      </c>
      <c r="H623" t="s">
        <v>517</v>
      </c>
      <c r="I623">
        <v>24.2</v>
      </c>
      <c r="J623">
        <v>24.2</v>
      </c>
      <c r="K623">
        <v>0</v>
      </c>
      <c r="L623">
        <v>0</v>
      </c>
      <c r="M623">
        <v>0</v>
      </c>
      <c r="N623">
        <v>24.2</v>
      </c>
      <c r="O623" s="14">
        <f t="shared" ca="1" si="9"/>
        <v>1790</v>
      </c>
      <c r="P623" t="s">
        <v>1066</v>
      </c>
    </row>
    <row r="624" spans="1:16" ht="12.75" customHeight="1" x14ac:dyDescent="0.2">
      <c r="A624" t="s">
        <v>604</v>
      </c>
      <c r="B624" t="s">
        <v>651</v>
      </c>
      <c r="C624" t="s">
        <v>776</v>
      </c>
      <c r="D624" t="s">
        <v>551</v>
      </c>
      <c r="E624" t="s">
        <v>399</v>
      </c>
      <c r="F624" s="1">
        <v>42948</v>
      </c>
      <c r="G624" s="1">
        <v>42978</v>
      </c>
      <c r="H624" t="s">
        <v>228</v>
      </c>
      <c r="I624">
        <v>3708.68</v>
      </c>
      <c r="J624">
        <v>2571.33</v>
      </c>
      <c r="K624">
        <v>0</v>
      </c>
      <c r="L624">
        <v>0</v>
      </c>
      <c r="M624">
        <v>0</v>
      </c>
      <c r="N624">
        <v>2571.33</v>
      </c>
      <c r="O624" s="14">
        <f t="shared" ca="1" si="9"/>
        <v>3192</v>
      </c>
      <c r="P624" t="s">
        <v>1066</v>
      </c>
    </row>
    <row r="625" spans="1:16" ht="12.75" customHeight="1" x14ac:dyDescent="0.2">
      <c r="A625" t="s">
        <v>604</v>
      </c>
      <c r="B625" t="s">
        <v>651</v>
      </c>
      <c r="C625" t="s">
        <v>42</v>
      </c>
      <c r="D625" t="s">
        <v>319</v>
      </c>
      <c r="E625" t="s">
        <v>399</v>
      </c>
      <c r="F625" s="1">
        <v>43679</v>
      </c>
      <c r="G625" s="1">
        <v>43709</v>
      </c>
      <c r="H625" t="s">
        <v>1165</v>
      </c>
      <c r="I625">
        <v>4640.37</v>
      </c>
      <c r="J625">
        <v>4640.37</v>
      </c>
      <c r="K625">
        <v>0</v>
      </c>
      <c r="L625">
        <v>0</v>
      </c>
      <c r="M625">
        <v>0</v>
      </c>
      <c r="N625">
        <v>4640.37</v>
      </c>
      <c r="O625" s="14">
        <f t="shared" ca="1" si="9"/>
        <v>2461</v>
      </c>
      <c r="P625" t="s">
        <v>1066</v>
      </c>
    </row>
    <row r="626" spans="1:16" ht="12.75" customHeight="1" x14ac:dyDescent="0.2">
      <c r="A626" t="s">
        <v>604</v>
      </c>
      <c r="B626" t="s">
        <v>651</v>
      </c>
      <c r="C626" t="s">
        <v>273</v>
      </c>
      <c r="D626" t="s">
        <v>739</v>
      </c>
      <c r="E626" t="s">
        <v>399</v>
      </c>
      <c r="F626" s="1">
        <v>45048</v>
      </c>
      <c r="G626" s="1">
        <v>45062</v>
      </c>
      <c r="H626" t="s">
        <v>1058</v>
      </c>
      <c r="I626">
        <v>180.29</v>
      </c>
      <c r="J626">
        <v>180.29</v>
      </c>
      <c r="K626">
        <v>0</v>
      </c>
      <c r="L626">
        <v>0</v>
      </c>
      <c r="M626">
        <v>0</v>
      </c>
      <c r="N626">
        <v>180.29</v>
      </c>
      <c r="O626" s="14">
        <f t="shared" ca="1" si="9"/>
        <v>1108</v>
      </c>
      <c r="P626" t="s">
        <v>1066</v>
      </c>
    </row>
    <row r="627" spans="1:16" ht="12.75" customHeight="1" x14ac:dyDescent="0.2">
      <c r="A627" t="s">
        <v>604</v>
      </c>
      <c r="B627" t="s">
        <v>651</v>
      </c>
      <c r="C627" t="s">
        <v>273</v>
      </c>
      <c r="D627" t="s">
        <v>739</v>
      </c>
      <c r="E627" t="s">
        <v>399</v>
      </c>
      <c r="F627" s="1">
        <v>45082</v>
      </c>
      <c r="G627" s="1">
        <v>45096</v>
      </c>
      <c r="H627" t="s">
        <v>1213</v>
      </c>
      <c r="I627">
        <v>180.29</v>
      </c>
      <c r="J627">
        <v>180.29</v>
      </c>
      <c r="K627">
        <v>0</v>
      </c>
      <c r="L627">
        <v>0</v>
      </c>
      <c r="M627">
        <v>0</v>
      </c>
      <c r="N627">
        <v>180.29</v>
      </c>
      <c r="O627" s="14">
        <f t="shared" ca="1" si="9"/>
        <v>1074</v>
      </c>
      <c r="P627" t="s">
        <v>1066</v>
      </c>
    </row>
    <row r="628" spans="1:16" ht="12.75" customHeight="1" x14ac:dyDescent="0.2">
      <c r="A628" t="s">
        <v>604</v>
      </c>
      <c r="B628" t="s">
        <v>651</v>
      </c>
      <c r="C628" t="s">
        <v>273</v>
      </c>
      <c r="D628" t="s">
        <v>739</v>
      </c>
      <c r="E628" t="s">
        <v>399</v>
      </c>
      <c r="F628" s="1">
        <v>45110</v>
      </c>
      <c r="G628" s="1">
        <v>45124</v>
      </c>
      <c r="H628" t="s">
        <v>663</v>
      </c>
      <c r="I628">
        <v>180.29</v>
      </c>
      <c r="J628">
        <v>180.29</v>
      </c>
      <c r="K628">
        <v>0</v>
      </c>
      <c r="L628">
        <v>0</v>
      </c>
      <c r="M628">
        <v>0</v>
      </c>
      <c r="N628">
        <v>180.29</v>
      </c>
      <c r="O628" s="14">
        <f t="shared" ca="1" si="9"/>
        <v>1046</v>
      </c>
      <c r="P628" t="s">
        <v>1066</v>
      </c>
    </row>
    <row r="629" spans="1:16" ht="12.75" customHeight="1" x14ac:dyDescent="0.2">
      <c r="A629" t="s">
        <v>604</v>
      </c>
      <c r="B629" t="s">
        <v>651</v>
      </c>
      <c r="C629" t="s">
        <v>273</v>
      </c>
      <c r="D629" t="s">
        <v>739</v>
      </c>
      <c r="E629" t="s">
        <v>399</v>
      </c>
      <c r="F629" s="1">
        <v>45141</v>
      </c>
      <c r="G629" s="1">
        <v>45155</v>
      </c>
      <c r="H629" t="s">
        <v>972</v>
      </c>
      <c r="I629">
        <v>180.29</v>
      </c>
      <c r="J629">
        <v>180.29</v>
      </c>
      <c r="K629">
        <v>0</v>
      </c>
      <c r="L629">
        <v>0</v>
      </c>
      <c r="M629">
        <v>0</v>
      </c>
      <c r="N629">
        <v>180.29</v>
      </c>
      <c r="O629" s="14">
        <f t="shared" ca="1" si="9"/>
        <v>1015</v>
      </c>
      <c r="P629" t="s">
        <v>1066</v>
      </c>
    </row>
    <row r="630" spans="1:16" ht="12.75" customHeight="1" x14ac:dyDescent="0.2">
      <c r="A630" t="s">
        <v>604</v>
      </c>
      <c r="B630" t="s">
        <v>651</v>
      </c>
      <c r="C630" t="s">
        <v>273</v>
      </c>
      <c r="D630" t="s">
        <v>739</v>
      </c>
      <c r="E630" t="s">
        <v>399</v>
      </c>
      <c r="F630" s="1">
        <v>45174</v>
      </c>
      <c r="G630" s="1">
        <v>45188</v>
      </c>
      <c r="H630" t="s">
        <v>39</v>
      </c>
      <c r="I630">
        <v>180.29</v>
      </c>
      <c r="J630">
        <v>180.29</v>
      </c>
      <c r="K630">
        <v>0</v>
      </c>
      <c r="L630">
        <v>0</v>
      </c>
      <c r="M630">
        <v>0</v>
      </c>
      <c r="N630">
        <v>180.29</v>
      </c>
      <c r="O630" s="14">
        <f t="shared" ca="1" si="9"/>
        <v>982</v>
      </c>
      <c r="P630" t="s">
        <v>1066</v>
      </c>
    </row>
    <row r="631" spans="1:16" ht="12.75" customHeight="1" x14ac:dyDescent="0.2">
      <c r="A631" t="s">
        <v>604</v>
      </c>
      <c r="B631" t="s">
        <v>651</v>
      </c>
      <c r="C631" t="s">
        <v>273</v>
      </c>
      <c r="D631" t="s">
        <v>739</v>
      </c>
      <c r="E631" t="s">
        <v>399</v>
      </c>
      <c r="F631" s="1">
        <v>45202</v>
      </c>
      <c r="G631" s="1">
        <v>45216</v>
      </c>
      <c r="H631" t="s">
        <v>946</v>
      </c>
      <c r="I631">
        <v>180.29</v>
      </c>
      <c r="J631">
        <v>180.29</v>
      </c>
      <c r="K631">
        <v>0</v>
      </c>
      <c r="L631">
        <v>0</v>
      </c>
      <c r="M631">
        <v>0</v>
      </c>
      <c r="N631">
        <v>180.29</v>
      </c>
      <c r="O631" s="14">
        <f t="shared" ca="1" si="9"/>
        <v>954</v>
      </c>
      <c r="P631" t="s">
        <v>1066</v>
      </c>
    </row>
    <row r="632" spans="1:16" ht="12.75" customHeight="1" x14ac:dyDescent="0.2">
      <c r="A632" t="s">
        <v>604</v>
      </c>
      <c r="B632" t="s">
        <v>651</v>
      </c>
      <c r="C632" t="s">
        <v>273</v>
      </c>
      <c r="D632" t="s">
        <v>739</v>
      </c>
      <c r="E632" t="s">
        <v>399</v>
      </c>
      <c r="F632" s="1">
        <v>45295</v>
      </c>
      <c r="G632" s="1">
        <v>45309</v>
      </c>
      <c r="H632" t="s">
        <v>711</v>
      </c>
      <c r="I632">
        <v>180.29</v>
      </c>
      <c r="J632">
        <v>180.29</v>
      </c>
      <c r="K632">
        <v>0</v>
      </c>
      <c r="L632">
        <v>0</v>
      </c>
      <c r="M632">
        <v>0</v>
      </c>
      <c r="N632">
        <v>180.29</v>
      </c>
      <c r="O632" s="14">
        <f t="shared" ca="1" si="9"/>
        <v>861</v>
      </c>
      <c r="P632" t="s">
        <v>589</v>
      </c>
    </row>
    <row r="633" spans="1:16" ht="12.75" customHeight="1" x14ac:dyDescent="0.2">
      <c r="A633" t="s">
        <v>604</v>
      </c>
      <c r="B633" t="s">
        <v>651</v>
      </c>
      <c r="C633" t="s">
        <v>273</v>
      </c>
      <c r="D633" t="s">
        <v>739</v>
      </c>
      <c r="E633" t="s">
        <v>399</v>
      </c>
      <c r="F633" s="1">
        <v>45386</v>
      </c>
      <c r="G633" s="1">
        <v>45400</v>
      </c>
      <c r="H633" t="s">
        <v>979</v>
      </c>
      <c r="I633">
        <v>180.29</v>
      </c>
      <c r="J633">
        <v>180.29</v>
      </c>
      <c r="K633">
        <v>0</v>
      </c>
      <c r="L633">
        <v>0</v>
      </c>
      <c r="M633">
        <v>0</v>
      </c>
      <c r="N633">
        <v>180.29</v>
      </c>
      <c r="O633" s="14">
        <f t="shared" ca="1" si="9"/>
        <v>770</v>
      </c>
      <c r="P633" t="s">
        <v>589</v>
      </c>
    </row>
    <row r="634" spans="1:16" ht="12.75" customHeight="1" x14ac:dyDescent="0.2">
      <c r="A634" t="s">
        <v>604</v>
      </c>
      <c r="B634" t="s">
        <v>651</v>
      </c>
      <c r="C634" t="s">
        <v>273</v>
      </c>
      <c r="D634" t="s">
        <v>739</v>
      </c>
      <c r="E634" t="s">
        <v>399</v>
      </c>
      <c r="F634" s="1">
        <v>45418</v>
      </c>
      <c r="G634" s="1">
        <v>45432</v>
      </c>
      <c r="H634" t="s">
        <v>245</v>
      </c>
      <c r="I634">
        <v>180.29</v>
      </c>
      <c r="J634">
        <v>180.29</v>
      </c>
      <c r="K634">
        <v>0</v>
      </c>
      <c r="L634">
        <v>0</v>
      </c>
      <c r="M634">
        <v>0</v>
      </c>
      <c r="N634">
        <v>180.29</v>
      </c>
      <c r="O634" s="14">
        <f t="shared" ca="1" si="9"/>
        <v>738</v>
      </c>
      <c r="P634" t="s">
        <v>589</v>
      </c>
    </row>
    <row r="635" spans="1:16" ht="12.75" customHeight="1" x14ac:dyDescent="0.2">
      <c r="A635" t="s">
        <v>604</v>
      </c>
      <c r="B635" t="s">
        <v>651</v>
      </c>
      <c r="C635" t="s">
        <v>273</v>
      </c>
      <c r="D635" t="s">
        <v>739</v>
      </c>
      <c r="E635" t="s">
        <v>399</v>
      </c>
      <c r="F635" s="1">
        <v>45446</v>
      </c>
      <c r="G635" s="1">
        <v>45460</v>
      </c>
      <c r="H635" t="s">
        <v>268</v>
      </c>
      <c r="I635">
        <v>180.29</v>
      </c>
      <c r="J635">
        <v>180.29</v>
      </c>
      <c r="K635">
        <v>0</v>
      </c>
      <c r="L635">
        <v>0</v>
      </c>
      <c r="M635">
        <v>0</v>
      </c>
      <c r="N635">
        <v>180.29</v>
      </c>
      <c r="O635" s="14">
        <f t="shared" ca="1" si="9"/>
        <v>710</v>
      </c>
      <c r="P635" t="s">
        <v>589</v>
      </c>
    </row>
    <row r="636" spans="1:16" ht="12.75" customHeight="1" x14ac:dyDescent="0.2">
      <c r="A636" t="s">
        <v>604</v>
      </c>
      <c r="B636" t="s">
        <v>651</v>
      </c>
      <c r="C636" t="s">
        <v>273</v>
      </c>
      <c r="D636" t="s">
        <v>739</v>
      </c>
      <c r="E636" t="s">
        <v>399</v>
      </c>
      <c r="F636" s="1">
        <v>45572</v>
      </c>
      <c r="G636" s="1">
        <v>45586</v>
      </c>
      <c r="H636" t="s">
        <v>793</v>
      </c>
      <c r="I636">
        <v>180.29</v>
      </c>
      <c r="J636">
        <v>180.29</v>
      </c>
      <c r="K636">
        <v>0</v>
      </c>
      <c r="L636">
        <v>0</v>
      </c>
      <c r="M636">
        <v>0</v>
      </c>
      <c r="N636">
        <v>180.29</v>
      </c>
      <c r="O636" s="14">
        <f t="shared" ca="1" si="9"/>
        <v>584</v>
      </c>
      <c r="P636" t="s">
        <v>589</v>
      </c>
    </row>
    <row r="637" spans="1:16" ht="12.75" customHeight="1" x14ac:dyDescent="0.2">
      <c r="A637" t="s">
        <v>604</v>
      </c>
      <c r="B637" t="s">
        <v>651</v>
      </c>
      <c r="C637" t="s">
        <v>273</v>
      </c>
      <c r="D637" t="s">
        <v>739</v>
      </c>
      <c r="E637" t="s">
        <v>399</v>
      </c>
      <c r="F637" s="1">
        <v>45600</v>
      </c>
      <c r="G637" s="1">
        <v>45614</v>
      </c>
      <c r="H637" t="s">
        <v>1256</v>
      </c>
      <c r="I637">
        <v>180.29</v>
      </c>
      <c r="J637">
        <v>180.29</v>
      </c>
      <c r="K637">
        <v>0</v>
      </c>
      <c r="L637">
        <v>0</v>
      </c>
      <c r="M637">
        <v>0</v>
      </c>
      <c r="N637">
        <v>180.29</v>
      </c>
      <c r="O637" s="14">
        <f t="shared" ca="1" si="9"/>
        <v>556</v>
      </c>
      <c r="P637" t="s">
        <v>589</v>
      </c>
    </row>
    <row r="638" spans="1:16" ht="12.75" customHeight="1" x14ac:dyDescent="0.2">
      <c r="A638" t="s">
        <v>604</v>
      </c>
      <c r="B638" t="s">
        <v>651</v>
      </c>
      <c r="C638" t="s">
        <v>273</v>
      </c>
      <c r="D638" t="s">
        <v>739</v>
      </c>
      <c r="E638" t="s">
        <v>399</v>
      </c>
      <c r="F638" s="1">
        <v>45628</v>
      </c>
      <c r="G638" s="1">
        <v>45642</v>
      </c>
      <c r="H638" t="s">
        <v>1193</v>
      </c>
      <c r="I638">
        <v>180.29</v>
      </c>
      <c r="J638">
        <v>180.29</v>
      </c>
      <c r="K638">
        <v>0</v>
      </c>
      <c r="L638">
        <v>0</v>
      </c>
      <c r="M638">
        <v>0</v>
      </c>
      <c r="N638">
        <v>180.29</v>
      </c>
      <c r="O638" s="14">
        <f t="shared" ca="1" si="9"/>
        <v>528</v>
      </c>
      <c r="P638" t="s">
        <v>589</v>
      </c>
    </row>
    <row r="639" spans="1:16" ht="12.75" customHeight="1" x14ac:dyDescent="0.2">
      <c r="A639" t="s">
        <v>604</v>
      </c>
      <c r="B639" t="s">
        <v>651</v>
      </c>
      <c r="C639" t="s">
        <v>273</v>
      </c>
      <c r="D639" t="s">
        <v>739</v>
      </c>
      <c r="E639" t="s">
        <v>399</v>
      </c>
      <c r="F639" s="1">
        <v>46108</v>
      </c>
      <c r="G639" s="1">
        <v>46122</v>
      </c>
      <c r="H639" t="s">
        <v>119</v>
      </c>
      <c r="I639">
        <v>907.5</v>
      </c>
      <c r="J639">
        <v>907.5</v>
      </c>
      <c r="K639">
        <v>0</v>
      </c>
      <c r="L639">
        <v>907.5</v>
      </c>
      <c r="M639">
        <v>0</v>
      </c>
      <c r="N639">
        <v>0</v>
      </c>
      <c r="O639" s="14">
        <f t="shared" ca="1" si="9"/>
        <v>48</v>
      </c>
      <c r="P639" t="s">
        <v>589</v>
      </c>
    </row>
    <row r="640" spans="1:16" ht="12.75" customHeight="1" x14ac:dyDescent="0.2">
      <c r="A640" t="s">
        <v>604</v>
      </c>
      <c r="B640" t="s">
        <v>651</v>
      </c>
      <c r="C640" t="s">
        <v>409</v>
      </c>
      <c r="D640" t="s">
        <v>510</v>
      </c>
      <c r="E640" t="s">
        <v>399</v>
      </c>
      <c r="F640" s="1">
        <v>45600</v>
      </c>
      <c r="G640" s="1">
        <v>45614</v>
      </c>
      <c r="H640" t="s">
        <v>923</v>
      </c>
      <c r="I640">
        <v>363</v>
      </c>
      <c r="J640">
        <v>363</v>
      </c>
      <c r="K640">
        <v>0</v>
      </c>
      <c r="L640">
        <v>0</v>
      </c>
      <c r="M640">
        <v>0</v>
      </c>
      <c r="N640">
        <v>363</v>
      </c>
      <c r="O640" s="14">
        <f t="shared" ca="1" si="9"/>
        <v>556</v>
      </c>
      <c r="P640" t="s">
        <v>589</v>
      </c>
    </row>
    <row r="641" spans="1:16" ht="12.75" customHeight="1" x14ac:dyDescent="0.2">
      <c r="A641" t="s">
        <v>604</v>
      </c>
      <c r="B641" t="s">
        <v>651</v>
      </c>
      <c r="C641" t="s">
        <v>409</v>
      </c>
      <c r="D641" t="s">
        <v>510</v>
      </c>
      <c r="E641" t="s">
        <v>399</v>
      </c>
      <c r="F641" s="1">
        <v>45628</v>
      </c>
      <c r="G641" s="1">
        <v>45642</v>
      </c>
      <c r="H641" t="s">
        <v>1197</v>
      </c>
      <c r="I641">
        <v>363</v>
      </c>
      <c r="J641">
        <v>363</v>
      </c>
      <c r="K641">
        <v>0</v>
      </c>
      <c r="L641">
        <v>0</v>
      </c>
      <c r="M641">
        <v>0</v>
      </c>
      <c r="N641">
        <v>363</v>
      </c>
      <c r="O641" s="14">
        <f t="shared" ca="1" si="9"/>
        <v>528</v>
      </c>
      <c r="P641" t="s">
        <v>589</v>
      </c>
    </row>
    <row r="642" spans="1:16" ht="12.75" customHeight="1" x14ac:dyDescent="0.2">
      <c r="A642" t="s">
        <v>604</v>
      </c>
      <c r="B642" t="s">
        <v>651</v>
      </c>
      <c r="C642" t="s">
        <v>409</v>
      </c>
      <c r="D642" t="s">
        <v>510</v>
      </c>
      <c r="E642" t="s">
        <v>399</v>
      </c>
      <c r="F642" s="1">
        <v>45673</v>
      </c>
      <c r="G642" s="1">
        <v>45687</v>
      </c>
      <c r="H642" t="s">
        <v>576</v>
      </c>
      <c r="I642">
        <v>30.25</v>
      </c>
      <c r="J642">
        <v>30.25</v>
      </c>
      <c r="K642">
        <v>0</v>
      </c>
      <c r="L642">
        <v>0</v>
      </c>
      <c r="M642">
        <v>0</v>
      </c>
      <c r="N642">
        <v>30.25</v>
      </c>
      <c r="O642" s="14">
        <f t="shared" ca="1" si="9"/>
        <v>483</v>
      </c>
      <c r="P642" t="s">
        <v>589</v>
      </c>
    </row>
    <row r="643" spans="1:16" ht="12.75" customHeight="1" x14ac:dyDescent="0.2">
      <c r="A643" t="s">
        <v>604</v>
      </c>
      <c r="B643" t="s">
        <v>651</v>
      </c>
      <c r="C643" t="s">
        <v>409</v>
      </c>
      <c r="D643" t="s">
        <v>510</v>
      </c>
      <c r="E643" t="s">
        <v>399</v>
      </c>
      <c r="F643" s="1">
        <v>45726</v>
      </c>
      <c r="G643" s="1">
        <v>45740</v>
      </c>
      <c r="H643" t="s">
        <v>894</v>
      </c>
      <c r="I643">
        <v>605</v>
      </c>
      <c r="J643">
        <v>605</v>
      </c>
      <c r="K643">
        <v>0</v>
      </c>
      <c r="L643">
        <v>0</v>
      </c>
      <c r="M643">
        <v>0</v>
      </c>
      <c r="N643">
        <v>605</v>
      </c>
      <c r="O643" s="14">
        <f t="shared" ref="O643:O706" ca="1" si="10">TODAY()-G643</f>
        <v>430</v>
      </c>
      <c r="P643" t="s">
        <v>589</v>
      </c>
    </row>
    <row r="644" spans="1:16" ht="12.75" customHeight="1" x14ac:dyDescent="0.2">
      <c r="A644" t="s">
        <v>604</v>
      </c>
      <c r="B644" t="s">
        <v>651</v>
      </c>
      <c r="C644" t="s">
        <v>409</v>
      </c>
      <c r="D644" t="s">
        <v>510</v>
      </c>
      <c r="E644" t="s">
        <v>399</v>
      </c>
      <c r="F644" s="1">
        <v>46104</v>
      </c>
      <c r="G644" s="1">
        <v>46118</v>
      </c>
      <c r="H644" t="s">
        <v>527</v>
      </c>
      <c r="I644">
        <v>605</v>
      </c>
      <c r="J644">
        <v>605</v>
      </c>
      <c r="K644">
        <v>0</v>
      </c>
      <c r="L644">
        <v>605</v>
      </c>
      <c r="M644">
        <v>0</v>
      </c>
      <c r="N644">
        <v>0</v>
      </c>
      <c r="O644" s="14">
        <f t="shared" ca="1" si="10"/>
        <v>52</v>
      </c>
      <c r="P644" t="s">
        <v>589</v>
      </c>
    </row>
    <row r="645" spans="1:16" ht="12.75" customHeight="1" x14ac:dyDescent="0.2">
      <c r="A645" t="s">
        <v>604</v>
      </c>
      <c r="B645" t="s">
        <v>651</v>
      </c>
      <c r="C645" t="s">
        <v>409</v>
      </c>
      <c r="D645" t="s">
        <v>510</v>
      </c>
      <c r="E645" t="s">
        <v>399</v>
      </c>
      <c r="F645" s="1">
        <v>46108</v>
      </c>
      <c r="G645" s="1">
        <v>46122</v>
      </c>
      <c r="H645" t="s">
        <v>117</v>
      </c>
      <c r="I645">
        <v>605</v>
      </c>
      <c r="J645">
        <v>605</v>
      </c>
      <c r="K645">
        <v>0</v>
      </c>
      <c r="L645">
        <v>605</v>
      </c>
      <c r="M645">
        <v>0</v>
      </c>
      <c r="N645">
        <v>0</v>
      </c>
      <c r="O645" s="14">
        <f t="shared" ca="1" si="10"/>
        <v>48</v>
      </c>
      <c r="P645" t="s">
        <v>589</v>
      </c>
    </row>
    <row r="646" spans="1:16" ht="12.75" customHeight="1" x14ac:dyDescent="0.2">
      <c r="A646" t="s">
        <v>604</v>
      </c>
      <c r="B646" t="s">
        <v>651</v>
      </c>
      <c r="C646" t="s">
        <v>409</v>
      </c>
      <c r="D646" t="s">
        <v>510</v>
      </c>
      <c r="E646" t="s">
        <v>399</v>
      </c>
      <c r="F646" s="1">
        <v>46108</v>
      </c>
      <c r="G646" s="1">
        <v>46122</v>
      </c>
      <c r="H646" t="s">
        <v>116</v>
      </c>
      <c r="I646">
        <v>585.34</v>
      </c>
      <c r="J646">
        <v>585.34</v>
      </c>
      <c r="K646">
        <v>0</v>
      </c>
      <c r="L646">
        <v>585.34</v>
      </c>
      <c r="M646">
        <v>0</v>
      </c>
      <c r="N646">
        <v>0</v>
      </c>
      <c r="O646" s="14">
        <f t="shared" ca="1" si="10"/>
        <v>48</v>
      </c>
      <c r="P646" t="s">
        <v>589</v>
      </c>
    </row>
    <row r="647" spans="1:16" ht="12.75" customHeight="1" x14ac:dyDescent="0.2">
      <c r="A647" t="s">
        <v>604</v>
      </c>
      <c r="B647" t="s">
        <v>651</v>
      </c>
      <c r="C647" t="s">
        <v>579</v>
      </c>
      <c r="D647" t="s">
        <v>580</v>
      </c>
      <c r="E647" t="s">
        <v>399</v>
      </c>
      <c r="F647" s="1">
        <v>45726</v>
      </c>
      <c r="G647" s="1">
        <v>45756</v>
      </c>
      <c r="H647" t="s">
        <v>886</v>
      </c>
      <c r="I647">
        <v>4887.3100000000004</v>
      </c>
      <c r="J647">
        <v>4887.3100000000004</v>
      </c>
      <c r="K647">
        <v>0</v>
      </c>
      <c r="L647">
        <v>0</v>
      </c>
      <c r="M647">
        <v>0</v>
      </c>
      <c r="N647">
        <v>4887.3100000000004</v>
      </c>
      <c r="O647" s="14">
        <f t="shared" ca="1" si="10"/>
        <v>414</v>
      </c>
      <c r="P647" t="s">
        <v>589</v>
      </c>
    </row>
    <row r="648" spans="1:16" ht="12.75" customHeight="1" x14ac:dyDescent="0.2">
      <c r="A648" t="s">
        <v>604</v>
      </c>
      <c r="B648" t="s">
        <v>651</v>
      </c>
      <c r="C648" t="s">
        <v>579</v>
      </c>
      <c r="D648" t="s">
        <v>580</v>
      </c>
      <c r="E648" t="s">
        <v>399</v>
      </c>
      <c r="F648" s="1">
        <v>46104</v>
      </c>
      <c r="G648" s="1">
        <v>46134</v>
      </c>
      <c r="H648" t="s">
        <v>371</v>
      </c>
      <c r="I648">
        <v>3637.87</v>
      </c>
      <c r="J648">
        <v>3637.87</v>
      </c>
      <c r="K648">
        <v>0</v>
      </c>
      <c r="L648">
        <v>3637.87</v>
      </c>
      <c r="M648">
        <v>0</v>
      </c>
      <c r="N648">
        <v>0</v>
      </c>
      <c r="O648" s="14">
        <f t="shared" ca="1" si="10"/>
        <v>36</v>
      </c>
      <c r="P648" t="s">
        <v>589</v>
      </c>
    </row>
    <row r="649" spans="1:16" ht="12.75" customHeight="1" x14ac:dyDescent="0.2">
      <c r="A649" t="s">
        <v>604</v>
      </c>
      <c r="B649" t="s">
        <v>651</v>
      </c>
      <c r="C649" t="s">
        <v>579</v>
      </c>
      <c r="D649" t="s">
        <v>580</v>
      </c>
      <c r="E649" t="s">
        <v>399</v>
      </c>
      <c r="F649" s="1">
        <v>46104</v>
      </c>
      <c r="G649" s="1">
        <v>46134</v>
      </c>
      <c r="H649" t="s">
        <v>1195</v>
      </c>
      <c r="I649">
        <v>21.05</v>
      </c>
      <c r="J649">
        <v>21.05</v>
      </c>
      <c r="K649">
        <v>0</v>
      </c>
      <c r="L649">
        <v>21.05</v>
      </c>
      <c r="M649">
        <v>0</v>
      </c>
      <c r="N649">
        <v>0</v>
      </c>
      <c r="O649" s="14">
        <f t="shared" ca="1" si="10"/>
        <v>36</v>
      </c>
      <c r="P649" t="s">
        <v>589</v>
      </c>
    </row>
    <row r="650" spans="1:16" ht="12.75" customHeight="1" x14ac:dyDescent="0.2">
      <c r="A650" t="s">
        <v>604</v>
      </c>
      <c r="B650" t="s">
        <v>651</v>
      </c>
      <c r="C650" t="s">
        <v>579</v>
      </c>
      <c r="D650" t="s">
        <v>580</v>
      </c>
      <c r="E650" t="s">
        <v>399</v>
      </c>
      <c r="F650" s="1">
        <v>46118</v>
      </c>
      <c r="G650" s="1">
        <v>46148</v>
      </c>
      <c r="H650" t="s">
        <v>683</v>
      </c>
      <c r="I650">
        <v>363</v>
      </c>
      <c r="J650">
        <v>363</v>
      </c>
      <c r="K650">
        <v>363</v>
      </c>
      <c r="L650">
        <v>0</v>
      </c>
      <c r="M650">
        <v>0</v>
      </c>
      <c r="N650">
        <v>0</v>
      </c>
      <c r="O650" s="14">
        <f t="shared" ca="1" si="10"/>
        <v>22</v>
      </c>
      <c r="P650" t="s">
        <v>589</v>
      </c>
    </row>
    <row r="651" spans="1:16" ht="12.75" customHeight="1" x14ac:dyDescent="0.2">
      <c r="A651" t="s">
        <v>604</v>
      </c>
      <c r="B651" t="s">
        <v>651</v>
      </c>
      <c r="C651" t="s">
        <v>579</v>
      </c>
      <c r="D651" t="s">
        <v>580</v>
      </c>
      <c r="E651" t="s">
        <v>399</v>
      </c>
      <c r="F651" s="1">
        <v>46118</v>
      </c>
      <c r="G651" s="1">
        <v>46148</v>
      </c>
      <c r="H651" t="s">
        <v>252</v>
      </c>
      <c r="I651">
        <v>2117.5</v>
      </c>
      <c r="J651">
        <v>2117.5</v>
      </c>
      <c r="K651">
        <v>2117.5</v>
      </c>
      <c r="L651">
        <v>0</v>
      </c>
      <c r="M651">
        <v>0</v>
      </c>
      <c r="N651">
        <v>0</v>
      </c>
      <c r="O651" s="14">
        <f t="shared" ca="1" si="10"/>
        <v>22</v>
      </c>
      <c r="P651" t="s">
        <v>589</v>
      </c>
    </row>
    <row r="652" spans="1:16" ht="12.75" customHeight="1" x14ac:dyDescent="0.2">
      <c r="A652" t="s">
        <v>604</v>
      </c>
      <c r="B652" t="s">
        <v>651</v>
      </c>
      <c r="C652" t="s">
        <v>579</v>
      </c>
      <c r="D652" t="s">
        <v>580</v>
      </c>
      <c r="E652" t="s">
        <v>399</v>
      </c>
      <c r="F652" s="1">
        <v>46118</v>
      </c>
      <c r="G652" s="1">
        <v>46148</v>
      </c>
      <c r="H652" t="s">
        <v>484</v>
      </c>
      <c r="I652">
        <v>121</v>
      </c>
      <c r="J652">
        <v>121</v>
      </c>
      <c r="K652">
        <v>121</v>
      </c>
      <c r="L652">
        <v>0</v>
      </c>
      <c r="M652">
        <v>0</v>
      </c>
      <c r="N652">
        <v>0</v>
      </c>
      <c r="O652" s="14">
        <f t="shared" ca="1" si="10"/>
        <v>22</v>
      </c>
      <c r="P652" t="s">
        <v>589</v>
      </c>
    </row>
    <row r="653" spans="1:16" ht="12.75" customHeight="1" x14ac:dyDescent="0.2">
      <c r="A653" t="s">
        <v>604</v>
      </c>
      <c r="B653" t="s">
        <v>651</v>
      </c>
      <c r="C653" t="s">
        <v>579</v>
      </c>
      <c r="D653" t="s">
        <v>580</v>
      </c>
      <c r="E653" t="s">
        <v>399</v>
      </c>
      <c r="F653" s="1">
        <v>46118</v>
      </c>
      <c r="G653" s="1">
        <v>46148</v>
      </c>
      <c r="H653" t="s">
        <v>19</v>
      </c>
      <c r="I653">
        <v>39.33</v>
      </c>
      <c r="J653">
        <v>39.33</v>
      </c>
      <c r="K653">
        <v>39.33</v>
      </c>
      <c r="L653">
        <v>0</v>
      </c>
      <c r="M653">
        <v>0</v>
      </c>
      <c r="N653">
        <v>0</v>
      </c>
      <c r="O653" s="14">
        <f t="shared" ca="1" si="10"/>
        <v>22</v>
      </c>
      <c r="P653" t="s">
        <v>589</v>
      </c>
    </row>
    <row r="654" spans="1:16" ht="12.75" customHeight="1" x14ac:dyDescent="0.2">
      <c r="A654" t="s">
        <v>604</v>
      </c>
      <c r="B654" t="s">
        <v>651</v>
      </c>
      <c r="C654" t="s">
        <v>779</v>
      </c>
      <c r="D654" t="s">
        <v>903</v>
      </c>
      <c r="E654" t="s">
        <v>399</v>
      </c>
      <c r="F654" s="1">
        <v>43865</v>
      </c>
      <c r="G654" s="1">
        <v>43879</v>
      </c>
      <c r="H654" t="s">
        <v>850</v>
      </c>
      <c r="I654">
        <v>240.79</v>
      </c>
      <c r="J654">
        <v>185.27</v>
      </c>
      <c r="K654">
        <v>0</v>
      </c>
      <c r="L654">
        <v>0</v>
      </c>
      <c r="M654">
        <v>0</v>
      </c>
      <c r="N654">
        <v>185.27</v>
      </c>
      <c r="O654" s="14">
        <f t="shared" ca="1" si="10"/>
        <v>2291</v>
      </c>
      <c r="P654" t="s">
        <v>1066</v>
      </c>
    </row>
    <row r="655" spans="1:16" ht="12.75" customHeight="1" x14ac:dyDescent="0.2">
      <c r="A655" t="s">
        <v>604</v>
      </c>
      <c r="B655" t="s">
        <v>651</v>
      </c>
      <c r="C655" t="s">
        <v>779</v>
      </c>
      <c r="D655" t="s">
        <v>903</v>
      </c>
      <c r="E655" t="s">
        <v>399</v>
      </c>
      <c r="F655" s="1">
        <v>43880</v>
      </c>
      <c r="G655" s="1">
        <v>43894</v>
      </c>
      <c r="H655" t="s">
        <v>998</v>
      </c>
      <c r="I655">
        <v>30.25</v>
      </c>
      <c r="J655">
        <v>30.25</v>
      </c>
      <c r="K655">
        <v>0</v>
      </c>
      <c r="L655">
        <v>0</v>
      </c>
      <c r="M655">
        <v>0</v>
      </c>
      <c r="N655">
        <v>30.25</v>
      </c>
      <c r="O655" s="14">
        <f t="shared" ca="1" si="10"/>
        <v>2276</v>
      </c>
      <c r="P655" t="s">
        <v>1066</v>
      </c>
    </row>
    <row r="656" spans="1:16" ht="12.75" customHeight="1" x14ac:dyDescent="0.2">
      <c r="A656" t="s">
        <v>604</v>
      </c>
      <c r="B656" t="s">
        <v>651</v>
      </c>
      <c r="C656" t="s">
        <v>779</v>
      </c>
      <c r="D656" t="s">
        <v>903</v>
      </c>
      <c r="E656" t="s">
        <v>399</v>
      </c>
      <c r="F656" s="1">
        <v>43893</v>
      </c>
      <c r="G656" s="1">
        <v>43907</v>
      </c>
      <c r="H656" t="s">
        <v>63</v>
      </c>
      <c r="I656">
        <v>240.79</v>
      </c>
      <c r="J656">
        <v>240.79</v>
      </c>
      <c r="K656">
        <v>0</v>
      </c>
      <c r="L656">
        <v>0</v>
      </c>
      <c r="M656">
        <v>0</v>
      </c>
      <c r="N656">
        <v>240.79</v>
      </c>
      <c r="O656" s="14">
        <f t="shared" ca="1" si="10"/>
        <v>2263</v>
      </c>
      <c r="P656" t="s">
        <v>1066</v>
      </c>
    </row>
    <row r="657" spans="1:16" ht="12.75" customHeight="1" x14ac:dyDescent="0.2">
      <c r="A657" t="s">
        <v>604</v>
      </c>
      <c r="B657" t="s">
        <v>651</v>
      </c>
      <c r="C657" t="s">
        <v>779</v>
      </c>
      <c r="D657" t="s">
        <v>903</v>
      </c>
      <c r="E657" t="s">
        <v>399</v>
      </c>
      <c r="F657" s="1">
        <v>43899</v>
      </c>
      <c r="G657" s="1">
        <v>43913</v>
      </c>
      <c r="H657" t="s">
        <v>892</v>
      </c>
      <c r="I657">
        <v>30.25</v>
      </c>
      <c r="J657">
        <v>30.25</v>
      </c>
      <c r="K657">
        <v>0</v>
      </c>
      <c r="L657">
        <v>0</v>
      </c>
      <c r="M657">
        <v>0</v>
      </c>
      <c r="N657">
        <v>30.25</v>
      </c>
      <c r="O657" s="14">
        <f t="shared" ca="1" si="10"/>
        <v>2257</v>
      </c>
      <c r="P657" t="s">
        <v>1066</v>
      </c>
    </row>
    <row r="658" spans="1:16" ht="12.75" customHeight="1" x14ac:dyDescent="0.2">
      <c r="A658" t="s">
        <v>604</v>
      </c>
      <c r="B658" t="s">
        <v>651</v>
      </c>
      <c r="C658" t="s">
        <v>779</v>
      </c>
      <c r="D658" t="s">
        <v>903</v>
      </c>
      <c r="E658" t="s">
        <v>399</v>
      </c>
      <c r="F658" s="1">
        <v>43928</v>
      </c>
      <c r="G658" s="1">
        <v>43942</v>
      </c>
      <c r="H658" t="s">
        <v>765</v>
      </c>
      <c r="I658">
        <v>240.79</v>
      </c>
      <c r="J658">
        <v>240.79</v>
      </c>
      <c r="K658">
        <v>0</v>
      </c>
      <c r="L658">
        <v>0</v>
      </c>
      <c r="M658">
        <v>0</v>
      </c>
      <c r="N658">
        <v>240.79</v>
      </c>
      <c r="O658" s="14">
        <f t="shared" ca="1" si="10"/>
        <v>2228</v>
      </c>
      <c r="P658" t="s">
        <v>1066</v>
      </c>
    </row>
    <row r="659" spans="1:16" ht="12.75" customHeight="1" x14ac:dyDescent="0.2">
      <c r="A659" t="s">
        <v>604</v>
      </c>
      <c r="B659" t="s">
        <v>651</v>
      </c>
      <c r="C659" t="s">
        <v>779</v>
      </c>
      <c r="D659" t="s">
        <v>903</v>
      </c>
      <c r="E659" t="s">
        <v>399</v>
      </c>
      <c r="F659" s="1">
        <v>44166</v>
      </c>
      <c r="G659" s="1">
        <v>44180</v>
      </c>
      <c r="H659" t="s">
        <v>439</v>
      </c>
      <c r="I659">
        <v>30.25</v>
      </c>
      <c r="J659">
        <v>30.25</v>
      </c>
      <c r="K659">
        <v>0</v>
      </c>
      <c r="L659">
        <v>0</v>
      </c>
      <c r="M659">
        <v>0</v>
      </c>
      <c r="N659">
        <v>30.25</v>
      </c>
      <c r="O659" s="14">
        <f t="shared" ca="1" si="10"/>
        <v>1990</v>
      </c>
      <c r="P659" t="s">
        <v>1066</v>
      </c>
    </row>
    <row r="660" spans="1:16" ht="12.75" customHeight="1" x14ac:dyDescent="0.2">
      <c r="A660" t="s">
        <v>604</v>
      </c>
      <c r="B660" t="s">
        <v>651</v>
      </c>
      <c r="C660" t="s">
        <v>436</v>
      </c>
      <c r="D660" t="s">
        <v>561</v>
      </c>
      <c r="E660" t="s">
        <v>399</v>
      </c>
      <c r="F660" s="1">
        <v>43774</v>
      </c>
      <c r="G660" s="1">
        <v>43774</v>
      </c>
      <c r="H660" t="s">
        <v>914</v>
      </c>
      <c r="I660">
        <v>240.79</v>
      </c>
      <c r="J660">
        <v>179.49</v>
      </c>
      <c r="K660">
        <v>0</v>
      </c>
      <c r="L660">
        <v>0</v>
      </c>
      <c r="M660">
        <v>0</v>
      </c>
      <c r="N660">
        <v>179.49</v>
      </c>
      <c r="O660" s="14">
        <f t="shared" ca="1" si="10"/>
        <v>2396</v>
      </c>
      <c r="P660" t="s">
        <v>1066</v>
      </c>
    </row>
    <row r="661" spans="1:16" ht="12.75" customHeight="1" x14ac:dyDescent="0.2">
      <c r="A661" t="s">
        <v>604</v>
      </c>
      <c r="B661" t="s">
        <v>651</v>
      </c>
      <c r="C661" t="s">
        <v>436</v>
      </c>
      <c r="D661" t="s">
        <v>561</v>
      </c>
      <c r="E661" t="s">
        <v>399</v>
      </c>
      <c r="F661" s="1">
        <v>43802</v>
      </c>
      <c r="G661" s="1">
        <v>43802</v>
      </c>
      <c r="H661" t="s">
        <v>77</v>
      </c>
      <c r="I661">
        <v>240.79</v>
      </c>
      <c r="J661">
        <v>240.79</v>
      </c>
      <c r="K661">
        <v>0</v>
      </c>
      <c r="L661">
        <v>0</v>
      </c>
      <c r="M661">
        <v>0</v>
      </c>
      <c r="N661">
        <v>240.79</v>
      </c>
      <c r="O661" s="14">
        <f t="shared" ca="1" si="10"/>
        <v>2368</v>
      </c>
      <c r="P661" t="s">
        <v>1066</v>
      </c>
    </row>
    <row r="662" spans="1:16" ht="12.75" customHeight="1" x14ac:dyDescent="0.2">
      <c r="A662" t="s">
        <v>604</v>
      </c>
      <c r="B662" t="s">
        <v>651</v>
      </c>
      <c r="C662" t="s">
        <v>436</v>
      </c>
      <c r="D662" t="s">
        <v>561</v>
      </c>
      <c r="E662" t="s">
        <v>399</v>
      </c>
      <c r="F662" s="1">
        <v>43830</v>
      </c>
      <c r="G662" s="1">
        <v>43860</v>
      </c>
      <c r="H662" t="s">
        <v>1200</v>
      </c>
      <c r="I662">
        <v>1089.02</v>
      </c>
      <c r="J662">
        <v>1089.02</v>
      </c>
      <c r="K662">
        <v>0</v>
      </c>
      <c r="L662">
        <v>0</v>
      </c>
      <c r="M662">
        <v>0</v>
      </c>
      <c r="N662">
        <v>1089.02</v>
      </c>
      <c r="O662" s="14">
        <f t="shared" ca="1" si="10"/>
        <v>2310</v>
      </c>
      <c r="P662" t="s">
        <v>1066</v>
      </c>
    </row>
    <row r="663" spans="1:16" ht="12.75" customHeight="1" x14ac:dyDescent="0.2">
      <c r="A663" t="s">
        <v>604</v>
      </c>
      <c r="B663" t="s">
        <v>651</v>
      </c>
      <c r="C663" t="s">
        <v>436</v>
      </c>
      <c r="D663" t="s">
        <v>561</v>
      </c>
      <c r="E663" t="s">
        <v>399</v>
      </c>
      <c r="F663" s="1">
        <v>43865</v>
      </c>
      <c r="G663" s="1">
        <v>43895</v>
      </c>
      <c r="H663" t="s">
        <v>718</v>
      </c>
      <c r="I663">
        <v>240.79</v>
      </c>
      <c r="J663">
        <v>240.79</v>
      </c>
      <c r="K663">
        <v>0</v>
      </c>
      <c r="L663">
        <v>0</v>
      </c>
      <c r="M663">
        <v>0</v>
      </c>
      <c r="N663">
        <v>240.79</v>
      </c>
      <c r="O663" s="14">
        <f t="shared" ca="1" si="10"/>
        <v>2275</v>
      </c>
      <c r="P663" t="s">
        <v>1066</v>
      </c>
    </row>
    <row r="664" spans="1:16" ht="12.75" customHeight="1" x14ac:dyDescent="0.2">
      <c r="A664" t="s">
        <v>604</v>
      </c>
      <c r="B664" t="s">
        <v>651</v>
      </c>
      <c r="C664" t="s">
        <v>436</v>
      </c>
      <c r="D664" t="s">
        <v>561</v>
      </c>
      <c r="E664" t="s">
        <v>399</v>
      </c>
      <c r="F664" s="1">
        <v>43865</v>
      </c>
      <c r="G664" s="1">
        <v>43895</v>
      </c>
      <c r="H664" t="s">
        <v>1007</v>
      </c>
      <c r="I664">
        <v>240.79</v>
      </c>
      <c r="J664">
        <v>240.79</v>
      </c>
      <c r="K664">
        <v>0</v>
      </c>
      <c r="L664">
        <v>0</v>
      </c>
      <c r="M664">
        <v>0</v>
      </c>
      <c r="N664">
        <v>240.79</v>
      </c>
      <c r="O664" s="14">
        <f t="shared" ca="1" si="10"/>
        <v>2275</v>
      </c>
      <c r="P664" t="s">
        <v>1066</v>
      </c>
    </row>
    <row r="665" spans="1:16" ht="12.75" customHeight="1" x14ac:dyDescent="0.2">
      <c r="A665" t="s">
        <v>604</v>
      </c>
      <c r="B665" t="s">
        <v>651</v>
      </c>
      <c r="C665" t="s">
        <v>436</v>
      </c>
      <c r="D665" t="s">
        <v>561</v>
      </c>
      <c r="E665" t="s">
        <v>399</v>
      </c>
      <c r="F665" s="1">
        <v>43893</v>
      </c>
      <c r="G665" s="1">
        <v>43923</v>
      </c>
      <c r="H665" t="s">
        <v>1243</v>
      </c>
      <c r="I665">
        <v>240.79</v>
      </c>
      <c r="J665">
        <v>240.79</v>
      </c>
      <c r="K665">
        <v>0</v>
      </c>
      <c r="L665">
        <v>0</v>
      </c>
      <c r="M665">
        <v>0</v>
      </c>
      <c r="N665">
        <v>240.79</v>
      </c>
      <c r="O665" s="14">
        <f t="shared" ca="1" si="10"/>
        <v>2247</v>
      </c>
      <c r="P665" t="s">
        <v>1066</v>
      </c>
    </row>
    <row r="666" spans="1:16" ht="12.75" customHeight="1" x14ac:dyDescent="0.2">
      <c r="A666" t="s">
        <v>604</v>
      </c>
      <c r="B666" t="s">
        <v>651</v>
      </c>
      <c r="C666" t="s">
        <v>436</v>
      </c>
      <c r="D666" t="s">
        <v>561</v>
      </c>
      <c r="E666" t="s">
        <v>399</v>
      </c>
      <c r="F666" s="1">
        <v>43928</v>
      </c>
      <c r="G666" s="1">
        <v>43958</v>
      </c>
      <c r="H666" t="s">
        <v>411</v>
      </c>
      <c r="I666">
        <v>240.79</v>
      </c>
      <c r="J666">
        <v>240.79</v>
      </c>
      <c r="K666">
        <v>0</v>
      </c>
      <c r="L666">
        <v>0</v>
      </c>
      <c r="M666">
        <v>0</v>
      </c>
      <c r="N666">
        <v>240.79</v>
      </c>
      <c r="O666" s="14">
        <f t="shared" ca="1" si="10"/>
        <v>2212</v>
      </c>
      <c r="P666" t="s">
        <v>1066</v>
      </c>
    </row>
    <row r="667" spans="1:16" ht="12.75" customHeight="1" x14ac:dyDescent="0.2">
      <c r="A667" t="s">
        <v>604</v>
      </c>
      <c r="B667" t="s">
        <v>651</v>
      </c>
      <c r="C667" t="s">
        <v>436</v>
      </c>
      <c r="D667" t="s">
        <v>561</v>
      </c>
      <c r="E667" t="s">
        <v>399</v>
      </c>
      <c r="F667" s="1">
        <v>43943</v>
      </c>
      <c r="G667" s="1">
        <v>43973</v>
      </c>
      <c r="H667" t="s">
        <v>139</v>
      </c>
      <c r="I667">
        <v>2265.12</v>
      </c>
      <c r="J667">
        <v>2265.12</v>
      </c>
      <c r="K667">
        <v>0</v>
      </c>
      <c r="L667">
        <v>0</v>
      </c>
      <c r="M667">
        <v>0</v>
      </c>
      <c r="N667">
        <v>2265.12</v>
      </c>
      <c r="O667" s="14">
        <f t="shared" ca="1" si="10"/>
        <v>2197</v>
      </c>
      <c r="P667" t="s">
        <v>1066</v>
      </c>
    </row>
    <row r="668" spans="1:16" ht="12.75" customHeight="1" x14ac:dyDescent="0.2">
      <c r="A668" t="s">
        <v>604</v>
      </c>
      <c r="B668" t="s">
        <v>651</v>
      </c>
      <c r="C668" t="s">
        <v>1071</v>
      </c>
      <c r="D668" t="s">
        <v>960</v>
      </c>
      <c r="E668" t="s">
        <v>399</v>
      </c>
      <c r="F668" s="1">
        <v>45691</v>
      </c>
      <c r="G668" s="1">
        <v>45705</v>
      </c>
      <c r="H668" t="s">
        <v>80</v>
      </c>
      <c r="I668">
        <v>347.88</v>
      </c>
      <c r="J668">
        <v>347.88</v>
      </c>
      <c r="K668">
        <v>0</v>
      </c>
      <c r="L668">
        <v>0</v>
      </c>
      <c r="M668">
        <v>0</v>
      </c>
      <c r="N668">
        <v>347.88</v>
      </c>
      <c r="O668" s="14">
        <f t="shared" ca="1" si="10"/>
        <v>465</v>
      </c>
      <c r="P668" t="s">
        <v>589</v>
      </c>
    </row>
    <row r="669" spans="1:16" ht="12.75" customHeight="1" x14ac:dyDescent="0.2">
      <c r="A669" t="s">
        <v>604</v>
      </c>
      <c r="B669" t="s">
        <v>651</v>
      </c>
      <c r="C669" t="s">
        <v>1071</v>
      </c>
      <c r="D669" t="s">
        <v>960</v>
      </c>
      <c r="E669" t="s">
        <v>399</v>
      </c>
      <c r="F669" s="1">
        <v>45715</v>
      </c>
      <c r="G669" s="1">
        <v>45729</v>
      </c>
      <c r="H669" t="s">
        <v>1258</v>
      </c>
      <c r="I669">
        <v>4142.2299999999996</v>
      </c>
      <c r="J669">
        <v>4142.2299999999996</v>
      </c>
      <c r="K669">
        <v>0</v>
      </c>
      <c r="L669">
        <v>0</v>
      </c>
      <c r="M669">
        <v>0</v>
      </c>
      <c r="N669">
        <v>4142.2299999999996</v>
      </c>
      <c r="O669" s="14">
        <f t="shared" ca="1" si="10"/>
        <v>441</v>
      </c>
      <c r="P669" t="s">
        <v>589</v>
      </c>
    </row>
    <row r="670" spans="1:16" ht="12.75" customHeight="1" x14ac:dyDescent="0.2">
      <c r="A670" t="s">
        <v>604</v>
      </c>
      <c r="B670" t="s">
        <v>651</v>
      </c>
      <c r="C670" t="s">
        <v>1071</v>
      </c>
      <c r="D670" t="s">
        <v>960</v>
      </c>
      <c r="E670" t="s">
        <v>399</v>
      </c>
      <c r="F670" s="1">
        <v>45715</v>
      </c>
      <c r="G670" s="1">
        <v>45729</v>
      </c>
      <c r="H670" t="s">
        <v>1254</v>
      </c>
      <c r="I670">
        <v>1391.5</v>
      </c>
      <c r="J670">
        <v>1391.5</v>
      </c>
      <c r="K670">
        <v>0</v>
      </c>
      <c r="L670">
        <v>0</v>
      </c>
      <c r="M670">
        <v>0</v>
      </c>
      <c r="N670">
        <v>1391.5</v>
      </c>
      <c r="O670" s="14">
        <f t="shared" ca="1" si="10"/>
        <v>441</v>
      </c>
      <c r="P670" t="s">
        <v>589</v>
      </c>
    </row>
    <row r="671" spans="1:16" ht="12.75" customHeight="1" x14ac:dyDescent="0.2">
      <c r="A671" t="s">
        <v>604</v>
      </c>
      <c r="B671" t="s">
        <v>651</v>
      </c>
      <c r="C671" t="s">
        <v>1071</v>
      </c>
      <c r="D671" t="s">
        <v>960</v>
      </c>
      <c r="E671" t="s">
        <v>399</v>
      </c>
      <c r="F671" s="1">
        <v>45715</v>
      </c>
      <c r="G671" s="1">
        <v>45729</v>
      </c>
      <c r="H671" t="s">
        <v>1253</v>
      </c>
      <c r="I671">
        <v>1391.5</v>
      </c>
      <c r="J671">
        <v>391.5</v>
      </c>
      <c r="K671">
        <v>0</v>
      </c>
      <c r="L671">
        <v>0</v>
      </c>
      <c r="M671">
        <v>0</v>
      </c>
      <c r="N671">
        <v>391.5</v>
      </c>
      <c r="O671" s="14">
        <f t="shared" ca="1" si="10"/>
        <v>441</v>
      </c>
      <c r="P671" t="s">
        <v>589</v>
      </c>
    </row>
    <row r="672" spans="1:16" ht="12.75" customHeight="1" x14ac:dyDescent="0.2">
      <c r="A672" t="s">
        <v>604</v>
      </c>
      <c r="B672" t="s">
        <v>651</v>
      </c>
      <c r="C672" t="s">
        <v>1071</v>
      </c>
      <c r="D672" t="s">
        <v>960</v>
      </c>
      <c r="E672" t="s">
        <v>399</v>
      </c>
      <c r="F672" s="1">
        <v>45721</v>
      </c>
      <c r="G672" s="1">
        <v>45735</v>
      </c>
      <c r="H672" t="s">
        <v>1069</v>
      </c>
      <c r="I672">
        <v>347.88</v>
      </c>
      <c r="J672">
        <v>347.88</v>
      </c>
      <c r="K672">
        <v>0</v>
      </c>
      <c r="L672">
        <v>0</v>
      </c>
      <c r="M672">
        <v>0</v>
      </c>
      <c r="N672">
        <v>347.88</v>
      </c>
      <c r="O672" s="14">
        <f t="shared" ca="1" si="10"/>
        <v>435</v>
      </c>
      <c r="P672" t="s">
        <v>589</v>
      </c>
    </row>
    <row r="673" spans="1:16" ht="12.75" customHeight="1" x14ac:dyDescent="0.2">
      <c r="A673" t="s">
        <v>604</v>
      </c>
      <c r="B673" t="s">
        <v>651</v>
      </c>
      <c r="C673" t="s">
        <v>1071</v>
      </c>
      <c r="D673" t="s">
        <v>960</v>
      </c>
      <c r="E673" t="s">
        <v>399</v>
      </c>
      <c r="F673" s="1">
        <v>45747</v>
      </c>
      <c r="G673" s="1">
        <v>45761</v>
      </c>
      <c r="H673" t="s">
        <v>1018</v>
      </c>
      <c r="I673">
        <v>1061.17</v>
      </c>
      <c r="J673">
        <v>1061.17</v>
      </c>
      <c r="K673">
        <v>0</v>
      </c>
      <c r="L673">
        <v>0</v>
      </c>
      <c r="M673">
        <v>0</v>
      </c>
      <c r="N673">
        <v>1061.17</v>
      </c>
      <c r="O673" s="14">
        <f t="shared" ca="1" si="10"/>
        <v>409</v>
      </c>
      <c r="P673" t="s">
        <v>589</v>
      </c>
    </row>
    <row r="674" spans="1:16" ht="12.75" customHeight="1" x14ac:dyDescent="0.2">
      <c r="A674" t="s">
        <v>604</v>
      </c>
      <c r="B674" t="s">
        <v>651</v>
      </c>
      <c r="C674" t="s">
        <v>1071</v>
      </c>
      <c r="D674" t="s">
        <v>960</v>
      </c>
      <c r="E674" t="s">
        <v>399</v>
      </c>
      <c r="F674" s="1">
        <v>45750</v>
      </c>
      <c r="G674" s="1">
        <v>45764</v>
      </c>
      <c r="H674" t="s">
        <v>715</v>
      </c>
      <c r="I674">
        <v>347.88</v>
      </c>
      <c r="J674">
        <v>347.88</v>
      </c>
      <c r="K674">
        <v>0</v>
      </c>
      <c r="L674">
        <v>0</v>
      </c>
      <c r="M674">
        <v>0</v>
      </c>
      <c r="N674">
        <v>347.88</v>
      </c>
      <c r="O674" s="14">
        <f t="shared" ca="1" si="10"/>
        <v>406</v>
      </c>
      <c r="P674" t="s">
        <v>589</v>
      </c>
    </row>
    <row r="675" spans="1:16" ht="12.75" customHeight="1" x14ac:dyDescent="0.2">
      <c r="A675" t="s">
        <v>604</v>
      </c>
      <c r="B675" t="s">
        <v>651</v>
      </c>
      <c r="C675" t="s">
        <v>1071</v>
      </c>
      <c r="D675" t="s">
        <v>960</v>
      </c>
      <c r="E675" t="s">
        <v>399</v>
      </c>
      <c r="F675" s="1">
        <v>45782</v>
      </c>
      <c r="G675" s="1">
        <v>45796</v>
      </c>
      <c r="H675" t="s">
        <v>311</v>
      </c>
      <c r="I675">
        <v>347.88</v>
      </c>
      <c r="J675">
        <v>347.88</v>
      </c>
      <c r="K675">
        <v>0</v>
      </c>
      <c r="L675">
        <v>0</v>
      </c>
      <c r="M675">
        <v>0</v>
      </c>
      <c r="N675">
        <v>347.88</v>
      </c>
      <c r="O675" s="14">
        <f t="shared" ca="1" si="10"/>
        <v>374</v>
      </c>
      <c r="P675" t="s">
        <v>589</v>
      </c>
    </row>
    <row r="676" spans="1:16" ht="12.75" customHeight="1" x14ac:dyDescent="0.2">
      <c r="A676" t="s">
        <v>604</v>
      </c>
      <c r="B676" t="s">
        <v>651</v>
      </c>
      <c r="C676" t="s">
        <v>1071</v>
      </c>
      <c r="D676" t="s">
        <v>960</v>
      </c>
      <c r="E676" t="s">
        <v>399</v>
      </c>
      <c r="F676" s="1">
        <v>45810</v>
      </c>
      <c r="G676" s="1">
        <v>45824</v>
      </c>
      <c r="H676" t="s">
        <v>230</v>
      </c>
      <c r="I676">
        <v>347.88</v>
      </c>
      <c r="J676">
        <v>347.88</v>
      </c>
      <c r="K676">
        <v>0</v>
      </c>
      <c r="L676">
        <v>0</v>
      </c>
      <c r="M676">
        <v>0</v>
      </c>
      <c r="N676">
        <v>347.88</v>
      </c>
      <c r="O676" s="14">
        <f t="shared" ca="1" si="10"/>
        <v>346</v>
      </c>
      <c r="P676" t="s">
        <v>589</v>
      </c>
    </row>
    <row r="677" spans="1:16" ht="12.75" customHeight="1" x14ac:dyDescent="0.2">
      <c r="A677" t="s">
        <v>604</v>
      </c>
      <c r="B677" t="s">
        <v>651</v>
      </c>
      <c r="C677" t="s">
        <v>1071</v>
      </c>
      <c r="D677" t="s">
        <v>960</v>
      </c>
      <c r="E677" t="s">
        <v>399</v>
      </c>
      <c r="F677" s="1">
        <v>45839</v>
      </c>
      <c r="G677" s="1">
        <v>45853</v>
      </c>
      <c r="H677" t="s">
        <v>902</v>
      </c>
      <c r="I677">
        <v>347.88</v>
      </c>
      <c r="J677">
        <v>347.88</v>
      </c>
      <c r="K677">
        <v>0</v>
      </c>
      <c r="L677">
        <v>0</v>
      </c>
      <c r="M677">
        <v>0</v>
      </c>
      <c r="N677">
        <v>347.88</v>
      </c>
      <c r="O677" s="14">
        <f t="shared" ca="1" si="10"/>
        <v>317</v>
      </c>
      <c r="P677" t="s">
        <v>589</v>
      </c>
    </row>
    <row r="678" spans="1:16" ht="12.75" customHeight="1" x14ac:dyDescent="0.2">
      <c r="A678" t="s">
        <v>604</v>
      </c>
      <c r="B678" t="s">
        <v>651</v>
      </c>
      <c r="C678" t="s">
        <v>1071</v>
      </c>
      <c r="D678" t="s">
        <v>960</v>
      </c>
      <c r="E678" t="s">
        <v>399</v>
      </c>
      <c r="F678" s="1">
        <v>45873</v>
      </c>
      <c r="G678" s="1">
        <v>45887</v>
      </c>
      <c r="H678" t="s">
        <v>1114</v>
      </c>
      <c r="I678">
        <v>347.88</v>
      </c>
      <c r="J678">
        <v>347.88</v>
      </c>
      <c r="K678">
        <v>0</v>
      </c>
      <c r="L678">
        <v>0</v>
      </c>
      <c r="M678">
        <v>0</v>
      </c>
      <c r="N678">
        <v>347.88</v>
      </c>
      <c r="O678" s="14">
        <f t="shared" ca="1" si="10"/>
        <v>283</v>
      </c>
      <c r="P678" t="s">
        <v>589</v>
      </c>
    </row>
    <row r="679" spans="1:16" ht="12.75" customHeight="1" x14ac:dyDescent="0.2">
      <c r="A679" t="s">
        <v>604</v>
      </c>
      <c r="B679" t="s">
        <v>651</v>
      </c>
      <c r="C679" t="s">
        <v>1071</v>
      </c>
      <c r="D679" t="s">
        <v>960</v>
      </c>
      <c r="E679" t="s">
        <v>399</v>
      </c>
      <c r="F679" s="1">
        <v>45901</v>
      </c>
      <c r="G679" s="1">
        <v>45915</v>
      </c>
      <c r="H679" t="s">
        <v>693</v>
      </c>
      <c r="I679">
        <v>347.88</v>
      </c>
      <c r="J679">
        <v>347.88</v>
      </c>
      <c r="K679">
        <v>0</v>
      </c>
      <c r="L679">
        <v>0</v>
      </c>
      <c r="M679">
        <v>0</v>
      </c>
      <c r="N679">
        <v>347.88</v>
      </c>
      <c r="O679" s="14">
        <f t="shared" ca="1" si="10"/>
        <v>255</v>
      </c>
      <c r="P679" t="s">
        <v>589</v>
      </c>
    </row>
    <row r="680" spans="1:16" ht="12.75" customHeight="1" x14ac:dyDescent="0.2">
      <c r="A680" t="s">
        <v>604</v>
      </c>
      <c r="B680" t="s">
        <v>651</v>
      </c>
      <c r="C680" t="s">
        <v>1071</v>
      </c>
      <c r="D680" t="s">
        <v>960</v>
      </c>
      <c r="E680" t="s">
        <v>399</v>
      </c>
      <c r="F680" s="1">
        <v>45936</v>
      </c>
      <c r="G680" s="1">
        <v>45950</v>
      </c>
      <c r="H680" t="s">
        <v>809</v>
      </c>
      <c r="I680">
        <v>347.88</v>
      </c>
      <c r="J680">
        <v>347.88</v>
      </c>
      <c r="K680">
        <v>0</v>
      </c>
      <c r="L680">
        <v>0</v>
      </c>
      <c r="M680">
        <v>0</v>
      </c>
      <c r="N680">
        <v>347.88</v>
      </c>
      <c r="O680" s="14">
        <f t="shared" ca="1" si="10"/>
        <v>220</v>
      </c>
      <c r="P680" t="s">
        <v>589</v>
      </c>
    </row>
    <row r="681" spans="1:16" ht="12.75" customHeight="1" x14ac:dyDescent="0.2">
      <c r="A681" t="s">
        <v>604</v>
      </c>
      <c r="B681" t="s">
        <v>651</v>
      </c>
      <c r="C681" t="s">
        <v>1071</v>
      </c>
      <c r="D681" t="s">
        <v>960</v>
      </c>
      <c r="E681" t="s">
        <v>399</v>
      </c>
      <c r="F681" s="1">
        <v>45966</v>
      </c>
      <c r="G681" s="1">
        <v>45980</v>
      </c>
      <c r="H681" t="s">
        <v>419</v>
      </c>
      <c r="I681">
        <v>347.88</v>
      </c>
      <c r="J681">
        <v>347.88</v>
      </c>
      <c r="K681">
        <v>0</v>
      </c>
      <c r="L681">
        <v>0</v>
      </c>
      <c r="M681">
        <v>0</v>
      </c>
      <c r="N681">
        <v>347.88</v>
      </c>
      <c r="O681" s="14">
        <f t="shared" ca="1" si="10"/>
        <v>190</v>
      </c>
      <c r="P681" t="s">
        <v>589</v>
      </c>
    </row>
    <row r="682" spans="1:16" ht="12.75" customHeight="1" x14ac:dyDescent="0.2">
      <c r="A682" t="s">
        <v>604</v>
      </c>
      <c r="B682" t="s">
        <v>651</v>
      </c>
      <c r="C682" t="s">
        <v>1071</v>
      </c>
      <c r="D682" t="s">
        <v>960</v>
      </c>
      <c r="E682" t="s">
        <v>399</v>
      </c>
      <c r="F682" s="1">
        <v>45993</v>
      </c>
      <c r="G682" s="1">
        <v>46007</v>
      </c>
      <c r="H682" t="s">
        <v>281</v>
      </c>
      <c r="I682">
        <v>347.88</v>
      </c>
      <c r="J682">
        <v>347.88</v>
      </c>
      <c r="K682">
        <v>0</v>
      </c>
      <c r="L682">
        <v>0</v>
      </c>
      <c r="M682">
        <v>0</v>
      </c>
      <c r="N682">
        <v>347.88</v>
      </c>
      <c r="O682" s="14">
        <f t="shared" ca="1" si="10"/>
        <v>163</v>
      </c>
      <c r="P682" t="s">
        <v>589</v>
      </c>
    </row>
    <row r="683" spans="1:16" ht="12.75" customHeight="1" x14ac:dyDescent="0.2">
      <c r="A683" t="s">
        <v>604</v>
      </c>
      <c r="B683" t="s">
        <v>651</v>
      </c>
      <c r="C683" t="s">
        <v>1071</v>
      </c>
      <c r="D683" t="s">
        <v>960</v>
      </c>
      <c r="E683" t="s">
        <v>399</v>
      </c>
      <c r="F683" s="1">
        <v>46030</v>
      </c>
      <c r="G683" s="1">
        <v>46044</v>
      </c>
      <c r="H683" t="s">
        <v>305</v>
      </c>
      <c r="I683">
        <v>347.88</v>
      </c>
      <c r="J683">
        <v>347.88</v>
      </c>
      <c r="K683">
        <v>0</v>
      </c>
      <c r="L683">
        <v>0</v>
      </c>
      <c r="M683">
        <v>0</v>
      </c>
      <c r="N683">
        <v>347.88</v>
      </c>
      <c r="O683" s="14">
        <f t="shared" ca="1" si="10"/>
        <v>126</v>
      </c>
      <c r="P683" t="s">
        <v>589</v>
      </c>
    </row>
    <row r="684" spans="1:16" ht="12.75" customHeight="1" x14ac:dyDescent="0.2">
      <c r="A684" t="s">
        <v>604</v>
      </c>
      <c r="B684" t="s">
        <v>651</v>
      </c>
      <c r="C684" t="s">
        <v>1071</v>
      </c>
      <c r="D684" t="s">
        <v>960</v>
      </c>
      <c r="E684" t="s">
        <v>399</v>
      </c>
      <c r="F684" s="1">
        <v>46055</v>
      </c>
      <c r="G684" s="1">
        <v>46069</v>
      </c>
      <c r="H684" t="s">
        <v>1248</v>
      </c>
      <c r="I684">
        <v>347.88</v>
      </c>
      <c r="J684">
        <v>347.88</v>
      </c>
      <c r="K684">
        <v>0</v>
      </c>
      <c r="L684">
        <v>0</v>
      </c>
      <c r="M684">
        <v>0</v>
      </c>
      <c r="N684">
        <v>347.88</v>
      </c>
      <c r="O684" s="14">
        <f t="shared" ca="1" si="10"/>
        <v>101</v>
      </c>
      <c r="P684" t="s">
        <v>589</v>
      </c>
    </row>
    <row r="685" spans="1:16" ht="12.75" customHeight="1" x14ac:dyDescent="0.2">
      <c r="A685" t="s">
        <v>604</v>
      </c>
      <c r="B685" t="s">
        <v>651</v>
      </c>
      <c r="C685" t="s">
        <v>1071</v>
      </c>
      <c r="D685" t="s">
        <v>960</v>
      </c>
      <c r="E685" t="s">
        <v>399</v>
      </c>
      <c r="F685" s="1">
        <v>46085</v>
      </c>
      <c r="G685" s="1">
        <v>46099</v>
      </c>
      <c r="H685" t="s">
        <v>237</v>
      </c>
      <c r="I685">
        <v>347.88</v>
      </c>
      <c r="J685">
        <v>347.88</v>
      </c>
      <c r="K685">
        <v>0</v>
      </c>
      <c r="L685">
        <v>0</v>
      </c>
      <c r="M685">
        <v>347.88</v>
      </c>
      <c r="N685">
        <v>0</v>
      </c>
      <c r="O685" s="14">
        <f t="shared" ca="1" si="10"/>
        <v>71</v>
      </c>
      <c r="P685" t="s">
        <v>589</v>
      </c>
    </row>
    <row r="686" spans="1:16" ht="12.75" customHeight="1" x14ac:dyDescent="0.2">
      <c r="A686" t="s">
        <v>604</v>
      </c>
      <c r="B686" t="s">
        <v>651</v>
      </c>
      <c r="C686" t="s">
        <v>1071</v>
      </c>
      <c r="D686" t="s">
        <v>960</v>
      </c>
      <c r="E686" t="s">
        <v>399</v>
      </c>
      <c r="F686" s="1">
        <v>46118</v>
      </c>
      <c r="G686" s="1">
        <v>46132</v>
      </c>
      <c r="H686" t="s">
        <v>1096</v>
      </c>
      <c r="I686">
        <v>347.88</v>
      </c>
      <c r="J686">
        <v>347.88</v>
      </c>
      <c r="K686">
        <v>0</v>
      </c>
      <c r="L686">
        <v>347.88</v>
      </c>
      <c r="M686">
        <v>0</v>
      </c>
      <c r="N686">
        <v>0</v>
      </c>
      <c r="O686" s="14">
        <f t="shared" ca="1" si="10"/>
        <v>38</v>
      </c>
      <c r="P686" t="s">
        <v>589</v>
      </c>
    </row>
    <row r="687" spans="1:16" ht="12.75" customHeight="1" x14ac:dyDescent="0.2">
      <c r="A687" t="s">
        <v>604</v>
      </c>
      <c r="B687" t="s">
        <v>651</v>
      </c>
      <c r="C687" t="s">
        <v>1071</v>
      </c>
      <c r="D687" t="s">
        <v>960</v>
      </c>
      <c r="E687" t="s">
        <v>399</v>
      </c>
      <c r="F687" s="1">
        <v>46148</v>
      </c>
      <c r="G687" s="1">
        <v>46162</v>
      </c>
      <c r="H687" t="s">
        <v>1154</v>
      </c>
      <c r="I687">
        <v>347.88</v>
      </c>
      <c r="J687">
        <v>347.88</v>
      </c>
      <c r="K687">
        <v>347.88</v>
      </c>
      <c r="L687">
        <v>0</v>
      </c>
      <c r="M687">
        <v>0</v>
      </c>
      <c r="N687">
        <v>0</v>
      </c>
      <c r="O687" s="14">
        <f t="shared" ca="1" si="10"/>
        <v>8</v>
      </c>
      <c r="P687" t="s">
        <v>589</v>
      </c>
    </row>
    <row r="688" spans="1:16" ht="12.75" customHeight="1" x14ac:dyDescent="0.2">
      <c r="A688" t="s">
        <v>604</v>
      </c>
      <c r="B688" t="s">
        <v>651</v>
      </c>
      <c r="C688" t="s">
        <v>851</v>
      </c>
      <c r="D688" t="s">
        <v>28</v>
      </c>
      <c r="E688" t="s">
        <v>399</v>
      </c>
      <c r="F688" s="1">
        <v>45012</v>
      </c>
      <c r="G688" s="1">
        <v>45042</v>
      </c>
      <c r="H688" t="s">
        <v>868</v>
      </c>
      <c r="I688">
        <v>453.75</v>
      </c>
      <c r="J688">
        <v>453.75</v>
      </c>
      <c r="K688">
        <v>0</v>
      </c>
      <c r="L688">
        <v>0</v>
      </c>
      <c r="M688">
        <v>0</v>
      </c>
      <c r="N688">
        <v>453.75</v>
      </c>
      <c r="O688" s="14">
        <f t="shared" ca="1" si="10"/>
        <v>1128</v>
      </c>
      <c r="P688" t="s">
        <v>1066</v>
      </c>
    </row>
    <row r="689" spans="1:16" ht="12.75" customHeight="1" x14ac:dyDescent="0.2">
      <c r="A689" t="s">
        <v>604</v>
      </c>
      <c r="B689" t="s">
        <v>651</v>
      </c>
      <c r="C689" t="s">
        <v>990</v>
      </c>
      <c r="D689" t="s">
        <v>692</v>
      </c>
      <c r="E689" t="s">
        <v>399</v>
      </c>
      <c r="F689" s="1">
        <v>46094</v>
      </c>
      <c r="G689" s="1">
        <v>46124</v>
      </c>
      <c r="H689" t="s">
        <v>59</v>
      </c>
      <c r="I689">
        <v>453.75</v>
      </c>
      <c r="J689">
        <v>453.75</v>
      </c>
      <c r="K689">
        <v>0</v>
      </c>
      <c r="L689">
        <v>453.75</v>
      </c>
      <c r="M689">
        <v>0</v>
      </c>
      <c r="N689">
        <v>0</v>
      </c>
      <c r="O689" s="14">
        <f t="shared" ca="1" si="10"/>
        <v>46</v>
      </c>
      <c r="P689" t="s">
        <v>589</v>
      </c>
    </row>
    <row r="690" spans="1:16" ht="12.75" customHeight="1" x14ac:dyDescent="0.2">
      <c r="A690" t="s">
        <v>604</v>
      </c>
      <c r="B690" t="s">
        <v>651</v>
      </c>
      <c r="C690" t="s">
        <v>990</v>
      </c>
      <c r="D690" t="s">
        <v>692</v>
      </c>
      <c r="E690" t="s">
        <v>399</v>
      </c>
      <c r="F690" s="1">
        <v>46094</v>
      </c>
      <c r="G690" s="1">
        <v>46124</v>
      </c>
      <c r="H690" t="s">
        <v>54</v>
      </c>
      <c r="I690">
        <v>544.5</v>
      </c>
      <c r="J690">
        <v>544.5</v>
      </c>
      <c r="K690">
        <v>0</v>
      </c>
      <c r="L690">
        <v>544.5</v>
      </c>
      <c r="M690">
        <v>0</v>
      </c>
      <c r="N690">
        <v>0</v>
      </c>
      <c r="O690" s="14">
        <f t="shared" ca="1" si="10"/>
        <v>46</v>
      </c>
      <c r="P690" t="s">
        <v>589</v>
      </c>
    </row>
    <row r="691" spans="1:16" ht="12.75" customHeight="1" x14ac:dyDescent="0.2">
      <c r="A691" t="s">
        <v>604</v>
      </c>
      <c r="B691" t="s">
        <v>651</v>
      </c>
      <c r="C691" t="s">
        <v>190</v>
      </c>
      <c r="D691" t="s">
        <v>412</v>
      </c>
      <c r="E691" t="s">
        <v>1194</v>
      </c>
      <c r="F691" s="1">
        <v>45838</v>
      </c>
      <c r="G691" s="1">
        <v>45868</v>
      </c>
      <c r="H691" t="s">
        <v>900</v>
      </c>
      <c r="I691">
        <v>-19360</v>
      </c>
      <c r="J691">
        <v>-19360</v>
      </c>
      <c r="K691">
        <v>0</v>
      </c>
      <c r="L691">
        <v>0</v>
      </c>
      <c r="M691">
        <v>0</v>
      </c>
      <c r="N691">
        <v>-19360</v>
      </c>
      <c r="O691" s="14">
        <f t="shared" ca="1" si="10"/>
        <v>302</v>
      </c>
      <c r="P691" t="s">
        <v>589</v>
      </c>
    </row>
    <row r="692" spans="1:16" ht="12.75" customHeight="1" x14ac:dyDescent="0.2">
      <c r="A692" t="s">
        <v>604</v>
      </c>
      <c r="B692" t="s">
        <v>651</v>
      </c>
      <c r="C692" t="s">
        <v>190</v>
      </c>
      <c r="D692" t="s">
        <v>412</v>
      </c>
      <c r="E692" t="s">
        <v>1194</v>
      </c>
      <c r="F692" s="1">
        <v>45838</v>
      </c>
      <c r="G692" s="1">
        <v>45868</v>
      </c>
      <c r="H692" t="s">
        <v>900</v>
      </c>
      <c r="I692">
        <v>-17545</v>
      </c>
      <c r="J692">
        <v>-17545</v>
      </c>
      <c r="K692">
        <v>0</v>
      </c>
      <c r="L692">
        <v>0</v>
      </c>
      <c r="M692">
        <v>0</v>
      </c>
      <c r="N692">
        <v>-17545</v>
      </c>
      <c r="O692" s="14">
        <f t="shared" ca="1" si="10"/>
        <v>302</v>
      </c>
      <c r="P692" t="s">
        <v>589</v>
      </c>
    </row>
    <row r="693" spans="1:16" ht="12.75" customHeight="1" x14ac:dyDescent="0.2">
      <c r="A693" t="s">
        <v>604</v>
      </c>
      <c r="B693" t="s">
        <v>651</v>
      </c>
      <c r="C693" t="s">
        <v>968</v>
      </c>
      <c r="D693" t="s">
        <v>86</v>
      </c>
      <c r="E693" t="s">
        <v>399</v>
      </c>
      <c r="F693" s="1">
        <v>46062</v>
      </c>
      <c r="G693" s="1">
        <v>46092</v>
      </c>
      <c r="H693" t="s">
        <v>3</v>
      </c>
      <c r="I693">
        <v>484</v>
      </c>
      <c r="J693">
        <v>484</v>
      </c>
      <c r="K693">
        <v>0</v>
      </c>
      <c r="L693">
        <v>0</v>
      </c>
      <c r="M693">
        <v>484</v>
      </c>
      <c r="N693">
        <v>0</v>
      </c>
      <c r="O693" s="14">
        <f t="shared" ca="1" si="10"/>
        <v>78</v>
      </c>
      <c r="P693" t="s">
        <v>589</v>
      </c>
    </row>
    <row r="694" spans="1:16" ht="12.75" customHeight="1" x14ac:dyDescent="0.2">
      <c r="A694" t="s">
        <v>604</v>
      </c>
      <c r="B694" t="s">
        <v>651</v>
      </c>
      <c r="C694" t="s">
        <v>114</v>
      </c>
      <c r="D694" t="s">
        <v>647</v>
      </c>
      <c r="E694" t="s">
        <v>399</v>
      </c>
      <c r="F694" s="1">
        <v>46062</v>
      </c>
      <c r="G694" s="1">
        <v>46092</v>
      </c>
      <c r="H694" t="s">
        <v>2</v>
      </c>
      <c r="I694">
        <v>484</v>
      </c>
      <c r="J694">
        <v>484</v>
      </c>
      <c r="K694">
        <v>0</v>
      </c>
      <c r="L694">
        <v>0</v>
      </c>
      <c r="M694">
        <v>484</v>
      </c>
      <c r="N694">
        <v>0</v>
      </c>
      <c r="O694" s="14">
        <f t="shared" ca="1" si="10"/>
        <v>78</v>
      </c>
      <c r="P694" t="s">
        <v>589</v>
      </c>
    </row>
    <row r="695" spans="1:16" ht="12.75" customHeight="1" x14ac:dyDescent="0.2">
      <c r="A695" t="s">
        <v>604</v>
      </c>
      <c r="B695" t="s">
        <v>651</v>
      </c>
      <c r="C695" t="s">
        <v>352</v>
      </c>
      <c r="D695" t="s">
        <v>21</v>
      </c>
      <c r="E695" t="s">
        <v>399</v>
      </c>
      <c r="F695" s="1">
        <v>46125</v>
      </c>
      <c r="G695" s="1">
        <v>46155</v>
      </c>
      <c r="H695" t="s">
        <v>1177</v>
      </c>
      <c r="I695">
        <v>5747.5</v>
      </c>
      <c r="J695">
        <v>5747.5</v>
      </c>
      <c r="K695">
        <v>5747.5</v>
      </c>
      <c r="L695">
        <v>0</v>
      </c>
      <c r="M695">
        <v>0</v>
      </c>
      <c r="N695">
        <v>0</v>
      </c>
      <c r="O695" s="14">
        <f t="shared" ca="1" si="10"/>
        <v>15</v>
      </c>
      <c r="P695" t="s">
        <v>589</v>
      </c>
    </row>
    <row r="696" spans="1:16" ht="12.75" customHeight="1" x14ac:dyDescent="0.2">
      <c r="A696" t="s">
        <v>604</v>
      </c>
      <c r="B696" t="s">
        <v>651</v>
      </c>
      <c r="C696" t="s">
        <v>1132</v>
      </c>
      <c r="D696" t="s">
        <v>566</v>
      </c>
      <c r="E696" t="s">
        <v>399</v>
      </c>
      <c r="F696" s="1">
        <v>45488</v>
      </c>
      <c r="G696" s="1">
        <v>45518</v>
      </c>
      <c r="H696" t="s">
        <v>1168</v>
      </c>
      <c r="I696">
        <v>1573</v>
      </c>
      <c r="J696">
        <v>1573</v>
      </c>
      <c r="K696">
        <v>0</v>
      </c>
      <c r="L696">
        <v>0</v>
      </c>
      <c r="M696">
        <v>0</v>
      </c>
      <c r="N696">
        <v>1573</v>
      </c>
      <c r="O696" s="14">
        <f t="shared" ca="1" si="10"/>
        <v>652</v>
      </c>
      <c r="P696" t="s">
        <v>589</v>
      </c>
    </row>
    <row r="697" spans="1:16" ht="12.75" customHeight="1" x14ac:dyDescent="0.2">
      <c r="A697" t="s">
        <v>604</v>
      </c>
      <c r="B697" t="s">
        <v>651</v>
      </c>
      <c r="C697" t="s">
        <v>1132</v>
      </c>
      <c r="D697" t="s">
        <v>566</v>
      </c>
      <c r="E697" t="s">
        <v>399</v>
      </c>
      <c r="F697" s="1">
        <v>46009</v>
      </c>
      <c r="G697" s="1">
        <v>46039</v>
      </c>
      <c r="H697" t="s">
        <v>947</v>
      </c>
      <c r="I697">
        <v>-1573</v>
      </c>
      <c r="J697">
        <v>-1573</v>
      </c>
      <c r="K697">
        <v>0</v>
      </c>
      <c r="L697">
        <v>0</v>
      </c>
      <c r="M697">
        <v>0</v>
      </c>
      <c r="N697">
        <v>-1573</v>
      </c>
      <c r="O697" s="14">
        <f t="shared" ca="1" si="10"/>
        <v>131</v>
      </c>
      <c r="P697" t="s">
        <v>589</v>
      </c>
    </row>
    <row r="698" spans="1:16" ht="12.75" customHeight="1" x14ac:dyDescent="0.2">
      <c r="A698" t="s">
        <v>604</v>
      </c>
      <c r="B698" t="s">
        <v>651</v>
      </c>
      <c r="C698" t="s">
        <v>1133</v>
      </c>
      <c r="D698" t="s">
        <v>393</v>
      </c>
      <c r="E698" t="s">
        <v>399</v>
      </c>
      <c r="F698" s="1">
        <v>46009</v>
      </c>
      <c r="G698" s="1">
        <v>46039</v>
      </c>
      <c r="H698" t="s">
        <v>1207</v>
      </c>
      <c r="I698">
        <v>28645.24</v>
      </c>
      <c r="J698">
        <v>28645.24</v>
      </c>
      <c r="K698">
        <v>0</v>
      </c>
      <c r="L698">
        <v>0</v>
      </c>
      <c r="M698">
        <v>0</v>
      </c>
      <c r="N698">
        <v>28645.24</v>
      </c>
      <c r="O698" s="14">
        <f t="shared" ca="1" si="10"/>
        <v>131</v>
      </c>
      <c r="P698" t="s">
        <v>589</v>
      </c>
    </row>
    <row r="699" spans="1:16" ht="12.75" customHeight="1" x14ac:dyDescent="0.2">
      <c r="A699" t="s">
        <v>604</v>
      </c>
      <c r="B699" t="s">
        <v>651</v>
      </c>
      <c r="C699" t="s">
        <v>970</v>
      </c>
      <c r="D699" t="s">
        <v>1151</v>
      </c>
      <c r="E699" t="s">
        <v>399</v>
      </c>
      <c r="F699" s="1">
        <v>45572</v>
      </c>
      <c r="G699" s="1">
        <v>45602</v>
      </c>
      <c r="H699" t="s">
        <v>480</v>
      </c>
      <c r="I699">
        <v>907.5</v>
      </c>
      <c r="J699">
        <v>907.5</v>
      </c>
      <c r="K699">
        <v>0</v>
      </c>
      <c r="L699">
        <v>0</v>
      </c>
      <c r="M699">
        <v>0</v>
      </c>
      <c r="N699">
        <v>907.5</v>
      </c>
      <c r="O699" s="14">
        <f t="shared" ca="1" si="10"/>
        <v>568</v>
      </c>
      <c r="P699" t="s">
        <v>589</v>
      </c>
    </row>
    <row r="700" spans="1:16" ht="12.75" customHeight="1" x14ac:dyDescent="0.2">
      <c r="A700" t="s">
        <v>604</v>
      </c>
      <c r="B700" t="s">
        <v>651</v>
      </c>
      <c r="C700" t="s">
        <v>970</v>
      </c>
      <c r="D700" t="s">
        <v>1151</v>
      </c>
      <c r="E700" t="s">
        <v>399</v>
      </c>
      <c r="F700" s="1">
        <v>45572</v>
      </c>
      <c r="G700" s="1">
        <v>45602</v>
      </c>
      <c r="H700" t="s">
        <v>479</v>
      </c>
      <c r="I700">
        <v>907.5</v>
      </c>
      <c r="J700">
        <v>907.5</v>
      </c>
      <c r="K700">
        <v>0</v>
      </c>
      <c r="L700">
        <v>0</v>
      </c>
      <c r="M700">
        <v>0</v>
      </c>
      <c r="N700">
        <v>907.5</v>
      </c>
      <c r="O700" s="14">
        <f t="shared" ca="1" si="10"/>
        <v>568</v>
      </c>
      <c r="P700" t="s">
        <v>589</v>
      </c>
    </row>
    <row r="701" spans="1:16" ht="12.75" customHeight="1" x14ac:dyDescent="0.2">
      <c r="A701" t="s">
        <v>604</v>
      </c>
      <c r="B701" t="s">
        <v>651</v>
      </c>
      <c r="C701" t="s">
        <v>970</v>
      </c>
      <c r="D701" t="s">
        <v>1151</v>
      </c>
      <c r="E701" t="s">
        <v>399</v>
      </c>
      <c r="F701" s="1">
        <v>46009</v>
      </c>
      <c r="G701" s="1">
        <v>46039</v>
      </c>
      <c r="H701" t="s">
        <v>387</v>
      </c>
      <c r="I701">
        <v>-907.5</v>
      </c>
      <c r="J701">
        <v>-907.5</v>
      </c>
      <c r="K701">
        <v>0</v>
      </c>
      <c r="L701">
        <v>0</v>
      </c>
      <c r="M701">
        <v>0</v>
      </c>
      <c r="N701">
        <v>-907.5</v>
      </c>
      <c r="O701" s="14">
        <f t="shared" ca="1" si="10"/>
        <v>131</v>
      </c>
      <c r="P701" t="s">
        <v>589</v>
      </c>
    </row>
    <row r="702" spans="1:16" ht="12.75" customHeight="1" x14ac:dyDescent="0.2">
      <c r="A702" t="s">
        <v>604</v>
      </c>
      <c r="B702" t="s">
        <v>651</v>
      </c>
      <c r="C702" t="s">
        <v>970</v>
      </c>
      <c r="D702" t="s">
        <v>1151</v>
      </c>
      <c r="E702" t="s">
        <v>399</v>
      </c>
      <c r="F702" s="1">
        <v>46009</v>
      </c>
      <c r="G702" s="1">
        <v>46039</v>
      </c>
      <c r="H702" t="s">
        <v>386</v>
      </c>
      <c r="I702">
        <v>-907.5</v>
      </c>
      <c r="J702">
        <v>-907.5</v>
      </c>
      <c r="K702">
        <v>0</v>
      </c>
      <c r="L702">
        <v>0</v>
      </c>
      <c r="M702">
        <v>0</v>
      </c>
      <c r="N702">
        <v>-907.5</v>
      </c>
      <c r="O702" s="14">
        <f t="shared" ca="1" si="10"/>
        <v>131</v>
      </c>
      <c r="P702" t="s">
        <v>589</v>
      </c>
    </row>
    <row r="703" spans="1:16" ht="12.75" customHeight="1" x14ac:dyDescent="0.2">
      <c r="A703" t="s">
        <v>604</v>
      </c>
      <c r="B703" t="s">
        <v>651</v>
      </c>
      <c r="C703" t="s">
        <v>992</v>
      </c>
      <c r="D703" t="s">
        <v>578</v>
      </c>
      <c r="E703" t="s">
        <v>399</v>
      </c>
      <c r="F703" s="1">
        <v>45572</v>
      </c>
      <c r="G703" s="1">
        <v>45602</v>
      </c>
      <c r="H703" t="s">
        <v>207</v>
      </c>
      <c r="I703">
        <v>907.5</v>
      </c>
      <c r="J703">
        <v>907.5</v>
      </c>
      <c r="K703">
        <v>0</v>
      </c>
      <c r="L703">
        <v>0</v>
      </c>
      <c r="M703">
        <v>0</v>
      </c>
      <c r="N703">
        <v>907.5</v>
      </c>
      <c r="O703" s="14">
        <f t="shared" ca="1" si="10"/>
        <v>568</v>
      </c>
      <c r="P703" t="s">
        <v>589</v>
      </c>
    </row>
    <row r="704" spans="1:16" ht="12.75" customHeight="1" x14ac:dyDescent="0.2">
      <c r="A704" t="s">
        <v>604</v>
      </c>
      <c r="B704" t="s">
        <v>651</v>
      </c>
      <c r="C704" t="s">
        <v>992</v>
      </c>
      <c r="D704" t="s">
        <v>578</v>
      </c>
      <c r="E704" t="s">
        <v>399</v>
      </c>
      <c r="F704" s="1">
        <v>46009</v>
      </c>
      <c r="G704" s="1">
        <v>46039</v>
      </c>
      <c r="H704" t="s">
        <v>1205</v>
      </c>
      <c r="I704">
        <v>-907.5</v>
      </c>
      <c r="J704">
        <v>-907.5</v>
      </c>
      <c r="K704">
        <v>0</v>
      </c>
      <c r="L704">
        <v>0</v>
      </c>
      <c r="M704">
        <v>0</v>
      </c>
      <c r="N704">
        <v>-907.5</v>
      </c>
      <c r="O704" s="14">
        <f t="shared" ca="1" si="10"/>
        <v>131</v>
      </c>
      <c r="P704" t="s">
        <v>589</v>
      </c>
    </row>
    <row r="705" spans="1:16" ht="12.75" customHeight="1" x14ac:dyDescent="0.2">
      <c r="A705" t="s">
        <v>604</v>
      </c>
      <c r="B705" t="s">
        <v>651</v>
      </c>
      <c r="C705" t="s">
        <v>1272</v>
      </c>
      <c r="D705" t="s">
        <v>1072</v>
      </c>
      <c r="E705" t="s">
        <v>399</v>
      </c>
      <c r="F705" s="1">
        <v>46030</v>
      </c>
      <c r="G705" s="1">
        <v>46060</v>
      </c>
      <c r="H705" t="s">
        <v>44</v>
      </c>
      <c r="I705">
        <v>302.5</v>
      </c>
      <c r="J705">
        <v>302.5</v>
      </c>
      <c r="K705">
        <v>0</v>
      </c>
      <c r="L705">
        <v>0</v>
      </c>
      <c r="M705">
        <v>0</v>
      </c>
      <c r="N705">
        <v>302.5</v>
      </c>
      <c r="O705" s="14">
        <f t="shared" ca="1" si="10"/>
        <v>110</v>
      </c>
      <c r="P705" t="s">
        <v>589</v>
      </c>
    </row>
    <row r="706" spans="1:16" ht="12.75" customHeight="1" x14ac:dyDescent="0.2">
      <c r="A706" t="s">
        <v>604</v>
      </c>
      <c r="B706" t="s">
        <v>651</v>
      </c>
      <c r="C706" t="s">
        <v>1272</v>
      </c>
      <c r="D706" t="s">
        <v>1072</v>
      </c>
      <c r="E706" t="s">
        <v>399</v>
      </c>
      <c r="F706" s="1">
        <v>46055</v>
      </c>
      <c r="G706" s="1">
        <v>46085</v>
      </c>
      <c r="H706" t="s">
        <v>1237</v>
      </c>
      <c r="I706">
        <v>302.5</v>
      </c>
      <c r="J706">
        <v>302.5</v>
      </c>
      <c r="K706">
        <v>0</v>
      </c>
      <c r="L706">
        <v>0</v>
      </c>
      <c r="M706">
        <v>302.5</v>
      </c>
      <c r="N706">
        <v>0</v>
      </c>
      <c r="O706" s="14">
        <f t="shared" ca="1" si="10"/>
        <v>85</v>
      </c>
      <c r="P706" t="s">
        <v>589</v>
      </c>
    </row>
    <row r="707" spans="1:16" ht="12.75" customHeight="1" x14ac:dyDescent="0.2">
      <c r="A707" t="s">
        <v>604</v>
      </c>
      <c r="B707" t="s">
        <v>651</v>
      </c>
      <c r="C707" t="s">
        <v>1272</v>
      </c>
      <c r="D707" t="s">
        <v>1072</v>
      </c>
      <c r="E707" t="s">
        <v>399</v>
      </c>
      <c r="F707" s="1">
        <v>46085</v>
      </c>
      <c r="G707" s="1">
        <v>46115</v>
      </c>
      <c r="H707" t="s">
        <v>229</v>
      </c>
      <c r="I707">
        <v>302.5</v>
      </c>
      <c r="J707">
        <v>302.5</v>
      </c>
      <c r="K707">
        <v>0</v>
      </c>
      <c r="L707">
        <v>302.5</v>
      </c>
      <c r="M707">
        <v>0</v>
      </c>
      <c r="N707">
        <v>0</v>
      </c>
      <c r="O707" s="14">
        <f t="shared" ref="O707:O770" ca="1" si="11">TODAY()-G707</f>
        <v>55</v>
      </c>
      <c r="P707" t="s">
        <v>589</v>
      </c>
    </row>
    <row r="708" spans="1:16" ht="12.75" customHeight="1" x14ac:dyDescent="0.2">
      <c r="A708" t="s">
        <v>604</v>
      </c>
      <c r="B708" t="s">
        <v>651</v>
      </c>
      <c r="C708" t="s">
        <v>746</v>
      </c>
      <c r="D708" t="s">
        <v>570</v>
      </c>
      <c r="E708" t="s">
        <v>399</v>
      </c>
      <c r="F708" s="1">
        <v>45355</v>
      </c>
      <c r="G708" s="1">
        <v>45369</v>
      </c>
      <c r="H708" t="s">
        <v>1016</v>
      </c>
      <c r="I708">
        <v>1998.32</v>
      </c>
      <c r="J708">
        <v>666.12</v>
      </c>
      <c r="K708">
        <v>0</v>
      </c>
      <c r="L708">
        <v>0</v>
      </c>
      <c r="M708">
        <v>0</v>
      </c>
      <c r="N708">
        <v>666.12</v>
      </c>
      <c r="O708" s="14">
        <f t="shared" ca="1" si="11"/>
        <v>801</v>
      </c>
      <c r="P708" t="s">
        <v>589</v>
      </c>
    </row>
    <row r="709" spans="1:16" ht="12.75" customHeight="1" x14ac:dyDescent="0.2">
      <c r="A709" t="s">
        <v>604</v>
      </c>
      <c r="B709" t="s">
        <v>651</v>
      </c>
      <c r="C709" t="s">
        <v>746</v>
      </c>
      <c r="D709" t="s">
        <v>570</v>
      </c>
      <c r="E709" t="s">
        <v>399</v>
      </c>
      <c r="F709" s="1">
        <v>45726</v>
      </c>
      <c r="G709" s="1">
        <v>45740</v>
      </c>
      <c r="H709" t="s">
        <v>574</v>
      </c>
      <c r="I709">
        <v>2964.26</v>
      </c>
      <c r="J709">
        <v>2964.26</v>
      </c>
      <c r="K709">
        <v>0</v>
      </c>
      <c r="L709">
        <v>0</v>
      </c>
      <c r="M709">
        <v>0</v>
      </c>
      <c r="N709">
        <v>2964.26</v>
      </c>
      <c r="O709" s="14">
        <f t="shared" ca="1" si="11"/>
        <v>430</v>
      </c>
      <c r="P709" t="s">
        <v>589</v>
      </c>
    </row>
    <row r="710" spans="1:16" ht="12.75" customHeight="1" x14ac:dyDescent="0.2">
      <c r="A710" t="s">
        <v>604</v>
      </c>
      <c r="B710" t="s">
        <v>651</v>
      </c>
      <c r="C710" t="s">
        <v>746</v>
      </c>
      <c r="D710" t="s">
        <v>570</v>
      </c>
      <c r="E710" t="s">
        <v>399</v>
      </c>
      <c r="F710" s="1">
        <v>46104</v>
      </c>
      <c r="G710" s="1">
        <v>46118</v>
      </c>
      <c r="H710" t="s">
        <v>840</v>
      </c>
      <c r="I710">
        <v>605</v>
      </c>
      <c r="J710">
        <v>605</v>
      </c>
      <c r="K710">
        <v>0</v>
      </c>
      <c r="L710">
        <v>605</v>
      </c>
      <c r="M710">
        <v>0</v>
      </c>
      <c r="N710">
        <v>0</v>
      </c>
      <c r="O710" s="14">
        <f t="shared" ca="1" si="11"/>
        <v>52</v>
      </c>
      <c r="P710" t="s">
        <v>589</v>
      </c>
    </row>
    <row r="711" spans="1:16" ht="12.75" customHeight="1" x14ac:dyDescent="0.2">
      <c r="A711" t="s">
        <v>604</v>
      </c>
      <c r="B711" t="s">
        <v>651</v>
      </c>
      <c r="C711" t="s">
        <v>746</v>
      </c>
      <c r="D711" t="s">
        <v>570</v>
      </c>
      <c r="E711" t="s">
        <v>399</v>
      </c>
      <c r="F711" s="1">
        <v>46118</v>
      </c>
      <c r="G711" s="1">
        <v>46132</v>
      </c>
      <c r="H711" t="s">
        <v>675</v>
      </c>
      <c r="I711">
        <v>272.25</v>
      </c>
      <c r="J711">
        <v>272.25</v>
      </c>
      <c r="K711">
        <v>0</v>
      </c>
      <c r="L711">
        <v>272.25</v>
      </c>
      <c r="M711">
        <v>0</v>
      </c>
      <c r="N711">
        <v>0</v>
      </c>
      <c r="O711" s="14">
        <f t="shared" ca="1" si="11"/>
        <v>38</v>
      </c>
      <c r="P711" t="s">
        <v>589</v>
      </c>
    </row>
    <row r="712" spans="1:16" ht="12.75" customHeight="1" x14ac:dyDescent="0.2">
      <c r="A712" t="s">
        <v>604</v>
      </c>
      <c r="B712" t="s">
        <v>651</v>
      </c>
      <c r="C712" t="s">
        <v>746</v>
      </c>
      <c r="D712" t="s">
        <v>570</v>
      </c>
      <c r="E712" t="s">
        <v>399</v>
      </c>
      <c r="F712" s="1">
        <v>46148</v>
      </c>
      <c r="G712" s="1">
        <v>46162</v>
      </c>
      <c r="H712" t="s">
        <v>397</v>
      </c>
      <c r="I712">
        <v>272.25</v>
      </c>
      <c r="J712">
        <v>272.25</v>
      </c>
      <c r="K712">
        <v>272.25</v>
      </c>
      <c r="L712">
        <v>0</v>
      </c>
      <c r="M712">
        <v>0</v>
      </c>
      <c r="N712">
        <v>0</v>
      </c>
      <c r="O712" s="14">
        <f t="shared" ca="1" si="11"/>
        <v>8</v>
      </c>
      <c r="P712" t="s">
        <v>589</v>
      </c>
    </row>
    <row r="713" spans="1:16" ht="12.75" customHeight="1" x14ac:dyDescent="0.2">
      <c r="A713" t="s">
        <v>604</v>
      </c>
      <c r="B713" t="s">
        <v>651</v>
      </c>
      <c r="C713" t="s">
        <v>1030</v>
      </c>
      <c r="D713" t="s">
        <v>1084</v>
      </c>
      <c r="E713" t="s">
        <v>399</v>
      </c>
      <c r="F713" s="1">
        <v>45957</v>
      </c>
      <c r="G713" s="1">
        <v>45987</v>
      </c>
      <c r="H713" t="s">
        <v>845</v>
      </c>
      <c r="I713">
        <v>3584.63</v>
      </c>
      <c r="J713">
        <v>3584.63</v>
      </c>
      <c r="K713">
        <v>0</v>
      </c>
      <c r="L713">
        <v>0</v>
      </c>
      <c r="M713">
        <v>0</v>
      </c>
      <c r="N713">
        <v>3584.63</v>
      </c>
      <c r="O713" s="14">
        <f t="shared" ca="1" si="11"/>
        <v>183</v>
      </c>
      <c r="P713" t="s">
        <v>589</v>
      </c>
    </row>
    <row r="714" spans="1:16" ht="12.75" customHeight="1" x14ac:dyDescent="0.2">
      <c r="A714" t="s">
        <v>604</v>
      </c>
      <c r="B714" t="s">
        <v>651</v>
      </c>
      <c r="C714" t="s">
        <v>584</v>
      </c>
      <c r="D714" t="s">
        <v>748</v>
      </c>
      <c r="E714" t="s">
        <v>399</v>
      </c>
      <c r="F714" s="1">
        <v>45726</v>
      </c>
      <c r="G714" s="1">
        <v>45756</v>
      </c>
      <c r="H714" t="s">
        <v>709</v>
      </c>
      <c r="I714">
        <v>605</v>
      </c>
      <c r="J714">
        <v>605</v>
      </c>
      <c r="K714">
        <v>0</v>
      </c>
      <c r="L714">
        <v>0</v>
      </c>
      <c r="M714">
        <v>0</v>
      </c>
      <c r="N714">
        <v>605</v>
      </c>
      <c r="O714" s="14">
        <f t="shared" ca="1" si="11"/>
        <v>414</v>
      </c>
      <c r="P714" t="s">
        <v>589</v>
      </c>
    </row>
    <row r="715" spans="1:16" ht="12.75" customHeight="1" x14ac:dyDescent="0.2">
      <c r="A715" t="s">
        <v>604</v>
      </c>
      <c r="B715" t="s">
        <v>651</v>
      </c>
      <c r="C715" t="s">
        <v>584</v>
      </c>
      <c r="D715" t="s">
        <v>748</v>
      </c>
      <c r="E715" t="s">
        <v>399</v>
      </c>
      <c r="F715" s="1">
        <v>46104</v>
      </c>
      <c r="G715" s="1">
        <v>46134</v>
      </c>
      <c r="H715" t="s">
        <v>67</v>
      </c>
      <c r="I715">
        <v>605</v>
      </c>
      <c r="J715">
        <v>605</v>
      </c>
      <c r="K715">
        <v>0</v>
      </c>
      <c r="L715">
        <v>605</v>
      </c>
      <c r="M715">
        <v>0</v>
      </c>
      <c r="N715">
        <v>0</v>
      </c>
      <c r="O715" s="14">
        <f t="shared" ca="1" si="11"/>
        <v>36</v>
      </c>
      <c r="P715" t="s">
        <v>589</v>
      </c>
    </row>
    <row r="716" spans="1:16" ht="12.75" customHeight="1" x14ac:dyDescent="0.2">
      <c r="A716" t="s">
        <v>604</v>
      </c>
      <c r="B716" t="s">
        <v>651</v>
      </c>
      <c r="C716" t="s">
        <v>758</v>
      </c>
      <c r="D716" t="s">
        <v>384</v>
      </c>
      <c r="E716" t="s">
        <v>399</v>
      </c>
      <c r="F716" s="1">
        <v>46030</v>
      </c>
      <c r="G716" s="1">
        <v>46060</v>
      </c>
      <c r="H716" t="s">
        <v>528</v>
      </c>
      <c r="I716">
        <v>350.9</v>
      </c>
      <c r="J716">
        <v>350.9</v>
      </c>
      <c r="K716">
        <v>0</v>
      </c>
      <c r="L716">
        <v>0</v>
      </c>
      <c r="M716">
        <v>0</v>
      </c>
      <c r="N716">
        <v>350.9</v>
      </c>
      <c r="O716" s="14">
        <f t="shared" ca="1" si="11"/>
        <v>110</v>
      </c>
      <c r="P716" t="s">
        <v>589</v>
      </c>
    </row>
    <row r="717" spans="1:16" ht="12.75" customHeight="1" x14ac:dyDescent="0.2">
      <c r="A717" t="s">
        <v>604</v>
      </c>
      <c r="B717" t="s">
        <v>651</v>
      </c>
      <c r="C717" t="s">
        <v>758</v>
      </c>
      <c r="D717" t="s">
        <v>384</v>
      </c>
      <c r="E717" t="s">
        <v>399</v>
      </c>
      <c r="F717" s="1">
        <v>46055</v>
      </c>
      <c r="G717" s="1">
        <v>46085</v>
      </c>
      <c r="H717" t="s">
        <v>414</v>
      </c>
      <c r="I717">
        <v>350.9</v>
      </c>
      <c r="J717">
        <v>350.9</v>
      </c>
      <c r="K717">
        <v>0</v>
      </c>
      <c r="L717">
        <v>0</v>
      </c>
      <c r="M717">
        <v>350.9</v>
      </c>
      <c r="N717">
        <v>0</v>
      </c>
      <c r="O717" s="14">
        <f t="shared" ca="1" si="11"/>
        <v>85</v>
      </c>
      <c r="P717" t="s">
        <v>589</v>
      </c>
    </row>
    <row r="718" spans="1:16" ht="12.75" customHeight="1" x14ac:dyDescent="0.2">
      <c r="A718" t="s">
        <v>604</v>
      </c>
      <c r="B718" t="s">
        <v>651</v>
      </c>
      <c r="C718" t="s">
        <v>758</v>
      </c>
      <c r="D718" t="s">
        <v>384</v>
      </c>
      <c r="E718" t="s">
        <v>399</v>
      </c>
      <c r="F718" s="1">
        <v>46085</v>
      </c>
      <c r="G718" s="1">
        <v>46115</v>
      </c>
      <c r="H718" t="s">
        <v>721</v>
      </c>
      <c r="I718">
        <v>350.9</v>
      </c>
      <c r="J718">
        <v>350.9</v>
      </c>
      <c r="K718">
        <v>0</v>
      </c>
      <c r="L718">
        <v>350.9</v>
      </c>
      <c r="M718">
        <v>0</v>
      </c>
      <c r="N718">
        <v>0</v>
      </c>
      <c r="O718" s="14">
        <f t="shared" ca="1" si="11"/>
        <v>55</v>
      </c>
      <c r="P718" t="s">
        <v>589</v>
      </c>
    </row>
    <row r="719" spans="1:16" ht="12.75" customHeight="1" x14ac:dyDescent="0.2">
      <c r="A719" t="s">
        <v>604</v>
      </c>
      <c r="B719" t="s">
        <v>651</v>
      </c>
      <c r="C719" t="s">
        <v>758</v>
      </c>
      <c r="D719" t="s">
        <v>384</v>
      </c>
      <c r="E719" t="s">
        <v>399</v>
      </c>
      <c r="F719" s="1">
        <v>46118</v>
      </c>
      <c r="G719" s="1">
        <v>46148</v>
      </c>
      <c r="H719" t="s">
        <v>250</v>
      </c>
      <c r="I719">
        <v>350.9</v>
      </c>
      <c r="J719">
        <v>350.9</v>
      </c>
      <c r="K719">
        <v>350.9</v>
      </c>
      <c r="L719">
        <v>0</v>
      </c>
      <c r="M719">
        <v>0</v>
      </c>
      <c r="N719">
        <v>0</v>
      </c>
      <c r="O719" s="14">
        <f t="shared" ca="1" si="11"/>
        <v>22</v>
      </c>
      <c r="P719" t="s">
        <v>589</v>
      </c>
    </row>
    <row r="720" spans="1:16" ht="12.75" customHeight="1" x14ac:dyDescent="0.2">
      <c r="A720" t="s">
        <v>604</v>
      </c>
      <c r="B720" t="s">
        <v>651</v>
      </c>
      <c r="C720" t="s">
        <v>78</v>
      </c>
      <c r="D720" t="s">
        <v>668</v>
      </c>
      <c r="E720" t="s">
        <v>399</v>
      </c>
      <c r="F720" s="1">
        <v>46118</v>
      </c>
      <c r="G720" s="1">
        <v>46148</v>
      </c>
      <c r="H720" t="s">
        <v>1089</v>
      </c>
      <c r="I720">
        <v>181.5</v>
      </c>
      <c r="J720">
        <v>181.5</v>
      </c>
      <c r="K720">
        <v>181.5</v>
      </c>
      <c r="L720">
        <v>0</v>
      </c>
      <c r="M720">
        <v>0</v>
      </c>
      <c r="N720">
        <v>0</v>
      </c>
      <c r="O720" s="14">
        <f t="shared" ca="1" si="11"/>
        <v>22</v>
      </c>
      <c r="P720" t="s">
        <v>589</v>
      </c>
    </row>
    <row r="721" spans="1:16" ht="12.75" customHeight="1" x14ac:dyDescent="0.2">
      <c r="A721" t="s">
        <v>604</v>
      </c>
      <c r="B721" t="s">
        <v>651</v>
      </c>
      <c r="C721" t="s">
        <v>1230</v>
      </c>
      <c r="D721" t="s">
        <v>991</v>
      </c>
      <c r="E721" t="s">
        <v>399</v>
      </c>
      <c r="F721" s="1">
        <v>45672</v>
      </c>
      <c r="G721" s="1">
        <v>45702</v>
      </c>
      <c r="H721" t="s">
        <v>474</v>
      </c>
      <c r="I721">
        <v>242</v>
      </c>
      <c r="J721">
        <v>242</v>
      </c>
      <c r="K721">
        <v>0</v>
      </c>
      <c r="L721">
        <v>0</v>
      </c>
      <c r="M721">
        <v>0</v>
      </c>
      <c r="N721">
        <v>242</v>
      </c>
      <c r="O721" s="14">
        <f t="shared" ca="1" si="11"/>
        <v>468</v>
      </c>
      <c r="P721" t="s">
        <v>589</v>
      </c>
    </row>
    <row r="722" spans="1:16" ht="12.75" customHeight="1" x14ac:dyDescent="0.2">
      <c r="A722" t="s">
        <v>604</v>
      </c>
      <c r="B722" t="s">
        <v>651</v>
      </c>
      <c r="C722" t="s">
        <v>495</v>
      </c>
      <c r="D722" t="s">
        <v>433</v>
      </c>
      <c r="E722" t="s">
        <v>1194</v>
      </c>
      <c r="F722" s="1">
        <v>45295</v>
      </c>
      <c r="G722" s="1">
        <v>45325</v>
      </c>
      <c r="H722" t="s">
        <v>900</v>
      </c>
      <c r="I722">
        <v>-514.25</v>
      </c>
      <c r="J722">
        <v>-514.25</v>
      </c>
      <c r="K722">
        <v>0</v>
      </c>
      <c r="L722">
        <v>0</v>
      </c>
      <c r="M722">
        <v>0</v>
      </c>
      <c r="N722">
        <v>-514.25</v>
      </c>
      <c r="O722" s="14">
        <f t="shared" ca="1" si="11"/>
        <v>845</v>
      </c>
      <c r="P722" t="s">
        <v>589</v>
      </c>
    </row>
    <row r="723" spans="1:16" ht="12.75" customHeight="1" x14ac:dyDescent="0.2">
      <c r="A723" t="s">
        <v>604</v>
      </c>
      <c r="B723" t="s">
        <v>651</v>
      </c>
      <c r="C723" t="s">
        <v>495</v>
      </c>
      <c r="D723" t="s">
        <v>433</v>
      </c>
      <c r="E723" t="s">
        <v>1194</v>
      </c>
      <c r="F723" s="1">
        <v>45336</v>
      </c>
      <c r="G723" s="1">
        <v>45366</v>
      </c>
      <c r="H723" t="s">
        <v>900</v>
      </c>
      <c r="I723">
        <v>-514.25</v>
      </c>
      <c r="J723">
        <v>-514.25</v>
      </c>
      <c r="K723">
        <v>0</v>
      </c>
      <c r="L723">
        <v>0</v>
      </c>
      <c r="M723">
        <v>0</v>
      </c>
      <c r="N723">
        <v>-514.25</v>
      </c>
      <c r="O723" s="14">
        <f t="shared" ca="1" si="11"/>
        <v>804</v>
      </c>
      <c r="P723" t="s">
        <v>589</v>
      </c>
    </row>
    <row r="724" spans="1:16" ht="12.75" customHeight="1" x14ac:dyDescent="0.2">
      <c r="A724" t="s">
        <v>604</v>
      </c>
      <c r="B724" t="s">
        <v>651</v>
      </c>
      <c r="C724" t="s">
        <v>661</v>
      </c>
      <c r="D724" t="s">
        <v>796</v>
      </c>
      <c r="E724" t="s">
        <v>399</v>
      </c>
      <c r="F724" s="1">
        <v>45726</v>
      </c>
      <c r="G724" s="1">
        <v>45756</v>
      </c>
      <c r="H724" t="s">
        <v>365</v>
      </c>
      <c r="I724">
        <v>9011.7199999999993</v>
      </c>
      <c r="J724">
        <v>9011.7199999999993</v>
      </c>
      <c r="K724">
        <v>0</v>
      </c>
      <c r="L724">
        <v>0</v>
      </c>
      <c r="M724">
        <v>0</v>
      </c>
      <c r="N724">
        <v>9011.7199999999993</v>
      </c>
      <c r="O724" s="14">
        <f t="shared" ca="1" si="11"/>
        <v>414</v>
      </c>
      <c r="P724" t="s">
        <v>589</v>
      </c>
    </row>
    <row r="725" spans="1:16" ht="12.75" customHeight="1" x14ac:dyDescent="0.2">
      <c r="A725" t="s">
        <v>604</v>
      </c>
      <c r="B725" t="s">
        <v>651</v>
      </c>
      <c r="C725" t="s">
        <v>661</v>
      </c>
      <c r="D725" t="s">
        <v>796</v>
      </c>
      <c r="E725" t="s">
        <v>399</v>
      </c>
      <c r="F725" s="1">
        <v>45826</v>
      </c>
      <c r="G725" s="1">
        <v>45856</v>
      </c>
      <c r="H725" t="s">
        <v>1190</v>
      </c>
      <c r="I725">
        <v>-241.76</v>
      </c>
      <c r="J725">
        <v>-241.76</v>
      </c>
      <c r="K725">
        <v>0</v>
      </c>
      <c r="L725">
        <v>0</v>
      </c>
      <c r="M725">
        <v>0</v>
      </c>
      <c r="N725">
        <v>-241.76</v>
      </c>
      <c r="O725" s="14">
        <f t="shared" ca="1" si="11"/>
        <v>314</v>
      </c>
      <c r="P725" t="s">
        <v>589</v>
      </c>
    </row>
    <row r="726" spans="1:16" ht="12.75" customHeight="1" x14ac:dyDescent="0.2">
      <c r="A726" t="s">
        <v>604</v>
      </c>
      <c r="B726" t="s">
        <v>651</v>
      </c>
      <c r="C726" t="s">
        <v>661</v>
      </c>
      <c r="D726" t="s">
        <v>796</v>
      </c>
      <c r="E726" t="s">
        <v>399</v>
      </c>
      <c r="F726" s="1">
        <v>46104</v>
      </c>
      <c r="G726" s="1">
        <v>46134</v>
      </c>
      <c r="H726" t="s">
        <v>1014</v>
      </c>
      <c r="I726">
        <v>9825.56</v>
      </c>
      <c r="J726">
        <v>9825.56</v>
      </c>
      <c r="K726">
        <v>0</v>
      </c>
      <c r="L726">
        <v>9825.56</v>
      </c>
      <c r="M726">
        <v>0</v>
      </c>
      <c r="N726">
        <v>0</v>
      </c>
      <c r="O726" s="14">
        <f t="shared" ca="1" si="11"/>
        <v>36</v>
      </c>
      <c r="P726" t="s">
        <v>589</v>
      </c>
    </row>
    <row r="727" spans="1:16" ht="12.75" customHeight="1" x14ac:dyDescent="0.2">
      <c r="A727" t="s">
        <v>604</v>
      </c>
      <c r="B727" t="s">
        <v>651</v>
      </c>
      <c r="C727" t="s">
        <v>1102</v>
      </c>
      <c r="D727" t="s">
        <v>1026</v>
      </c>
      <c r="E727" t="s">
        <v>399</v>
      </c>
      <c r="F727" s="1">
        <v>45237</v>
      </c>
      <c r="G727" s="1">
        <v>45267</v>
      </c>
      <c r="H727" t="s">
        <v>61</v>
      </c>
      <c r="I727">
        <v>217.8</v>
      </c>
      <c r="J727">
        <v>217.8</v>
      </c>
      <c r="K727">
        <v>0</v>
      </c>
      <c r="L727">
        <v>0</v>
      </c>
      <c r="M727">
        <v>0</v>
      </c>
      <c r="N727">
        <v>217.8</v>
      </c>
      <c r="O727" s="14">
        <f t="shared" ca="1" si="11"/>
        <v>903</v>
      </c>
      <c r="P727" t="s">
        <v>1066</v>
      </c>
    </row>
    <row r="728" spans="1:16" ht="12.75" customHeight="1" x14ac:dyDescent="0.2">
      <c r="A728" t="s">
        <v>604</v>
      </c>
      <c r="B728" t="s">
        <v>651</v>
      </c>
      <c r="C728" t="s">
        <v>1102</v>
      </c>
      <c r="D728" t="s">
        <v>1026</v>
      </c>
      <c r="E728" t="s">
        <v>399</v>
      </c>
      <c r="F728" s="1">
        <v>45265</v>
      </c>
      <c r="G728" s="1">
        <v>45295</v>
      </c>
      <c r="H728" t="s">
        <v>111</v>
      </c>
      <c r="I728">
        <v>217.8</v>
      </c>
      <c r="J728">
        <v>217.8</v>
      </c>
      <c r="K728">
        <v>0</v>
      </c>
      <c r="L728">
        <v>0</v>
      </c>
      <c r="M728">
        <v>0</v>
      </c>
      <c r="N728">
        <v>217.8</v>
      </c>
      <c r="O728" s="14">
        <f t="shared" ca="1" si="11"/>
        <v>875</v>
      </c>
      <c r="P728" t="s">
        <v>1066</v>
      </c>
    </row>
    <row r="729" spans="1:16" ht="12.75" customHeight="1" x14ac:dyDescent="0.2">
      <c r="A729" t="s">
        <v>604</v>
      </c>
      <c r="B729" t="s">
        <v>651</v>
      </c>
      <c r="C729" t="s">
        <v>1102</v>
      </c>
      <c r="D729" t="s">
        <v>1026</v>
      </c>
      <c r="E729" t="s">
        <v>399</v>
      </c>
      <c r="F729" s="1">
        <v>45295</v>
      </c>
      <c r="G729" s="1">
        <v>45325</v>
      </c>
      <c r="H729" t="s">
        <v>907</v>
      </c>
      <c r="I729">
        <v>217.8</v>
      </c>
      <c r="J729">
        <v>217.8</v>
      </c>
      <c r="K729">
        <v>0</v>
      </c>
      <c r="L729">
        <v>0</v>
      </c>
      <c r="M729">
        <v>0</v>
      </c>
      <c r="N729">
        <v>217.8</v>
      </c>
      <c r="O729" s="14">
        <f t="shared" ca="1" si="11"/>
        <v>845</v>
      </c>
      <c r="P729" t="s">
        <v>589</v>
      </c>
    </row>
    <row r="730" spans="1:16" ht="12.75" customHeight="1" x14ac:dyDescent="0.2">
      <c r="A730" t="s">
        <v>604</v>
      </c>
      <c r="B730" t="s">
        <v>651</v>
      </c>
      <c r="C730" t="s">
        <v>1102</v>
      </c>
      <c r="D730" t="s">
        <v>1026</v>
      </c>
      <c r="E730" t="s">
        <v>399</v>
      </c>
      <c r="F730" s="1">
        <v>45327</v>
      </c>
      <c r="G730" s="1">
        <v>45357</v>
      </c>
      <c r="H730" t="s">
        <v>1302</v>
      </c>
      <c r="I730">
        <v>217.8</v>
      </c>
      <c r="J730">
        <v>217.8</v>
      </c>
      <c r="K730">
        <v>0</v>
      </c>
      <c r="L730">
        <v>0</v>
      </c>
      <c r="M730">
        <v>0</v>
      </c>
      <c r="N730">
        <v>217.8</v>
      </c>
      <c r="O730" s="14">
        <f t="shared" ca="1" si="11"/>
        <v>813</v>
      </c>
      <c r="P730" t="s">
        <v>589</v>
      </c>
    </row>
    <row r="731" spans="1:16" ht="12.75" customHeight="1" x14ac:dyDescent="0.2">
      <c r="A731" t="s">
        <v>604</v>
      </c>
      <c r="B731" t="s">
        <v>651</v>
      </c>
      <c r="C731" t="s">
        <v>1102</v>
      </c>
      <c r="D731" t="s">
        <v>1026</v>
      </c>
      <c r="E731" t="s">
        <v>399</v>
      </c>
      <c r="F731" s="1">
        <v>45357</v>
      </c>
      <c r="G731" s="1">
        <v>45387</v>
      </c>
      <c r="H731" t="s">
        <v>416</v>
      </c>
      <c r="I731">
        <v>217.8</v>
      </c>
      <c r="J731">
        <v>217.8</v>
      </c>
      <c r="K731">
        <v>0</v>
      </c>
      <c r="L731">
        <v>0</v>
      </c>
      <c r="M731">
        <v>0</v>
      </c>
      <c r="N731">
        <v>217.8</v>
      </c>
      <c r="O731" s="14">
        <f t="shared" ca="1" si="11"/>
        <v>783</v>
      </c>
      <c r="P731" t="s">
        <v>589</v>
      </c>
    </row>
    <row r="732" spans="1:16" ht="12.75" customHeight="1" x14ac:dyDescent="0.2">
      <c r="A732" t="s">
        <v>604</v>
      </c>
      <c r="B732" t="s">
        <v>651</v>
      </c>
      <c r="C732" t="s">
        <v>1102</v>
      </c>
      <c r="D732" t="s">
        <v>1026</v>
      </c>
      <c r="E732" t="s">
        <v>399</v>
      </c>
      <c r="F732" s="1">
        <v>45386</v>
      </c>
      <c r="G732" s="1">
        <v>45416</v>
      </c>
      <c r="H732" t="s">
        <v>1260</v>
      </c>
      <c r="I732">
        <v>217.8</v>
      </c>
      <c r="J732">
        <v>217.8</v>
      </c>
      <c r="K732">
        <v>0</v>
      </c>
      <c r="L732">
        <v>0</v>
      </c>
      <c r="M732">
        <v>0</v>
      </c>
      <c r="N732">
        <v>217.8</v>
      </c>
      <c r="O732" s="14">
        <f t="shared" ca="1" si="11"/>
        <v>754</v>
      </c>
      <c r="P732" t="s">
        <v>589</v>
      </c>
    </row>
    <row r="733" spans="1:16" ht="12.75" customHeight="1" x14ac:dyDescent="0.2">
      <c r="A733" t="s">
        <v>604</v>
      </c>
      <c r="B733" t="s">
        <v>651</v>
      </c>
      <c r="C733" t="s">
        <v>1102</v>
      </c>
      <c r="D733" t="s">
        <v>1026</v>
      </c>
      <c r="E733" t="s">
        <v>399</v>
      </c>
      <c r="F733" s="1">
        <v>45418</v>
      </c>
      <c r="G733" s="1">
        <v>45448</v>
      </c>
      <c r="H733" t="s">
        <v>454</v>
      </c>
      <c r="I733">
        <v>217.8</v>
      </c>
      <c r="J733">
        <v>217.8</v>
      </c>
      <c r="K733">
        <v>0</v>
      </c>
      <c r="L733">
        <v>0</v>
      </c>
      <c r="M733">
        <v>0</v>
      </c>
      <c r="N733">
        <v>217.8</v>
      </c>
      <c r="O733" s="14">
        <f t="shared" ca="1" si="11"/>
        <v>722</v>
      </c>
      <c r="P733" t="s">
        <v>589</v>
      </c>
    </row>
    <row r="734" spans="1:16" ht="12.75" customHeight="1" x14ac:dyDescent="0.2">
      <c r="A734" t="s">
        <v>604</v>
      </c>
      <c r="B734" t="s">
        <v>651</v>
      </c>
      <c r="C734" t="s">
        <v>1102</v>
      </c>
      <c r="D734" t="s">
        <v>1026</v>
      </c>
      <c r="E734" t="s">
        <v>399</v>
      </c>
      <c r="F734" s="1">
        <v>45446</v>
      </c>
      <c r="G734" s="1">
        <v>45476</v>
      </c>
      <c r="H734" t="s">
        <v>266</v>
      </c>
      <c r="I734">
        <v>217.8</v>
      </c>
      <c r="J734">
        <v>217.8</v>
      </c>
      <c r="K734">
        <v>0</v>
      </c>
      <c r="L734">
        <v>0</v>
      </c>
      <c r="M734">
        <v>0</v>
      </c>
      <c r="N734">
        <v>217.8</v>
      </c>
      <c r="O734" s="14">
        <f t="shared" ca="1" si="11"/>
        <v>694</v>
      </c>
      <c r="P734" t="s">
        <v>589</v>
      </c>
    </row>
    <row r="735" spans="1:16" ht="12.75" customHeight="1" x14ac:dyDescent="0.2">
      <c r="A735" t="s">
        <v>604</v>
      </c>
      <c r="B735" t="s">
        <v>651</v>
      </c>
      <c r="C735" t="s">
        <v>1102</v>
      </c>
      <c r="D735" t="s">
        <v>1026</v>
      </c>
      <c r="E735" t="s">
        <v>399</v>
      </c>
      <c r="F735" s="1">
        <v>45481</v>
      </c>
      <c r="G735" s="1">
        <v>45511</v>
      </c>
      <c r="H735" t="s">
        <v>406</v>
      </c>
      <c r="I735">
        <v>217.8</v>
      </c>
      <c r="J735">
        <v>217.8</v>
      </c>
      <c r="K735">
        <v>0</v>
      </c>
      <c r="L735">
        <v>0</v>
      </c>
      <c r="M735">
        <v>0</v>
      </c>
      <c r="N735">
        <v>217.8</v>
      </c>
      <c r="O735" s="14">
        <f t="shared" ca="1" si="11"/>
        <v>659</v>
      </c>
      <c r="P735" t="s">
        <v>589</v>
      </c>
    </row>
    <row r="736" spans="1:16" ht="12.75" customHeight="1" x14ac:dyDescent="0.2">
      <c r="A736" t="s">
        <v>604</v>
      </c>
      <c r="B736" t="s">
        <v>651</v>
      </c>
      <c r="C736" t="s">
        <v>1102</v>
      </c>
      <c r="D736" t="s">
        <v>1026</v>
      </c>
      <c r="E736" t="s">
        <v>399</v>
      </c>
      <c r="F736" s="1">
        <v>45509</v>
      </c>
      <c r="G736" s="1">
        <v>45539</v>
      </c>
      <c r="H736" t="s">
        <v>1232</v>
      </c>
      <c r="I736">
        <v>217.8</v>
      </c>
      <c r="J736">
        <v>217.8</v>
      </c>
      <c r="K736">
        <v>0</v>
      </c>
      <c r="L736">
        <v>0</v>
      </c>
      <c r="M736">
        <v>0</v>
      </c>
      <c r="N736">
        <v>217.8</v>
      </c>
      <c r="O736" s="14">
        <f t="shared" ca="1" si="11"/>
        <v>631</v>
      </c>
      <c r="P736" t="s">
        <v>589</v>
      </c>
    </row>
    <row r="737" spans="1:16" ht="12.75" customHeight="1" x14ac:dyDescent="0.2">
      <c r="A737" t="s">
        <v>604</v>
      </c>
      <c r="B737" t="s">
        <v>651</v>
      </c>
      <c r="C737" t="s">
        <v>1102</v>
      </c>
      <c r="D737" t="s">
        <v>1026</v>
      </c>
      <c r="E737" t="s">
        <v>399</v>
      </c>
      <c r="F737" s="1">
        <v>45537</v>
      </c>
      <c r="G737" s="1">
        <v>45567</v>
      </c>
      <c r="H737" t="s">
        <v>1167</v>
      </c>
      <c r="I737">
        <v>217.8</v>
      </c>
      <c r="J737">
        <v>217.8</v>
      </c>
      <c r="K737">
        <v>0</v>
      </c>
      <c r="L737">
        <v>0</v>
      </c>
      <c r="M737">
        <v>0</v>
      </c>
      <c r="N737">
        <v>217.8</v>
      </c>
      <c r="O737" s="14">
        <f t="shared" ca="1" si="11"/>
        <v>603</v>
      </c>
      <c r="P737" t="s">
        <v>589</v>
      </c>
    </row>
    <row r="738" spans="1:16" ht="12.75" customHeight="1" x14ac:dyDescent="0.2">
      <c r="A738" t="s">
        <v>604</v>
      </c>
      <c r="B738" t="s">
        <v>651</v>
      </c>
      <c r="C738" t="s">
        <v>1102</v>
      </c>
      <c r="D738" t="s">
        <v>1026</v>
      </c>
      <c r="E738" t="s">
        <v>399</v>
      </c>
      <c r="F738" s="1">
        <v>45547</v>
      </c>
      <c r="G738" s="1">
        <v>45577</v>
      </c>
      <c r="H738" t="s">
        <v>1300</v>
      </c>
      <c r="I738">
        <v>302.5</v>
      </c>
      <c r="J738">
        <v>302.5</v>
      </c>
      <c r="K738">
        <v>0</v>
      </c>
      <c r="L738">
        <v>0</v>
      </c>
      <c r="M738">
        <v>0</v>
      </c>
      <c r="N738">
        <v>302.5</v>
      </c>
      <c r="O738" s="14">
        <f t="shared" ca="1" si="11"/>
        <v>593</v>
      </c>
      <c r="P738" t="s">
        <v>589</v>
      </c>
    </row>
    <row r="739" spans="1:16" ht="12.75" customHeight="1" x14ac:dyDescent="0.2">
      <c r="A739" t="s">
        <v>604</v>
      </c>
      <c r="B739" t="s">
        <v>651</v>
      </c>
      <c r="C739" t="s">
        <v>1102</v>
      </c>
      <c r="D739" t="s">
        <v>1026</v>
      </c>
      <c r="E739" t="s">
        <v>399</v>
      </c>
      <c r="F739" s="1">
        <v>45572</v>
      </c>
      <c r="G739" s="1">
        <v>45602</v>
      </c>
      <c r="H739" t="s">
        <v>1129</v>
      </c>
      <c r="I739">
        <v>217.8</v>
      </c>
      <c r="J739">
        <v>217.8</v>
      </c>
      <c r="K739">
        <v>0</v>
      </c>
      <c r="L739">
        <v>0</v>
      </c>
      <c r="M739">
        <v>0</v>
      </c>
      <c r="N739">
        <v>217.8</v>
      </c>
      <c r="O739" s="14">
        <f t="shared" ca="1" si="11"/>
        <v>568</v>
      </c>
      <c r="P739" t="s">
        <v>589</v>
      </c>
    </row>
    <row r="740" spans="1:16" ht="12.75" customHeight="1" x14ac:dyDescent="0.2">
      <c r="A740" t="s">
        <v>604</v>
      </c>
      <c r="B740" t="s">
        <v>651</v>
      </c>
      <c r="C740" t="s">
        <v>1102</v>
      </c>
      <c r="D740" t="s">
        <v>1026</v>
      </c>
      <c r="E740" t="s">
        <v>399</v>
      </c>
      <c r="F740" s="1">
        <v>45600</v>
      </c>
      <c r="G740" s="1">
        <v>45630</v>
      </c>
      <c r="H740" t="s">
        <v>402</v>
      </c>
      <c r="I740">
        <v>217.8</v>
      </c>
      <c r="J740">
        <v>217.8</v>
      </c>
      <c r="K740">
        <v>0</v>
      </c>
      <c r="L740">
        <v>0</v>
      </c>
      <c r="M740">
        <v>0</v>
      </c>
      <c r="N740">
        <v>217.8</v>
      </c>
      <c r="O740" s="14">
        <f t="shared" ca="1" si="11"/>
        <v>540</v>
      </c>
      <c r="P740" t="s">
        <v>589</v>
      </c>
    </row>
    <row r="741" spans="1:16" ht="12.75" customHeight="1" x14ac:dyDescent="0.2">
      <c r="A741" t="s">
        <v>604</v>
      </c>
      <c r="B741" t="s">
        <v>651</v>
      </c>
      <c r="C741" t="s">
        <v>1102</v>
      </c>
      <c r="D741" t="s">
        <v>1026</v>
      </c>
      <c r="E741" t="s">
        <v>399</v>
      </c>
      <c r="F741" s="1">
        <v>45628</v>
      </c>
      <c r="G741" s="1">
        <v>45658</v>
      </c>
      <c r="H741" t="s">
        <v>1271</v>
      </c>
      <c r="I741">
        <v>217.8</v>
      </c>
      <c r="J741">
        <v>217.8</v>
      </c>
      <c r="K741">
        <v>0</v>
      </c>
      <c r="L741">
        <v>0</v>
      </c>
      <c r="M741">
        <v>0</v>
      </c>
      <c r="N741">
        <v>217.8</v>
      </c>
      <c r="O741" s="14">
        <f t="shared" ca="1" si="11"/>
        <v>512</v>
      </c>
      <c r="P741" t="s">
        <v>589</v>
      </c>
    </row>
    <row r="742" spans="1:16" ht="12.75" customHeight="1" x14ac:dyDescent="0.2">
      <c r="A742" t="s">
        <v>604</v>
      </c>
      <c r="B742" t="s">
        <v>651</v>
      </c>
      <c r="C742" t="s">
        <v>1102</v>
      </c>
      <c r="D742" t="s">
        <v>1026</v>
      </c>
      <c r="E742" t="s">
        <v>399</v>
      </c>
      <c r="F742" s="1">
        <v>45672</v>
      </c>
      <c r="G742" s="1">
        <v>45702</v>
      </c>
      <c r="H742" t="s">
        <v>151</v>
      </c>
      <c r="I742">
        <v>217.8</v>
      </c>
      <c r="J742">
        <v>217.8</v>
      </c>
      <c r="K742">
        <v>0</v>
      </c>
      <c r="L742">
        <v>0</v>
      </c>
      <c r="M742">
        <v>0</v>
      </c>
      <c r="N742">
        <v>217.8</v>
      </c>
      <c r="O742" s="14">
        <f t="shared" ca="1" si="11"/>
        <v>468</v>
      </c>
      <c r="P742" t="s">
        <v>589</v>
      </c>
    </row>
    <row r="743" spans="1:16" ht="12.75" customHeight="1" x14ac:dyDescent="0.2">
      <c r="A743" t="s">
        <v>604</v>
      </c>
      <c r="B743" t="s">
        <v>651</v>
      </c>
      <c r="C743" t="s">
        <v>1102</v>
      </c>
      <c r="D743" t="s">
        <v>1026</v>
      </c>
      <c r="E743" t="s">
        <v>399</v>
      </c>
      <c r="F743" s="1">
        <v>45691</v>
      </c>
      <c r="G743" s="1">
        <v>45721</v>
      </c>
      <c r="H743" t="s">
        <v>882</v>
      </c>
      <c r="I743">
        <v>217.8</v>
      </c>
      <c r="J743">
        <v>217.8</v>
      </c>
      <c r="K743">
        <v>0</v>
      </c>
      <c r="L743">
        <v>0</v>
      </c>
      <c r="M743">
        <v>0</v>
      </c>
      <c r="N743">
        <v>217.8</v>
      </c>
      <c r="O743" s="14">
        <f t="shared" ca="1" si="11"/>
        <v>449</v>
      </c>
      <c r="P743" t="s">
        <v>589</v>
      </c>
    </row>
    <row r="744" spans="1:16" ht="12.75" customHeight="1" x14ac:dyDescent="0.2">
      <c r="A744" t="s">
        <v>604</v>
      </c>
      <c r="B744" t="s">
        <v>651</v>
      </c>
      <c r="C744" t="s">
        <v>1102</v>
      </c>
      <c r="D744" t="s">
        <v>1026</v>
      </c>
      <c r="E744" t="s">
        <v>399</v>
      </c>
      <c r="F744" s="1">
        <v>45721</v>
      </c>
      <c r="G744" s="1">
        <v>45751</v>
      </c>
      <c r="H744" t="s">
        <v>908</v>
      </c>
      <c r="I744">
        <v>217.8</v>
      </c>
      <c r="J744">
        <v>217.8</v>
      </c>
      <c r="K744">
        <v>0</v>
      </c>
      <c r="L744">
        <v>0</v>
      </c>
      <c r="M744">
        <v>0</v>
      </c>
      <c r="N744">
        <v>217.8</v>
      </c>
      <c r="O744" s="14">
        <f t="shared" ca="1" si="11"/>
        <v>419</v>
      </c>
      <c r="P744" t="s">
        <v>589</v>
      </c>
    </row>
    <row r="745" spans="1:16" ht="12.75" customHeight="1" x14ac:dyDescent="0.2">
      <c r="A745" t="s">
        <v>604</v>
      </c>
      <c r="B745" t="s">
        <v>651</v>
      </c>
      <c r="C745" t="s">
        <v>1102</v>
      </c>
      <c r="D745" t="s">
        <v>1026</v>
      </c>
      <c r="E745" t="s">
        <v>399</v>
      </c>
      <c r="F745" s="1">
        <v>45750</v>
      </c>
      <c r="G745" s="1">
        <v>45780</v>
      </c>
      <c r="H745" t="s">
        <v>738</v>
      </c>
      <c r="I745">
        <v>653.4</v>
      </c>
      <c r="J745">
        <v>653.4</v>
      </c>
      <c r="K745">
        <v>0</v>
      </c>
      <c r="L745">
        <v>0</v>
      </c>
      <c r="M745">
        <v>0</v>
      </c>
      <c r="N745">
        <v>653.4</v>
      </c>
      <c r="O745" s="14">
        <f t="shared" ca="1" si="11"/>
        <v>390</v>
      </c>
      <c r="P745" t="s">
        <v>589</v>
      </c>
    </row>
    <row r="746" spans="1:16" ht="12.75" customHeight="1" x14ac:dyDescent="0.2">
      <c r="A746" t="s">
        <v>604</v>
      </c>
      <c r="B746" t="s">
        <v>651</v>
      </c>
      <c r="C746" t="s">
        <v>1102</v>
      </c>
      <c r="D746" t="s">
        <v>1026</v>
      </c>
      <c r="E746" t="s">
        <v>399</v>
      </c>
      <c r="F746" s="1">
        <v>45839</v>
      </c>
      <c r="G746" s="1">
        <v>45869</v>
      </c>
      <c r="H746" t="s">
        <v>197</v>
      </c>
      <c r="I746">
        <v>653.4</v>
      </c>
      <c r="J746">
        <v>653.4</v>
      </c>
      <c r="K746">
        <v>0</v>
      </c>
      <c r="L746">
        <v>0</v>
      </c>
      <c r="M746">
        <v>0</v>
      </c>
      <c r="N746">
        <v>653.4</v>
      </c>
      <c r="O746" s="14">
        <f t="shared" ca="1" si="11"/>
        <v>301</v>
      </c>
      <c r="P746" t="s">
        <v>589</v>
      </c>
    </row>
    <row r="747" spans="1:16" ht="12.75" customHeight="1" x14ac:dyDescent="0.2">
      <c r="A747" t="s">
        <v>604</v>
      </c>
      <c r="B747" t="s">
        <v>651</v>
      </c>
      <c r="C747" t="s">
        <v>1102</v>
      </c>
      <c r="D747" t="s">
        <v>1026</v>
      </c>
      <c r="E747" t="s">
        <v>399</v>
      </c>
      <c r="F747" s="1">
        <v>45936</v>
      </c>
      <c r="G747" s="1">
        <v>45966</v>
      </c>
      <c r="H747" t="s">
        <v>559</v>
      </c>
      <c r="I747">
        <v>653.4</v>
      </c>
      <c r="J747">
        <v>653.4</v>
      </c>
      <c r="K747">
        <v>0</v>
      </c>
      <c r="L747">
        <v>0</v>
      </c>
      <c r="M747">
        <v>0</v>
      </c>
      <c r="N747">
        <v>653.4</v>
      </c>
      <c r="O747" s="14">
        <f t="shared" ca="1" si="11"/>
        <v>204</v>
      </c>
      <c r="P747" t="s">
        <v>589</v>
      </c>
    </row>
    <row r="748" spans="1:16" ht="12.75" customHeight="1" x14ac:dyDescent="0.2">
      <c r="A748" t="s">
        <v>604</v>
      </c>
      <c r="B748" t="s">
        <v>651</v>
      </c>
      <c r="C748" t="s">
        <v>1102</v>
      </c>
      <c r="D748" t="s">
        <v>1026</v>
      </c>
      <c r="E748" t="s">
        <v>399</v>
      </c>
      <c r="F748" s="1">
        <v>46030</v>
      </c>
      <c r="G748" s="1">
        <v>46060</v>
      </c>
      <c r="H748" t="s">
        <v>695</v>
      </c>
      <c r="I748">
        <v>653.4</v>
      </c>
      <c r="J748">
        <v>653.4</v>
      </c>
      <c r="K748">
        <v>0</v>
      </c>
      <c r="L748">
        <v>0</v>
      </c>
      <c r="M748">
        <v>0</v>
      </c>
      <c r="N748">
        <v>653.4</v>
      </c>
      <c r="O748" s="14">
        <f t="shared" ca="1" si="11"/>
        <v>110</v>
      </c>
      <c r="P748" t="s">
        <v>589</v>
      </c>
    </row>
    <row r="749" spans="1:16" ht="12.75" customHeight="1" x14ac:dyDescent="0.2">
      <c r="A749" t="s">
        <v>604</v>
      </c>
      <c r="B749" t="s">
        <v>651</v>
      </c>
      <c r="C749" t="s">
        <v>1102</v>
      </c>
      <c r="D749" t="s">
        <v>1026</v>
      </c>
      <c r="E749" t="s">
        <v>399</v>
      </c>
      <c r="F749" s="1">
        <v>46104</v>
      </c>
      <c r="G749" s="1">
        <v>46134</v>
      </c>
      <c r="H749" t="s">
        <v>629</v>
      </c>
      <c r="I749">
        <v>707.85</v>
      </c>
      <c r="J749">
        <v>707.85</v>
      </c>
      <c r="K749">
        <v>0</v>
      </c>
      <c r="L749">
        <v>707.85</v>
      </c>
      <c r="M749">
        <v>0</v>
      </c>
      <c r="N749">
        <v>0</v>
      </c>
      <c r="O749" s="14">
        <f t="shared" ca="1" si="11"/>
        <v>36</v>
      </c>
      <c r="P749" t="s">
        <v>589</v>
      </c>
    </row>
    <row r="750" spans="1:16" ht="12.75" customHeight="1" x14ac:dyDescent="0.2">
      <c r="A750" t="s">
        <v>604</v>
      </c>
      <c r="B750" t="s">
        <v>651</v>
      </c>
      <c r="C750" t="s">
        <v>1102</v>
      </c>
      <c r="D750" t="s">
        <v>1026</v>
      </c>
      <c r="E750" t="s">
        <v>399</v>
      </c>
      <c r="F750" s="1">
        <v>46118</v>
      </c>
      <c r="G750" s="1">
        <v>46148</v>
      </c>
      <c r="H750" t="s">
        <v>1148</v>
      </c>
      <c r="I750">
        <v>653.4</v>
      </c>
      <c r="J750">
        <v>653.4</v>
      </c>
      <c r="K750">
        <v>653.4</v>
      </c>
      <c r="L750">
        <v>0</v>
      </c>
      <c r="M750">
        <v>0</v>
      </c>
      <c r="N750">
        <v>0</v>
      </c>
      <c r="O750" s="14">
        <f t="shared" ca="1" si="11"/>
        <v>22</v>
      </c>
      <c r="P750" t="s">
        <v>589</v>
      </c>
    </row>
    <row r="751" spans="1:16" ht="12.75" customHeight="1" x14ac:dyDescent="0.2">
      <c r="A751" t="s">
        <v>604</v>
      </c>
      <c r="B751" t="s">
        <v>651</v>
      </c>
      <c r="C751" t="s">
        <v>838</v>
      </c>
      <c r="D751" t="s">
        <v>164</v>
      </c>
      <c r="E751" t="s">
        <v>399</v>
      </c>
      <c r="F751" s="1">
        <v>45782</v>
      </c>
      <c r="G751" s="1">
        <v>45812</v>
      </c>
      <c r="H751" t="s">
        <v>1255</v>
      </c>
      <c r="I751">
        <v>544.5</v>
      </c>
      <c r="J751">
        <v>544.5</v>
      </c>
      <c r="K751">
        <v>0</v>
      </c>
      <c r="L751">
        <v>0</v>
      </c>
      <c r="M751">
        <v>0</v>
      </c>
      <c r="N751">
        <v>544.5</v>
      </c>
      <c r="O751" s="14">
        <f t="shared" ca="1" si="11"/>
        <v>358</v>
      </c>
      <c r="P751" t="s">
        <v>589</v>
      </c>
    </row>
    <row r="752" spans="1:16" ht="12.75" customHeight="1" x14ac:dyDescent="0.2">
      <c r="A752" t="s">
        <v>604</v>
      </c>
      <c r="B752" t="s">
        <v>651</v>
      </c>
      <c r="C752" t="s">
        <v>838</v>
      </c>
      <c r="D752" t="s">
        <v>164</v>
      </c>
      <c r="E752" t="s">
        <v>399</v>
      </c>
      <c r="F752" s="1">
        <v>45810</v>
      </c>
      <c r="G752" s="1">
        <v>45840</v>
      </c>
      <c r="H752" t="s">
        <v>325</v>
      </c>
      <c r="I752">
        <v>544.5</v>
      </c>
      <c r="J752">
        <v>544.5</v>
      </c>
      <c r="K752">
        <v>0</v>
      </c>
      <c r="L752">
        <v>0</v>
      </c>
      <c r="M752">
        <v>0</v>
      </c>
      <c r="N752">
        <v>544.5</v>
      </c>
      <c r="O752" s="14">
        <f t="shared" ca="1" si="11"/>
        <v>330</v>
      </c>
      <c r="P752" t="s">
        <v>589</v>
      </c>
    </row>
    <row r="753" spans="1:16" ht="12.75" customHeight="1" x14ac:dyDescent="0.2">
      <c r="A753" t="s">
        <v>604</v>
      </c>
      <c r="B753" t="s">
        <v>651</v>
      </c>
      <c r="C753" t="s">
        <v>838</v>
      </c>
      <c r="D753" t="s">
        <v>164</v>
      </c>
      <c r="E753" t="s">
        <v>399</v>
      </c>
      <c r="F753" s="1">
        <v>45839</v>
      </c>
      <c r="G753" s="1">
        <v>45869</v>
      </c>
      <c r="H753" t="s">
        <v>200</v>
      </c>
      <c r="I753">
        <v>544.5</v>
      </c>
      <c r="J753">
        <v>544.5</v>
      </c>
      <c r="K753">
        <v>0</v>
      </c>
      <c r="L753">
        <v>0</v>
      </c>
      <c r="M753">
        <v>0</v>
      </c>
      <c r="N753">
        <v>544.5</v>
      </c>
      <c r="O753" s="14">
        <f t="shared" ca="1" si="11"/>
        <v>301</v>
      </c>
      <c r="P753" t="s">
        <v>589</v>
      </c>
    </row>
    <row r="754" spans="1:16" ht="12.75" customHeight="1" x14ac:dyDescent="0.2">
      <c r="A754" t="s">
        <v>604</v>
      </c>
      <c r="B754" t="s">
        <v>651</v>
      </c>
      <c r="C754" t="s">
        <v>838</v>
      </c>
      <c r="D754" t="s">
        <v>164</v>
      </c>
      <c r="E754" t="s">
        <v>399</v>
      </c>
      <c r="F754" s="1">
        <v>45873</v>
      </c>
      <c r="G754" s="1">
        <v>45903</v>
      </c>
      <c r="H754" t="s">
        <v>1115</v>
      </c>
      <c r="I754">
        <v>544.5</v>
      </c>
      <c r="J754">
        <v>544.5</v>
      </c>
      <c r="K754">
        <v>0</v>
      </c>
      <c r="L754">
        <v>0</v>
      </c>
      <c r="M754">
        <v>0</v>
      </c>
      <c r="N754">
        <v>544.5</v>
      </c>
      <c r="O754" s="14">
        <f t="shared" ca="1" si="11"/>
        <v>267</v>
      </c>
      <c r="P754" t="s">
        <v>589</v>
      </c>
    </row>
    <row r="755" spans="1:16" ht="12.75" customHeight="1" x14ac:dyDescent="0.2">
      <c r="A755" t="s">
        <v>604</v>
      </c>
      <c r="B755" t="s">
        <v>651</v>
      </c>
      <c r="C755" t="s">
        <v>838</v>
      </c>
      <c r="D755" t="s">
        <v>164</v>
      </c>
      <c r="E755" t="s">
        <v>399</v>
      </c>
      <c r="F755" s="1">
        <v>45901</v>
      </c>
      <c r="G755" s="1">
        <v>45931</v>
      </c>
      <c r="H755" t="s">
        <v>641</v>
      </c>
      <c r="I755">
        <v>544.5</v>
      </c>
      <c r="J755">
        <v>544.5</v>
      </c>
      <c r="K755">
        <v>0</v>
      </c>
      <c r="L755">
        <v>0</v>
      </c>
      <c r="M755">
        <v>0</v>
      </c>
      <c r="N755">
        <v>544.5</v>
      </c>
      <c r="O755" s="14">
        <f t="shared" ca="1" si="11"/>
        <v>239</v>
      </c>
      <c r="P755" t="s">
        <v>589</v>
      </c>
    </row>
    <row r="756" spans="1:16" ht="12.75" customHeight="1" x14ac:dyDescent="0.2">
      <c r="A756" t="s">
        <v>604</v>
      </c>
      <c r="B756" t="s">
        <v>651</v>
      </c>
      <c r="C756" t="s">
        <v>838</v>
      </c>
      <c r="D756" t="s">
        <v>164</v>
      </c>
      <c r="E756" t="s">
        <v>399</v>
      </c>
      <c r="F756" s="1">
        <v>45936</v>
      </c>
      <c r="G756" s="1">
        <v>45966</v>
      </c>
      <c r="H756" t="s">
        <v>29</v>
      </c>
      <c r="I756">
        <v>544.5</v>
      </c>
      <c r="J756">
        <v>544.5</v>
      </c>
      <c r="K756">
        <v>0</v>
      </c>
      <c r="L756">
        <v>0</v>
      </c>
      <c r="M756">
        <v>0</v>
      </c>
      <c r="N756">
        <v>544.5</v>
      </c>
      <c r="O756" s="14">
        <f t="shared" ca="1" si="11"/>
        <v>204</v>
      </c>
      <c r="P756" t="s">
        <v>589</v>
      </c>
    </row>
    <row r="757" spans="1:16" ht="12.75" customHeight="1" x14ac:dyDescent="0.2">
      <c r="A757" t="s">
        <v>604</v>
      </c>
      <c r="B757" t="s">
        <v>651</v>
      </c>
      <c r="C757" t="s">
        <v>838</v>
      </c>
      <c r="D757" t="s">
        <v>164</v>
      </c>
      <c r="E757" t="s">
        <v>399</v>
      </c>
      <c r="F757" s="1">
        <v>45966</v>
      </c>
      <c r="G757" s="1">
        <v>45996</v>
      </c>
      <c r="H757" t="s">
        <v>593</v>
      </c>
      <c r="I757">
        <v>544.5</v>
      </c>
      <c r="J757">
        <v>544.5</v>
      </c>
      <c r="K757">
        <v>0</v>
      </c>
      <c r="L757">
        <v>0</v>
      </c>
      <c r="M757">
        <v>0</v>
      </c>
      <c r="N757">
        <v>544.5</v>
      </c>
      <c r="O757" s="14">
        <f t="shared" ca="1" si="11"/>
        <v>174</v>
      </c>
      <c r="P757" t="s">
        <v>589</v>
      </c>
    </row>
    <row r="758" spans="1:16" ht="12.75" customHeight="1" x14ac:dyDescent="0.2">
      <c r="A758" t="s">
        <v>604</v>
      </c>
      <c r="B758" t="s">
        <v>651</v>
      </c>
      <c r="C758" t="s">
        <v>838</v>
      </c>
      <c r="D758" t="s">
        <v>164</v>
      </c>
      <c r="E758" t="s">
        <v>399</v>
      </c>
      <c r="F758" s="1">
        <v>45993</v>
      </c>
      <c r="G758" s="1">
        <v>46023</v>
      </c>
      <c r="H758" t="s">
        <v>301</v>
      </c>
      <c r="I758">
        <v>544.5</v>
      </c>
      <c r="J758">
        <v>544.5</v>
      </c>
      <c r="K758">
        <v>0</v>
      </c>
      <c r="L758">
        <v>0</v>
      </c>
      <c r="M758">
        <v>0</v>
      </c>
      <c r="N758">
        <v>544.5</v>
      </c>
      <c r="O758" s="14">
        <f t="shared" ca="1" si="11"/>
        <v>147</v>
      </c>
      <c r="P758" t="s">
        <v>589</v>
      </c>
    </row>
    <row r="759" spans="1:16" ht="12.75" customHeight="1" x14ac:dyDescent="0.2">
      <c r="A759" t="s">
        <v>604</v>
      </c>
      <c r="B759" t="s">
        <v>651</v>
      </c>
      <c r="C759" t="s">
        <v>838</v>
      </c>
      <c r="D759" t="s">
        <v>164</v>
      </c>
      <c r="E759" t="s">
        <v>399</v>
      </c>
      <c r="F759" s="1">
        <v>46030</v>
      </c>
      <c r="G759" s="1">
        <v>46060</v>
      </c>
      <c r="H759" t="s">
        <v>389</v>
      </c>
      <c r="I759">
        <v>544.5</v>
      </c>
      <c r="J759">
        <v>544.5</v>
      </c>
      <c r="K759">
        <v>0</v>
      </c>
      <c r="L759">
        <v>0</v>
      </c>
      <c r="M759">
        <v>0</v>
      </c>
      <c r="N759">
        <v>544.5</v>
      </c>
      <c r="O759" s="14">
        <f t="shared" ca="1" si="11"/>
        <v>110</v>
      </c>
      <c r="P759" t="s">
        <v>589</v>
      </c>
    </row>
    <row r="760" spans="1:16" ht="12.75" customHeight="1" x14ac:dyDescent="0.2">
      <c r="A760" t="s">
        <v>604</v>
      </c>
      <c r="B760" t="s">
        <v>651</v>
      </c>
      <c r="C760" t="s">
        <v>569</v>
      </c>
      <c r="D760" t="s">
        <v>500</v>
      </c>
      <c r="E760" t="s">
        <v>399</v>
      </c>
      <c r="F760" s="1">
        <v>45782</v>
      </c>
      <c r="G760" s="1">
        <v>45812</v>
      </c>
      <c r="H760" t="s">
        <v>209</v>
      </c>
      <c r="I760">
        <v>242</v>
      </c>
      <c r="J760">
        <v>242</v>
      </c>
      <c r="K760">
        <v>0</v>
      </c>
      <c r="L760">
        <v>0</v>
      </c>
      <c r="M760">
        <v>0</v>
      </c>
      <c r="N760">
        <v>242</v>
      </c>
      <c r="O760" s="14">
        <f t="shared" ca="1" si="11"/>
        <v>358</v>
      </c>
      <c r="P760" t="s">
        <v>589</v>
      </c>
    </row>
    <row r="761" spans="1:16" ht="12.75" customHeight="1" x14ac:dyDescent="0.2">
      <c r="A761" t="s">
        <v>604</v>
      </c>
      <c r="B761" t="s">
        <v>651</v>
      </c>
      <c r="C761" t="s">
        <v>569</v>
      </c>
      <c r="D761" t="s">
        <v>500</v>
      </c>
      <c r="E761" t="s">
        <v>399</v>
      </c>
      <c r="F761" s="1">
        <v>45810</v>
      </c>
      <c r="G761" s="1">
        <v>45840</v>
      </c>
      <c r="H761" t="s">
        <v>538</v>
      </c>
      <c r="I761">
        <v>242</v>
      </c>
      <c r="J761">
        <v>242</v>
      </c>
      <c r="K761">
        <v>0</v>
      </c>
      <c r="L761">
        <v>0</v>
      </c>
      <c r="M761">
        <v>0</v>
      </c>
      <c r="N761">
        <v>242</v>
      </c>
      <c r="O761" s="14">
        <f t="shared" ca="1" si="11"/>
        <v>330</v>
      </c>
      <c r="P761" t="s">
        <v>589</v>
      </c>
    </row>
    <row r="762" spans="1:16" ht="12.75" customHeight="1" x14ac:dyDescent="0.2">
      <c r="A762" t="s">
        <v>604</v>
      </c>
      <c r="B762" t="s">
        <v>651</v>
      </c>
      <c r="C762" t="s">
        <v>569</v>
      </c>
      <c r="D762" t="s">
        <v>500</v>
      </c>
      <c r="E762" t="s">
        <v>399</v>
      </c>
      <c r="F762" s="1">
        <v>45839</v>
      </c>
      <c r="G762" s="1">
        <v>45869</v>
      </c>
      <c r="H762" t="s">
        <v>463</v>
      </c>
      <c r="I762">
        <v>242</v>
      </c>
      <c r="J762">
        <v>242</v>
      </c>
      <c r="K762">
        <v>0</v>
      </c>
      <c r="L762">
        <v>0</v>
      </c>
      <c r="M762">
        <v>0</v>
      </c>
      <c r="N762">
        <v>242</v>
      </c>
      <c r="O762" s="14">
        <f t="shared" ca="1" si="11"/>
        <v>301</v>
      </c>
      <c r="P762" t="s">
        <v>589</v>
      </c>
    </row>
    <row r="763" spans="1:16" ht="12.75" customHeight="1" x14ac:dyDescent="0.2">
      <c r="A763" t="s">
        <v>604</v>
      </c>
      <c r="B763" t="s">
        <v>651</v>
      </c>
      <c r="C763" t="s">
        <v>569</v>
      </c>
      <c r="D763" t="s">
        <v>500</v>
      </c>
      <c r="E763" t="s">
        <v>399</v>
      </c>
      <c r="F763" s="1">
        <v>45873</v>
      </c>
      <c r="G763" s="1">
        <v>45903</v>
      </c>
      <c r="H763" t="s">
        <v>1229</v>
      </c>
      <c r="I763">
        <v>242</v>
      </c>
      <c r="J763">
        <v>242</v>
      </c>
      <c r="K763">
        <v>0</v>
      </c>
      <c r="L763">
        <v>0</v>
      </c>
      <c r="M763">
        <v>0</v>
      </c>
      <c r="N763">
        <v>242</v>
      </c>
      <c r="O763" s="14">
        <f t="shared" ca="1" si="11"/>
        <v>267</v>
      </c>
      <c r="P763" t="s">
        <v>589</v>
      </c>
    </row>
    <row r="764" spans="1:16" ht="12.75" customHeight="1" x14ac:dyDescent="0.2">
      <c r="A764" t="s">
        <v>604</v>
      </c>
      <c r="B764" t="s">
        <v>651</v>
      </c>
      <c r="C764" t="s">
        <v>569</v>
      </c>
      <c r="D764" t="s">
        <v>500</v>
      </c>
      <c r="E764" t="s">
        <v>399</v>
      </c>
      <c r="F764" s="1">
        <v>45901</v>
      </c>
      <c r="G764" s="1">
        <v>45931</v>
      </c>
      <c r="H764" t="s">
        <v>573</v>
      </c>
      <c r="I764">
        <v>242</v>
      </c>
      <c r="J764">
        <v>242</v>
      </c>
      <c r="K764">
        <v>0</v>
      </c>
      <c r="L764">
        <v>0</v>
      </c>
      <c r="M764">
        <v>0</v>
      </c>
      <c r="N764">
        <v>242</v>
      </c>
      <c r="O764" s="14">
        <f t="shared" ca="1" si="11"/>
        <v>239</v>
      </c>
      <c r="P764" t="s">
        <v>589</v>
      </c>
    </row>
    <row r="765" spans="1:16" ht="12.75" customHeight="1" x14ac:dyDescent="0.2">
      <c r="A765" t="s">
        <v>604</v>
      </c>
      <c r="B765" t="s">
        <v>651</v>
      </c>
      <c r="C765" t="s">
        <v>569</v>
      </c>
      <c r="D765" t="s">
        <v>500</v>
      </c>
      <c r="E765" t="s">
        <v>399</v>
      </c>
      <c r="F765" s="1">
        <v>45936</v>
      </c>
      <c r="G765" s="1">
        <v>45966</v>
      </c>
      <c r="H765" t="s">
        <v>1285</v>
      </c>
      <c r="I765">
        <v>242</v>
      </c>
      <c r="J765">
        <v>242</v>
      </c>
      <c r="K765">
        <v>0</v>
      </c>
      <c r="L765">
        <v>0</v>
      </c>
      <c r="M765">
        <v>0</v>
      </c>
      <c r="N765">
        <v>242</v>
      </c>
      <c r="O765" s="14">
        <f t="shared" ca="1" si="11"/>
        <v>204</v>
      </c>
      <c r="P765" t="s">
        <v>589</v>
      </c>
    </row>
    <row r="766" spans="1:16" ht="12.75" customHeight="1" x14ac:dyDescent="0.2">
      <c r="A766" t="s">
        <v>604</v>
      </c>
      <c r="B766" t="s">
        <v>651</v>
      </c>
      <c r="C766" t="s">
        <v>569</v>
      </c>
      <c r="D766" t="s">
        <v>500</v>
      </c>
      <c r="E766" t="s">
        <v>399</v>
      </c>
      <c r="F766" s="1">
        <v>45966</v>
      </c>
      <c r="G766" s="1">
        <v>45996</v>
      </c>
      <c r="H766" t="s">
        <v>815</v>
      </c>
      <c r="I766">
        <v>242</v>
      </c>
      <c r="J766">
        <v>242</v>
      </c>
      <c r="K766">
        <v>0</v>
      </c>
      <c r="L766">
        <v>0</v>
      </c>
      <c r="M766">
        <v>0</v>
      </c>
      <c r="N766">
        <v>242</v>
      </c>
      <c r="O766" s="14">
        <f t="shared" ca="1" si="11"/>
        <v>174</v>
      </c>
      <c r="P766" t="s">
        <v>589</v>
      </c>
    </row>
    <row r="767" spans="1:16" ht="12.75" customHeight="1" x14ac:dyDescent="0.2">
      <c r="A767" t="s">
        <v>604</v>
      </c>
      <c r="B767" t="s">
        <v>651</v>
      </c>
      <c r="C767" t="s">
        <v>569</v>
      </c>
      <c r="D767" t="s">
        <v>500</v>
      </c>
      <c r="E767" t="s">
        <v>399</v>
      </c>
      <c r="F767" s="1">
        <v>45993</v>
      </c>
      <c r="G767" s="1">
        <v>46023</v>
      </c>
      <c r="H767" t="s">
        <v>486</v>
      </c>
      <c r="I767">
        <v>242</v>
      </c>
      <c r="J767">
        <v>242</v>
      </c>
      <c r="K767">
        <v>0</v>
      </c>
      <c r="L767">
        <v>0</v>
      </c>
      <c r="M767">
        <v>0</v>
      </c>
      <c r="N767">
        <v>242</v>
      </c>
      <c r="O767" s="14">
        <f t="shared" ca="1" si="11"/>
        <v>147</v>
      </c>
      <c r="P767" t="s">
        <v>589</v>
      </c>
    </row>
    <row r="768" spans="1:16" ht="12.75" customHeight="1" x14ac:dyDescent="0.2">
      <c r="A768" t="s">
        <v>604</v>
      </c>
      <c r="B768" t="s">
        <v>651</v>
      </c>
      <c r="C768" t="s">
        <v>569</v>
      </c>
      <c r="D768" t="s">
        <v>500</v>
      </c>
      <c r="E768" t="s">
        <v>399</v>
      </c>
      <c r="F768" s="1">
        <v>46030</v>
      </c>
      <c r="G768" s="1">
        <v>46060</v>
      </c>
      <c r="H768" t="s">
        <v>534</v>
      </c>
      <c r="I768">
        <v>242</v>
      </c>
      <c r="J768">
        <v>242</v>
      </c>
      <c r="K768">
        <v>0</v>
      </c>
      <c r="L768">
        <v>0</v>
      </c>
      <c r="M768">
        <v>0</v>
      </c>
      <c r="N768">
        <v>242</v>
      </c>
      <c r="O768" s="14">
        <f t="shared" ca="1" si="11"/>
        <v>110</v>
      </c>
      <c r="P768" t="s">
        <v>589</v>
      </c>
    </row>
    <row r="769" spans="1:16" ht="12.75" customHeight="1" x14ac:dyDescent="0.2">
      <c r="A769" t="s">
        <v>604</v>
      </c>
      <c r="B769" t="s">
        <v>651</v>
      </c>
      <c r="C769" t="s">
        <v>569</v>
      </c>
      <c r="D769" t="s">
        <v>500</v>
      </c>
      <c r="E769" t="s">
        <v>399</v>
      </c>
      <c r="F769" s="1">
        <v>46055</v>
      </c>
      <c r="G769" s="1">
        <v>46069</v>
      </c>
      <c r="H769" t="s">
        <v>1494</v>
      </c>
      <c r="I769">
        <v>242</v>
      </c>
      <c r="J769">
        <v>242</v>
      </c>
      <c r="K769">
        <v>0</v>
      </c>
      <c r="L769">
        <v>0</v>
      </c>
      <c r="M769">
        <v>0</v>
      </c>
      <c r="N769">
        <v>242</v>
      </c>
      <c r="O769" s="14">
        <f t="shared" ca="1" si="11"/>
        <v>101</v>
      </c>
      <c r="P769" t="s">
        <v>589</v>
      </c>
    </row>
    <row r="770" spans="1:16" ht="12.75" customHeight="1" x14ac:dyDescent="0.2">
      <c r="A770" t="s">
        <v>604</v>
      </c>
      <c r="B770" t="s">
        <v>651</v>
      </c>
      <c r="C770" t="s">
        <v>569</v>
      </c>
      <c r="D770" t="s">
        <v>500</v>
      </c>
      <c r="E770" t="s">
        <v>399</v>
      </c>
      <c r="F770" s="1">
        <v>46085</v>
      </c>
      <c r="G770" s="1">
        <v>46099</v>
      </c>
      <c r="H770" t="s">
        <v>1495</v>
      </c>
      <c r="I770">
        <v>242</v>
      </c>
      <c r="J770">
        <v>242</v>
      </c>
      <c r="K770">
        <v>0</v>
      </c>
      <c r="L770">
        <v>0</v>
      </c>
      <c r="M770">
        <v>242</v>
      </c>
      <c r="N770">
        <v>0</v>
      </c>
      <c r="O770" s="14">
        <f t="shared" ca="1" si="11"/>
        <v>71</v>
      </c>
      <c r="P770" t="s">
        <v>589</v>
      </c>
    </row>
    <row r="771" spans="1:16" ht="12.75" customHeight="1" x14ac:dyDescent="0.2">
      <c r="A771" t="s">
        <v>604</v>
      </c>
      <c r="B771" t="s">
        <v>651</v>
      </c>
      <c r="C771" t="s">
        <v>569</v>
      </c>
      <c r="D771" t="s">
        <v>500</v>
      </c>
      <c r="E771" t="s">
        <v>399</v>
      </c>
      <c r="F771" s="1">
        <v>46104</v>
      </c>
      <c r="G771" s="1">
        <v>46118</v>
      </c>
      <c r="H771" t="s">
        <v>1496</v>
      </c>
      <c r="I771">
        <v>789.53</v>
      </c>
      <c r="J771">
        <v>789.53</v>
      </c>
      <c r="K771">
        <v>0</v>
      </c>
      <c r="L771">
        <v>789.53</v>
      </c>
      <c r="M771">
        <v>0</v>
      </c>
      <c r="N771">
        <v>0</v>
      </c>
      <c r="O771" s="14">
        <f t="shared" ref="O771:O834" ca="1" si="12">TODAY()-G771</f>
        <v>52</v>
      </c>
      <c r="P771" t="s">
        <v>589</v>
      </c>
    </row>
    <row r="772" spans="1:16" ht="12.75" customHeight="1" x14ac:dyDescent="0.2">
      <c r="A772" t="s">
        <v>604</v>
      </c>
      <c r="B772" t="s">
        <v>651</v>
      </c>
      <c r="C772" t="s">
        <v>569</v>
      </c>
      <c r="D772" t="s">
        <v>500</v>
      </c>
      <c r="E772" t="s">
        <v>399</v>
      </c>
      <c r="F772" s="1">
        <v>46118</v>
      </c>
      <c r="G772" s="1">
        <v>46132</v>
      </c>
      <c r="H772" t="s">
        <v>1497</v>
      </c>
      <c r="I772">
        <v>242</v>
      </c>
      <c r="J772">
        <v>242</v>
      </c>
      <c r="K772">
        <v>0</v>
      </c>
      <c r="L772">
        <v>242</v>
      </c>
      <c r="M772">
        <v>0</v>
      </c>
      <c r="N772">
        <v>0</v>
      </c>
      <c r="O772" s="14">
        <f t="shared" ca="1" si="12"/>
        <v>38</v>
      </c>
      <c r="P772" t="s">
        <v>589</v>
      </c>
    </row>
    <row r="773" spans="1:16" ht="12.75" customHeight="1" x14ac:dyDescent="0.2">
      <c r="A773" t="s">
        <v>604</v>
      </c>
      <c r="B773" t="s">
        <v>651</v>
      </c>
      <c r="C773" t="s">
        <v>569</v>
      </c>
      <c r="D773" t="s">
        <v>500</v>
      </c>
      <c r="E773" t="s">
        <v>399</v>
      </c>
      <c r="F773" s="1">
        <v>46148</v>
      </c>
      <c r="G773" s="1">
        <v>46162</v>
      </c>
      <c r="H773" t="s">
        <v>1498</v>
      </c>
      <c r="I773">
        <v>242</v>
      </c>
      <c r="J773">
        <v>242</v>
      </c>
      <c r="K773">
        <v>242</v>
      </c>
      <c r="L773">
        <v>0</v>
      </c>
      <c r="M773">
        <v>0</v>
      </c>
      <c r="N773">
        <v>0</v>
      </c>
      <c r="O773" s="14">
        <f t="shared" ca="1" si="12"/>
        <v>8</v>
      </c>
      <c r="P773" t="s">
        <v>589</v>
      </c>
    </row>
    <row r="774" spans="1:16" ht="12.75" customHeight="1" x14ac:dyDescent="0.2">
      <c r="A774" t="s">
        <v>604</v>
      </c>
      <c r="B774" t="s">
        <v>651</v>
      </c>
      <c r="C774" t="s">
        <v>657</v>
      </c>
      <c r="D774" t="s">
        <v>1011</v>
      </c>
      <c r="E774" t="s">
        <v>399</v>
      </c>
      <c r="F774" s="1">
        <v>45033</v>
      </c>
      <c r="G774" s="1">
        <v>45063</v>
      </c>
      <c r="H774" t="s">
        <v>51</v>
      </c>
      <c r="I774">
        <v>1452</v>
      </c>
      <c r="J774">
        <v>1452</v>
      </c>
      <c r="K774">
        <v>0</v>
      </c>
      <c r="L774">
        <v>0</v>
      </c>
      <c r="M774">
        <v>0</v>
      </c>
      <c r="N774">
        <v>1452</v>
      </c>
      <c r="O774" s="14">
        <f t="shared" ca="1" si="12"/>
        <v>1107</v>
      </c>
      <c r="P774" t="s">
        <v>1066</v>
      </c>
    </row>
    <row r="775" spans="1:16" ht="12.75" customHeight="1" x14ac:dyDescent="0.2">
      <c r="A775" t="s">
        <v>604</v>
      </c>
      <c r="B775" t="s">
        <v>651</v>
      </c>
      <c r="C775" t="s">
        <v>708</v>
      </c>
      <c r="D775" t="s">
        <v>234</v>
      </c>
      <c r="E775" t="s">
        <v>399</v>
      </c>
      <c r="F775" s="1">
        <v>45789</v>
      </c>
      <c r="G775" s="1">
        <v>45819</v>
      </c>
      <c r="H775" t="s">
        <v>1296</v>
      </c>
      <c r="I775">
        <v>4962.01</v>
      </c>
      <c r="J775">
        <v>4962.01</v>
      </c>
      <c r="K775">
        <v>0</v>
      </c>
      <c r="L775">
        <v>0</v>
      </c>
      <c r="M775">
        <v>0</v>
      </c>
      <c r="N775">
        <v>4962.01</v>
      </c>
      <c r="O775" s="14">
        <f t="shared" ca="1" si="12"/>
        <v>351</v>
      </c>
      <c r="P775" t="s">
        <v>589</v>
      </c>
    </row>
    <row r="776" spans="1:16" ht="12.75" customHeight="1" x14ac:dyDescent="0.2">
      <c r="A776" t="s">
        <v>604</v>
      </c>
      <c r="B776" t="s">
        <v>651</v>
      </c>
      <c r="C776" t="s">
        <v>984</v>
      </c>
      <c r="D776" t="s">
        <v>952</v>
      </c>
      <c r="E776" t="s">
        <v>399</v>
      </c>
      <c r="F776" s="1">
        <v>45736</v>
      </c>
      <c r="G776" s="1">
        <v>45766</v>
      </c>
      <c r="H776" t="s">
        <v>1021</v>
      </c>
      <c r="I776">
        <v>1016.4</v>
      </c>
      <c r="J776">
        <v>0.26</v>
      </c>
      <c r="K776">
        <v>0</v>
      </c>
      <c r="L776">
        <v>0</v>
      </c>
      <c r="M776">
        <v>0</v>
      </c>
      <c r="N776">
        <v>0.26</v>
      </c>
      <c r="O776" s="14">
        <f t="shared" ca="1" si="12"/>
        <v>404</v>
      </c>
      <c r="P776" t="s">
        <v>589</v>
      </c>
    </row>
    <row r="777" spans="1:16" ht="12.75" customHeight="1" x14ac:dyDescent="0.2">
      <c r="A777" t="s">
        <v>604</v>
      </c>
      <c r="B777" t="s">
        <v>651</v>
      </c>
      <c r="C777" t="s">
        <v>1033</v>
      </c>
      <c r="D777" t="s">
        <v>467</v>
      </c>
      <c r="E777" t="s">
        <v>399</v>
      </c>
      <c r="F777" s="1">
        <v>46030</v>
      </c>
      <c r="G777" s="1">
        <v>46060</v>
      </c>
      <c r="H777" t="s">
        <v>355</v>
      </c>
      <c r="I777">
        <v>423.5</v>
      </c>
      <c r="J777">
        <v>423.5</v>
      </c>
      <c r="K777">
        <v>0</v>
      </c>
      <c r="L777">
        <v>0</v>
      </c>
      <c r="M777">
        <v>0</v>
      </c>
      <c r="N777">
        <v>423.5</v>
      </c>
      <c r="O777" s="14">
        <f t="shared" ca="1" si="12"/>
        <v>110</v>
      </c>
      <c r="P777" t="s">
        <v>589</v>
      </c>
    </row>
    <row r="778" spans="1:16" ht="12.75" customHeight="1" x14ac:dyDescent="0.2">
      <c r="A778" t="s">
        <v>604</v>
      </c>
      <c r="B778" t="s">
        <v>651</v>
      </c>
      <c r="C778" t="s">
        <v>1033</v>
      </c>
      <c r="D778" t="s">
        <v>467</v>
      </c>
      <c r="E778" t="s">
        <v>399</v>
      </c>
      <c r="F778" s="1">
        <v>46038</v>
      </c>
      <c r="G778" s="1">
        <v>46068</v>
      </c>
      <c r="H778" t="s">
        <v>135</v>
      </c>
      <c r="I778">
        <v>137.94</v>
      </c>
      <c r="J778">
        <v>137.94</v>
      </c>
      <c r="K778">
        <v>0</v>
      </c>
      <c r="L778">
        <v>0</v>
      </c>
      <c r="M778">
        <v>0</v>
      </c>
      <c r="N778">
        <v>137.94</v>
      </c>
      <c r="O778" s="14">
        <f t="shared" ca="1" si="12"/>
        <v>102</v>
      </c>
      <c r="P778" t="s">
        <v>589</v>
      </c>
    </row>
    <row r="779" spans="1:16" ht="12.75" customHeight="1" x14ac:dyDescent="0.2">
      <c r="A779" t="s">
        <v>604</v>
      </c>
      <c r="B779" t="s">
        <v>651</v>
      </c>
      <c r="C779" t="s">
        <v>1033</v>
      </c>
      <c r="D779" t="s">
        <v>467</v>
      </c>
      <c r="E779" t="s">
        <v>399</v>
      </c>
      <c r="F779" s="1">
        <v>46055</v>
      </c>
      <c r="G779" s="1">
        <v>46085</v>
      </c>
      <c r="H779" t="s">
        <v>303</v>
      </c>
      <c r="I779">
        <v>423.5</v>
      </c>
      <c r="J779">
        <v>423.5</v>
      </c>
      <c r="K779">
        <v>0</v>
      </c>
      <c r="L779">
        <v>0</v>
      </c>
      <c r="M779">
        <v>423.5</v>
      </c>
      <c r="N779">
        <v>0</v>
      </c>
      <c r="O779" s="14">
        <f t="shared" ca="1" si="12"/>
        <v>85</v>
      </c>
      <c r="P779" t="s">
        <v>589</v>
      </c>
    </row>
    <row r="780" spans="1:16" ht="12.75" customHeight="1" x14ac:dyDescent="0.2">
      <c r="A780" t="s">
        <v>604</v>
      </c>
      <c r="B780" t="s">
        <v>651</v>
      </c>
      <c r="C780" t="s">
        <v>1033</v>
      </c>
      <c r="D780" t="s">
        <v>467</v>
      </c>
      <c r="E780" t="s">
        <v>399</v>
      </c>
      <c r="F780" s="1">
        <v>46085</v>
      </c>
      <c r="G780" s="1">
        <v>46115</v>
      </c>
      <c r="H780" t="s">
        <v>1289</v>
      </c>
      <c r="I780">
        <v>423.5</v>
      </c>
      <c r="J780">
        <v>423.5</v>
      </c>
      <c r="K780">
        <v>0</v>
      </c>
      <c r="L780">
        <v>423.5</v>
      </c>
      <c r="M780">
        <v>0</v>
      </c>
      <c r="N780">
        <v>0</v>
      </c>
      <c r="O780" s="14">
        <f t="shared" ca="1" si="12"/>
        <v>55</v>
      </c>
      <c r="P780" t="s">
        <v>589</v>
      </c>
    </row>
    <row r="781" spans="1:16" ht="12.75" customHeight="1" x14ac:dyDescent="0.2">
      <c r="A781" t="s">
        <v>604</v>
      </c>
      <c r="B781" t="s">
        <v>651</v>
      </c>
      <c r="C781" t="s">
        <v>1033</v>
      </c>
      <c r="D781" t="s">
        <v>467</v>
      </c>
      <c r="E781" t="s">
        <v>399</v>
      </c>
      <c r="F781" s="1">
        <v>46118</v>
      </c>
      <c r="G781" s="1">
        <v>46148</v>
      </c>
      <c r="H781" t="s">
        <v>1274</v>
      </c>
      <c r="I781">
        <v>423.5</v>
      </c>
      <c r="J781">
        <v>423.5</v>
      </c>
      <c r="K781">
        <v>423.5</v>
      </c>
      <c r="L781">
        <v>0</v>
      </c>
      <c r="M781">
        <v>0</v>
      </c>
      <c r="N781">
        <v>0</v>
      </c>
      <c r="O781" s="14">
        <f t="shared" ca="1" si="12"/>
        <v>22</v>
      </c>
      <c r="P781" t="s">
        <v>589</v>
      </c>
    </row>
    <row r="782" spans="1:16" ht="12.75" customHeight="1" x14ac:dyDescent="0.2">
      <c r="A782" t="s">
        <v>604</v>
      </c>
      <c r="B782" t="s">
        <v>651</v>
      </c>
      <c r="C782" t="s">
        <v>1033</v>
      </c>
      <c r="D782" t="s">
        <v>467</v>
      </c>
      <c r="E782" t="s">
        <v>399</v>
      </c>
      <c r="F782" s="1">
        <v>46118</v>
      </c>
      <c r="G782" s="1">
        <v>46148</v>
      </c>
      <c r="H782" t="s">
        <v>518</v>
      </c>
      <c r="I782">
        <v>137.94</v>
      </c>
      <c r="J782">
        <v>137.94</v>
      </c>
      <c r="K782">
        <v>137.94</v>
      </c>
      <c r="L782">
        <v>0</v>
      </c>
      <c r="M782">
        <v>0</v>
      </c>
      <c r="N782">
        <v>0</v>
      </c>
      <c r="O782" s="14">
        <f t="shared" ca="1" si="12"/>
        <v>22</v>
      </c>
      <c r="P782" t="s">
        <v>589</v>
      </c>
    </row>
    <row r="783" spans="1:16" ht="12.75" customHeight="1" x14ac:dyDescent="0.2">
      <c r="A783" t="s">
        <v>604</v>
      </c>
      <c r="B783" t="s">
        <v>651</v>
      </c>
      <c r="C783" t="s">
        <v>1037</v>
      </c>
      <c r="D783" t="s">
        <v>40</v>
      </c>
      <c r="E783" t="s">
        <v>399</v>
      </c>
      <c r="F783" s="1">
        <v>46055</v>
      </c>
      <c r="G783" s="1">
        <v>46085</v>
      </c>
      <c r="H783" t="s">
        <v>94</v>
      </c>
      <c r="I783">
        <v>356.95</v>
      </c>
      <c r="J783">
        <v>356.95</v>
      </c>
      <c r="K783">
        <v>0</v>
      </c>
      <c r="L783">
        <v>0</v>
      </c>
      <c r="M783">
        <v>356.95</v>
      </c>
      <c r="N783">
        <v>0</v>
      </c>
      <c r="O783" s="14">
        <f t="shared" ca="1" si="12"/>
        <v>85</v>
      </c>
      <c r="P783" t="s">
        <v>589</v>
      </c>
    </row>
    <row r="784" spans="1:16" ht="12.75" customHeight="1" x14ac:dyDescent="0.2">
      <c r="A784" t="s">
        <v>604</v>
      </c>
      <c r="B784" t="s">
        <v>651</v>
      </c>
      <c r="C784" t="s">
        <v>1037</v>
      </c>
      <c r="D784" t="s">
        <v>40</v>
      </c>
      <c r="E784" t="s">
        <v>399</v>
      </c>
      <c r="F784" s="1">
        <v>46085</v>
      </c>
      <c r="G784" s="1">
        <v>46115</v>
      </c>
      <c r="H784" t="s">
        <v>1141</v>
      </c>
      <c r="I784">
        <v>356.95</v>
      </c>
      <c r="J784">
        <v>356.95</v>
      </c>
      <c r="K784">
        <v>0</v>
      </c>
      <c r="L784">
        <v>356.95</v>
      </c>
      <c r="M784">
        <v>0</v>
      </c>
      <c r="N784">
        <v>0</v>
      </c>
      <c r="O784" s="14">
        <f t="shared" ca="1" si="12"/>
        <v>55</v>
      </c>
      <c r="P784" t="s">
        <v>589</v>
      </c>
    </row>
    <row r="785" spans="1:16" ht="12.75" customHeight="1" x14ac:dyDescent="0.2">
      <c r="A785" t="s">
        <v>604</v>
      </c>
      <c r="B785" t="s">
        <v>651</v>
      </c>
      <c r="C785" t="s">
        <v>1037</v>
      </c>
      <c r="D785" t="s">
        <v>40</v>
      </c>
      <c r="E785" t="s">
        <v>399</v>
      </c>
      <c r="F785" s="1">
        <v>46118</v>
      </c>
      <c r="G785" s="1">
        <v>46148</v>
      </c>
      <c r="H785" t="s">
        <v>625</v>
      </c>
      <c r="I785">
        <v>356.95</v>
      </c>
      <c r="J785">
        <v>356.95</v>
      </c>
      <c r="K785">
        <v>356.95</v>
      </c>
      <c r="L785">
        <v>0</v>
      </c>
      <c r="M785">
        <v>0</v>
      </c>
      <c r="N785">
        <v>0</v>
      </c>
      <c r="O785" s="14">
        <f t="shared" ca="1" si="12"/>
        <v>22</v>
      </c>
      <c r="P785" t="s">
        <v>589</v>
      </c>
    </row>
    <row r="786" spans="1:16" ht="12.75" customHeight="1" x14ac:dyDescent="0.2">
      <c r="A786" t="s">
        <v>604</v>
      </c>
      <c r="B786" t="s">
        <v>651</v>
      </c>
      <c r="C786" t="s">
        <v>309</v>
      </c>
      <c r="D786" t="s">
        <v>1125</v>
      </c>
      <c r="E786" t="s">
        <v>399</v>
      </c>
      <c r="F786" s="1">
        <v>45993</v>
      </c>
      <c r="G786" s="1">
        <v>46023</v>
      </c>
      <c r="H786" t="s">
        <v>310</v>
      </c>
      <c r="I786">
        <v>1597.2</v>
      </c>
      <c r="J786">
        <v>1597.2</v>
      </c>
      <c r="K786">
        <v>0</v>
      </c>
      <c r="L786">
        <v>0</v>
      </c>
      <c r="M786">
        <v>0</v>
      </c>
      <c r="N786">
        <v>1597.2</v>
      </c>
      <c r="O786" s="14">
        <f t="shared" ca="1" si="12"/>
        <v>147</v>
      </c>
      <c r="P786" t="s">
        <v>589</v>
      </c>
    </row>
    <row r="787" spans="1:16" ht="12.75" customHeight="1" x14ac:dyDescent="0.2">
      <c r="A787" t="s">
        <v>604</v>
      </c>
      <c r="B787" t="s">
        <v>651</v>
      </c>
      <c r="C787" t="s">
        <v>309</v>
      </c>
      <c r="D787" t="s">
        <v>1125</v>
      </c>
      <c r="E787" t="s">
        <v>399</v>
      </c>
      <c r="F787" s="1">
        <v>46030</v>
      </c>
      <c r="G787" s="1">
        <v>46060</v>
      </c>
      <c r="H787" t="s">
        <v>1060</v>
      </c>
      <c r="I787">
        <v>399.3</v>
      </c>
      <c r="J787">
        <v>399.3</v>
      </c>
      <c r="K787">
        <v>0</v>
      </c>
      <c r="L787">
        <v>0</v>
      </c>
      <c r="M787">
        <v>0</v>
      </c>
      <c r="N787">
        <v>399.3</v>
      </c>
      <c r="O787" s="14">
        <f t="shared" ca="1" si="12"/>
        <v>110</v>
      </c>
      <c r="P787" t="s">
        <v>589</v>
      </c>
    </row>
    <row r="788" spans="1:16" ht="12.75" customHeight="1" x14ac:dyDescent="0.2">
      <c r="A788" t="s">
        <v>604</v>
      </c>
      <c r="B788" t="s">
        <v>651</v>
      </c>
      <c r="C788" t="s">
        <v>309</v>
      </c>
      <c r="D788" t="s">
        <v>1125</v>
      </c>
      <c r="E788" t="s">
        <v>399</v>
      </c>
      <c r="F788" s="1">
        <v>46055</v>
      </c>
      <c r="G788" s="1">
        <v>46085</v>
      </c>
      <c r="H788" t="s">
        <v>987</v>
      </c>
      <c r="I788">
        <v>399.3</v>
      </c>
      <c r="J788">
        <v>399.3</v>
      </c>
      <c r="K788">
        <v>0</v>
      </c>
      <c r="L788">
        <v>0</v>
      </c>
      <c r="M788">
        <v>399.3</v>
      </c>
      <c r="N788">
        <v>0</v>
      </c>
      <c r="O788" s="14">
        <f t="shared" ca="1" si="12"/>
        <v>85</v>
      </c>
      <c r="P788" t="s">
        <v>589</v>
      </c>
    </row>
    <row r="789" spans="1:16" ht="12.75" customHeight="1" x14ac:dyDescent="0.2">
      <c r="A789" t="s">
        <v>604</v>
      </c>
      <c r="B789" t="s">
        <v>651</v>
      </c>
      <c r="C789" t="s">
        <v>309</v>
      </c>
      <c r="D789" t="s">
        <v>1125</v>
      </c>
      <c r="E789" t="s">
        <v>399</v>
      </c>
      <c r="F789" s="1">
        <v>46085</v>
      </c>
      <c r="G789" s="1">
        <v>46115</v>
      </c>
      <c r="H789" t="s">
        <v>789</v>
      </c>
      <c r="I789">
        <v>399.3</v>
      </c>
      <c r="J789">
        <v>399.3</v>
      </c>
      <c r="K789">
        <v>0</v>
      </c>
      <c r="L789">
        <v>399.3</v>
      </c>
      <c r="M789">
        <v>0</v>
      </c>
      <c r="N789">
        <v>0</v>
      </c>
      <c r="O789" s="14">
        <f t="shared" ca="1" si="12"/>
        <v>55</v>
      </c>
      <c r="P789" t="s">
        <v>589</v>
      </c>
    </row>
    <row r="790" spans="1:16" ht="12.75" customHeight="1" x14ac:dyDescent="0.2">
      <c r="A790" t="s">
        <v>604</v>
      </c>
      <c r="B790" t="s">
        <v>651</v>
      </c>
      <c r="C790" t="s">
        <v>309</v>
      </c>
      <c r="D790" t="s">
        <v>1125</v>
      </c>
      <c r="E790" t="s">
        <v>399</v>
      </c>
      <c r="F790" s="1">
        <v>46118</v>
      </c>
      <c r="G790" s="1">
        <v>46148</v>
      </c>
      <c r="H790" t="s">
        <v>163</v>
      </c>
      <c r="I790">
        <v>399.3</v>
      </c>
      <c r="J790">
        <v>399.3</v>
      </c>
      <c r="K790">
        <v>399.3</v>
      </c>
      <c r="L790">
        <v>0</v>
      </c>
      <c r="M790">
        <v>0</v>
      </c>
      <c r="N790">
        <v>0</v>
      </c>
      <c r="O790" s="14">
        <f t="shared" ca="1" si="12"/>
        <v>22</v>
      </c>
      <c r="P790" t="s">
        <v>589</v>
      </c>
    </row>
    <row r="791" spans="1:16" ht="12.75" customHeight="1" x14ac:dyDescent="0.2">
      <c r="A791" t="s">
        <v>604</v>
      </c>
      <c r="B791" t="s">
        <v>651</v>
      </c>
      <c r="C791" t="s">
        <v>375</v>
      </c>
      <c r="D791" t="s">
        <v>974</v>
      </c>
      <c r="E791" t="s">
        <v>399</v>
      </c>
      <c r="F791" s="1">
        <v>45450</v>
      </c>
      <c r="G791" s="1">
        <v>45480</v>
      </c>
      <c r="H791" t="s">
        <v>85</v>
      </c>
      <c r="I791">
        <v>5151.2700000000004</v>
      </c>
      <c r="J791">
        <v>2643.73</v>
      </c>
      <c r="K791">
        <v>0</v>
      </c>
      <c r="L791">
        <v>0</v>
      </c>
      <c r="M791">
        <v>0</v>
      </c>
      <c r="N791">
        <v>2643.73</v>
      </c>
      <c r="O791" s="14">
        <f t="shared" ca="1" si="12"/>
        <v>690</v>
      </c>
      <c r="P791" t="s">
        <v>589</v>
      </c>
    </row>
    <row r="792" spans="1:16" ht="12.75" customHeight="1" x14ac:dyDescent="0.2">
      <c r="A792" t="s">
        <v>604</v>
      </c>
      <c r="B792" t="s">
        <v>651</v>
      </c>
      <c r="C792" t="s">
        <v>375</v>
      </c>
      <c r="D792" t="s">
        <v>974</v>
      </c>
      <c r="E792" t="s">
        <v>399</v>
      </c>
      <c r="F792" s="1">
        <v>45481</v>
      </c>
      <c r="G792" s="1">
        <v>45511</v>
      </c>
      <c r="H792" t="s">
        <v>1164</v>
      </c>
      <c r="I792">
        <v>121</v>
      </c>
      <c r="J792">
        <v>121</v>
      </c>
      <c r="K792">
        <v>0</v>
      </c>
      <c r="L792">
        <v>0</v>
      </c>
      <c r="M792">
        <v>0</v>
      </c>
      <c r="N792">
        <v>121</v>
      </c>
      <c r="O792" s="14">
        <f t="shared" ca="1" si="12"/>
        <v>659</v>
      </c>
      <c r="P792" t="s">
        <v>589</v>
      </c>
    </row>
    <row r="793" spans="1:16" ht="12.75" customHeight="1" x14ac:dyDescent="0.2">
      <c r="A793" t="s">
        <v>604</v>
      </c>
      <c r="B793" t="s">
        <v>651</v>
      </c>
      <c r="C793" t="s">
        <v>375</v>
      </c>
      <c r="D793" t="s">
        <v>974</v>
      </c>
      <c r="E793" t="s">
        <v>399</v>
      </c>
      <c r="F793" s="1">
        <v>45481</v>
      </c>
      <c r="G793" s="1">
        <v>45511</v>
      </c>
      <c r="H793" t="s">
        <v>875</v>
      </c>
      <c r="I793">
        <v>968</v>
      </c>
      <c r="J793">
        <v>968</v>
      </c>
      <c r="K793">
        <v>0</v>
      </c>
      <c r="L793">
        <v>0</v>
      </c>
      <c r="M793">
        <v>0</v>
      </c>
      <c r="N793">
        <v>968</v>
      </c>
      <c r="O793" s="14">
        <f t="shared" ca="1" si="12"/>
        <v>659</v>
      </c>
      <c r="P793" t="s">
        <v>589</v>
      </c>
    </row>
    <row r="794" spans="1:16" ht="12.75" customHeight="1" x14ac:dyDescent="0.2">
      <c r="A794" t="s">
        <v>604</v>
      </c>
      <c r="B794" t="s">
        <v>651</v>
      </c>
      <c r="C794" t="s">
        <v>375</v>
      </c>
      <c r="D794" t="s">
        <v>974</v>
      </c>
      <c r="E794" t="s">
        <v>399</v>
      </c>
      <c r="F794" s="1">
        <v>45481</v>
      </c>
      <c r="G794" s="1">
        <v>45511</v>
      </c>
      <c r="H794" t="s">
        <v>605</v>
      </c>
      <c r="I794">
        <v>35.090000000000003</v>
      </c>
      <c r="J794">
        <v>35.090000000000003</v>
      </c>
      <c r="K794">
        <v>0</v>
      </c>
      <c r="L794">
        <v>0</v>
      </c>
      <c r="M794">
        <v>0</v>
      </c>
      <c r="N794">
        <v>35.090000000000003</v>
      </c>
      <c r="O794" s="14">
        <f t="shared" ca="1" si="12"/>
        <v>659</v>
      </c>
      <c r="P794" t="s">
        <v>589</v>
      </c>
    </row>
    <row r="795" spans="1:16" ht="12.75" customHeight="1" x14ac:dyDescent="0.2">
      <c r="A795" t="s">
        <v>604</v>
      </c>
      <c r="B795" t="s">
        <v>651</v>
      </c>
      <c r="C795" t="s">
        <v>375</v>
      </c>
      <c r="D795" t="s">
        <v>974</v>
      </c>
      <c r="E795" t="s">
        <v>399</v>
      </c>
      <c r="F795" s="1">
        <v>45481</v>
      </c>
      <c r="G795" s="1">
        <v>45511</v>
      </c>
      <c r="H795" t="s">
        <v>189</v>
      </c>
      <c r="I795">
        <v>24.2</v>
      </c>
      <c r="J795">
        <v>24.2</v>
      </c>
      <c r="K795">
        <v>0</v>
      </c>
      <c r="L795">
        <v>0</v>
      </c>
      <c r="M795">
        <v>0</v>
      </c>
      <c r="N795">
        <v>24.2</v>
      </c>
      <c r="O795" s="14">
        <f t="shared" ca="1" si="12"/>
        <v>659</v>
      </c>
      <c r="P795" t="s">
        <v>589</v>
      </c>
    </row>
    <row r="796" spans="1:16" ht="12.75" customHeight="1" x14ac:dyDescent="0.2">
      <c r="A796" t="s">
        <v>604</v>
      </c>
      <c r="B796" t="s">
        <v>651</v>
      </c>
      <c r="C796" t="s">
        <v>375</v>
      </c>
      <c r="D796" t="s">
        <v>974</v>
      </c>
      <c r="E796" t="s">
        <v>399</v>
      </c>
      <c r="F796" s="1">
        <v>45509</v>
      </c>
      <c r="G796" s="1">
        <v>45539</v>
      </c>
      <c r="H796" t="s">
        <v>1247</v>
      </c>
      <c r="I796">
        <v>968</v>
      </c>
      <c r="J796">
        <v>968</v>
      </c>
      <c r="K796">
        <v>0</v>
      </c>
      <c r="L796">
        <v>0</v>
      </c>
      <c r="M796">
        <v>0</v>
      </c>
      <c r="N796">
        <v>968</v>
      </c>
      <c r="O796" s="14">
        <f t="shared" ca="1" si="12"/>
        <v>631</v>
      </c>
      <c r="P796" t="s">
        <v>589</v>
      </c>
    </row>
    <row r="797" spans="1:16" ht="12.75" customHeight="1" x14ac:dyDescent="0.2">
      <c r="A797" t="s">
        <v>604</v>
      </c>
      <c r="B797" t="s">
        <v>651</v>
      </c>
      <c r="C797" t="s">
        <v>375</v>
      </c>
      <c r="D797" t="s">
        <v>974</v>
      </c>
      <c r="E797" t="s">
        <v>399</v>
      </c>
      <c r="F797" s="1">
        <v>45509</v>
      </c>
      <c r="G797" s="1">
        <v>45539</v>
      </c>
      <c r="H797" t="s">
        <v>1236</v>
      </c>
      <c r="I797">
        <v>121</v>
      </c>
      <c r="J797">
        <v>121</v>
      </c>
      <c r="K797">
        <v>0</v>
      </c>
      <c r="L797">
        <v>0</v>
      </c>
      <c r="M797">
        <v>0</v>
      </c>
      <c r="N797">
        <v>121</v>
      </c>
      <c r="O797" s="14">
        <f t="shared" ca="1" si="12"/>
        <v>631</v>
      </c>
      <c r="P797" t="s">
        <v>589</v>
      </c>
    </row>
    <row r="798" spans="1:16" ht="12.75" customHeight="1" x14ac:dyDescent="0.2">
      <c r="A798" t="s">
        <v>604</v>
      </c>
      <c r="B798" t="s">
        <v>651</v>
      </c>
      <c r="C798" t="s">
        <v>375</v>
      </c>
      <c r="D798" t="s">
        <v>974</v>
      </c>
      <c r="E798" t="s">
        <v>399</v>
      </c>
      <c r="F798" s="1">
        <v>45509</v>
      </c>
      <c r="G798" s="1">
        <v>45539</v>
      </c>
      <c r="H798" t="s">
        <v>194</v>
      </c>
      <c r="I798">
        <v>35.090000000000003</v>
      </c>
      <c r="J798">
        <v>35.090000000000003</v>
      </c>
      <c r="K798">
        <v>0</v>
      </c>
      <c r="L798">
        <v>0</v>
      </c>
      <c r="M798">
        <v>0</v>
      </c>
      <c r="N798">
        <v>35.090000000000003</v>
      </c>
      <c r="O798" s="14">
        <f t="shared" ca="1" si="12"/>
        <v>631</v>
      </c>
      <c r="P798" t="s">
        <v>589</v>
      </c>
    </row>
    <row r="799" spans="1:16" ht="12.75" customHeight="1" x14ac:dyDescent="0.2">
      <c r="A799" t="s">
        <v>604</v>
      </c>
      <c r="B799" t="s">
        <v>651</v>
      </c>
      <c r="C799" t="s">
        <v>375</v>
      </c>
      <c r="D799" t="s">
        <v>974</v>
      </c>
      <c r="E799" t="s">
        <v>399</v>
      </c>
      <c r="F799" s="1">
        <v>45509</v>
      </c>
      <c r="G799" s="1">
        <v>45539</v>
      </c>
      <c r="H799" t="s">
        <v>735</v>
      </c>
      <c r="I799">
        <v>24.2</v>
      </c>
      <c r="J799">
        <v>24.2</v>
      </c>
      <c r="K799">
        <v>0</v>
      </c>
      <c r="L799">
        <v>0</v>
      </c>
      <c r="M799">
        <v>0</v>
      </c>
      <c r="N799">
        <v>24.2</v>
      </c>
      <c r="O799" s="14">
        <f t="shared" ca="1" si="12"/>
        <v>631</v>
      </c>
      <c r="P799" t="s">
        <v>589</v>
      </c>
    </row>
    <row r="800" spans="1:16" ht="12.75" customHeight="1" x14ac:dyDescent="0.2">
      <c r="A800" t="s">
        <v>604</v>
      </c>
      <c r="B800" t="s">
        <v>651</v>
      </c>
      <c r="C800" t="s">
        <v>375</v>
      </c>
      <c r="D800" t="s">
        <v>974</v>
      </c>
      <c r="E800" t="s">
        <v>399</v>
      </c>
      <c r="F800" s="1">
        <v>45537</v>
      </c>
      <c r="G800" s="1">
        <v>45567</v>
      </c>
      <c r="H800" t="s">
        <v>830</v>
      </c>
      <c r="I800">
        <v>968</v>
      </c>
      <c r="J800">
        <v>968</v>
      </c>
      <c r="K800">
        <v>0</v>
      </c>
      <c r="L800">
        <v>0</v>
      </c>
      <c r="M800">
        <v>0</v>
      </c>
      <c r="N800">
        <v>968</v>
      </c>
      <c r="O800" s="14">
        <f t="shared" ca="1" si="12"/>
        <v>603</v>
      </c>
      <c r="P800" t="s">
        <v>589</v>
      </c>
    </row>
    <row r="801" spans="1:16" ht="12.75" customHeight="1" x14ac:dyDescent="0.2">
      <c r="A801" t="s">
        <v>604</v>
      </c>
      <c r="B801" t="s">
        <v>651</v>
      </c>
      <c r="C801" t="s">
        <v>375</v>
      </c>
      <c r="D801" t="s">
        <v>974</v>
      </c>
      <c r="E801" t="s">
        <v>399</v>
      </c>
      <c r="F801" s="1">
        <v>45537</v>
      </c>
      <c r="G801" s="1">
        <v>45567</v>
      </c>
      <c r="H801" t="s">
        <v>1189</v>
      </c>
      <c r="I801">
        <v>121</v>
      </c>
      <c r="J801">
        <v>121</v>
      </c>
      <c r="K801">
        <v>0</v>
      </c>
      <c r="L801">
        <v>0</v>
      </c>
      <c r="M801">
        <v>0</v>
      </c>
      <c r="N801">
        <v>121</v>
      </c>
      <c r="O801" s="14">
        <f t="shared" ca="1" si="12"/>
        <v>603</v>
      </c>
      <c r="P801" t="s">
        <v>589</v>
      </c>
    </row>
    <row r="802" spans="1:16" ht="12.75" customHeight="1" x14ac:dyDescent="0.2">
      <c r="A802" t="s">
        <v>604</v>
      </c>
      <c r="B802" t="s">
        <v>651</v>
      </c>
      <c r="C802" t="s">
        <v>375</v>
      </c>
      <c r="D802" t="s">
        <v>974</v>
      </c>
      <c r="E802" t="s">
        <v>399</v>
      </c>
      <c r="F802" s="1">
        <v>45537</v>
      </c>
      <c r="G802" s="1">
        <v>45567</v>
      </c>
      <c r="H802" t="s">
        <v>156</v>
      </c>
      <c r="I802">
        <v>35.090000000000003</v>
      </c>
      <c r="J802">
        <v>35.090000000000003</v>
      </c>
      <c r="K802">
        <v>0</v>
      </c>
      <c r="L802">
        <v>0</v>
      </c>
      <c r="M802">
        <v>0</v>
      </c>
      <c r="N802">
        <v>35.090000000000003</v>
      </c>
      <c r="O802" s="14">
        <f t="shared" ca="1" si="12"/>
        <v>603</v>
      </c>
      <c r="P802" t="s">
        <v>589</v>
      </c>
    </row>
    <row r="803" spans="1:16" ht="12.75" customHeight="1" x14ac:dyDescent="0.2">
      <c r="A803" t="s">
        <v>604</v>
      </c>
      <c r="B803" t="s">
        <v>651</v>
      </c>
      <c r="C803" t="s">
        <v>375</v>
      </c>
      <c r="D803" t="s">
        <v>974</v>
      </c>
      <c r="E803" t="s">
        <v>399</v>
      </c>
      <c r="F803" s="1">
        <v>45537</v>
      </c>
      <c r="G803" s="1">
        <v>45567</v>
      </c>
      <c r="H803" t="s">
        <v>158</v>
      </c>
      <c r="I803">
        <v>24.2</v>
      </c>
      <c r="J803">
        <v>24.2</v>
      </c>
      <c r="K803">
        <v>0</v>
      </c>
      <c r="L803">
        <v>0</v>
      </c>
      <c r="M803">
        <v>0</v>
      </c>
      <c r="N803">
        <v>24.2</v>
      </c>
      <c r="O803" s="14">
        <f t="shared" ca="1" si="12"/>
        <v>603</v>
      </c>
      <c r="P803" t="s">
        <v>589</v>
      </c>
    </row>
    <row r="804" spans="1:16" ht="12.75" customHeight="1" x14ac:dyDescent="0.2">
      <c r="A804" t="s">
        <v>604</v>
      </c>
      <c r="B804" t="s">
        <v>651</v>
      </c>
      <c r="C804" t="s">
        <v>375</v>
      </c>
      <c r="D804" t="s">
        <v>974</v>
      </c>
      <c r="E804" t="s">
        <v>399</v>
      </c>
      <c r="F804" s="1">
        <v>45572</v>
      </c>
      <c r="G804" s="1">
        <v>45602</v>
      </c>
      <c r="H804" t="s">
        <v>304</v>
      </c>
      <c r="I804">
        <v>968</v>
      </c>
      <c r="J804">
        <v>968</v>
      </c>
      <c r="K804">
        <v>0</v>
      </c>
      <c r="L804">
        <v>0</v>
      </c>
      <c r="M804">
        <v>0</v>
      </c>
      <c r="N804">
        <v>968</v>
      </c>
      <c r="O804" s="14">
        <f t="shared" ca="1" si="12"/>
        <v>568</v>
      </c>
      <c r="P804" t="s">
        <v>589</v>
      </c>
    </row>
    <row r="805" spans="1:16" ht="12.75" customHeight="1" x14ac:dyDescent="0.2">
      <c r="A805" t="s">
        <v>604</v>
      </c>
      <c r="B805" t="s">
        <v>651</v>
      </c>
      <c r="C805" t="s">
        <v>375</v>
      </c>
      <c r="D805" t="s">
        <v>974</v>
      </c>
      <c r="E805" t="s">
        <v>399</v>
      </c>
      <c r="F805" s="1">
        <v>45572</v>
      </c>
      <c r="G805" s="1">
        <v>45602</v>
      </c>
      <c r="H805" t="s">
        <v>1113</v>
      </c>
      <c r="I805">
        <v>121</v>
      </c>
      <c r="J805">
        <v>121</v>
      </c>
      <c r="K805">
        <v>0</v>
      </c>
      <c r="L805">
        <v>0</v>
      </c>
      <c r="M805">
        <v>0</v>
      </c>
      <c r="N805">
        <v>121</v>
      </c>
      <c r="O805" s="14">
        <f t="shared" ca="1" si="12"/>
        <v>568</v>
      </c>
      <c r="P805" t="s">
        <v>589</v>
      </c>
    </row>
    <row r="806" spans="1:16" ht="12.75" customHeight="1" x14ac:dyDescent="0.2">
      <c r="A806" t="s">
        <v>604</v>
      </c>
      <c r="B806" t="s">
        <v>651</v>
      </c>
      <c r="C806" t="s">
        <v>375</v>
      </c>
      <c r="D806" t="s">
        <v>974</v>
      </c>
      <c r="E806" t="s">
        <v>399</v>
      </c>
      <c r="F806" s="1">
        <v>45572</v>
      </c>
      <c r="G806" s="1">
        <v>45602</v>
      </c>
      <c r="H806" t="s">
        <v>1076</v>
      </c>
      <c r="I806">
        <v>35.090000000000003</v>
      </c>
      <c r="J806">
        <v>35.090000000000003</v>
      </c>
      <c r="K806">
        <v>0</v>
      </c>
      <c r="L806">
        <v>0</v>
      </c>
      <c r="M806">
        <v>0</v>
      </c>
      <c r="N806">
        <v>35.090000000000003</v>
      </c>
      <c r="O806" s="14">
        <f t="shared" ca="1" si="12"/>
        <v>568</v>
      </c>
      <c r="P806" t="s">
        <v>589</v>
      </c>
    </row>
    <row r="807" spans="1:16" ht="12.75" customHeight="1" x14ac:dyDescent="0.2">
      <c r="A807" t="s">
        <v>604</v>
      </c>
      <c r="B807" t="s">
        <v>651</v>
      </c>
      <c r="C807" t="s">
        <v>375</v>
      </c>
      <c r="D807" t="s">
        <v>974</v>
      </c>
      <c r="E807" t="s">
        <v>399</v>
      </c>
      <c r="F807" s="1">
        <v>45572</v>
      </c>
      <c r="G807" s="1">
        <v>45602</v>
      </c>
      <c r="H807" t="s">
        <v>1000</v>
      </c>
      <c r="I807">
        <v>24.2</v>
      </c>
      <c r="J807">
        <v>24.2</v>
      </c>
      <c r="K807">
        <v>0</v>
      </c>
      <c r="L807">
        <v>0</v>
      </c>
      <c r="M807">
        <v>0</v>
      </c>
      <c r="N807">
        <v>24.2</v>
      </c>
      <c r="O807" s="14">
        <f t="shared" ca="1" si="12"/>
        <v>568</v>
      </c>
      <c r="P807" t="s">
        <v>589</v>
      </c>
    </row>
    <row r="808" spans="1:16" ht="12.75" customHeight="1" x14ac:dyDescent="0.2">
      <c r="A808" t="s">
        <v>604</v>
      </c>
      <c r="B808" t="s">
        <v>651</v>
      </c>
      <c r="C808" t="s">
        <v>375</v>
      </c>
      <c r="D808" t="s">
        <v>974</v>
      </c>
      <c r="E808" t="s">
        <v>399</v>
      </c>
      <c r="F808" s="1">
        <v>45600</v>
      </c>
      <c r="G808" s="1">
        <v>45630</v>
      </c>
      <c r="H808" t="s">
        <v>784</v>
      </c>
      <c r="I808">
        <v>968</v>
      </c>
      <c r="J808">
        <v>968</v>
      </c>
      <c r="K808">
        <v>0</v>
      </c>
      <c r="L808">
        <v>0</v>
      </c>
      <c r="M808">
        <v>0</v>
      </c>
      <c r="N808">
        <v>968</v>
      </c>
      <c r="O808" s="14">
        <f t="shared" ca="1" si="12"/>
        <v>540</v>
      </c>
      <c r="P808" t="s">
        <v>589</v>
      </c>
    </row>
    <row r="809" spans="1:16" ht="12.75" customHeight="1" x14ac:dyDescent="0.2">
      <c r="A809" t="s">
        <v>604</v>
      </c>
      <c r="B809" t="s">
        <v>651</v>
      </c>
      <c r="C809" t="s">
        <v>375</v>
      </c>
      <c r="D809" t="s">
        <v>974</v>
      </c>
      <c r="E809" t="s">
        <v>399</v>
      </c>
      <c r="F809" s="1">
        <v>45600</v>
      </c>
      <c r="G809" s="1">
        <v>45630</v>
      </c>
      <c r="H809" t="s">
        <v>1209</v>
      </c>
      <c r="I809">
        <v>121</v>
      </c>
      <c r="J809">
        <v>121</v>
      </c>
      <c r="K809">
        <v>0</v>
      </c>
      <c r="L809">
        <v>0</v>
      </c>
      <c r="M809">
        <v>0</v>
      </c>
      <c r="N809">
        <v>121</v>
      </c>
      <c r="O809" s="14">
        <f t="shared" ca="1" si="12"/>
        <v>540</v>
      </c>
      <c r="P809" t="s">
        <v>589</v>
      </c>
    </row>
    <row r="810" spans="1:16" ht="12.75" customHeight="1" x14ac:dyDescent="0.2">
      <c r="A810" t="s">
        <v>604</v>
      </c>
      <c r="B810" t="s">
        <v>651</v>
      </c>
      <c r="C810" t="s">
        <v>375</v>
      </c>
      <c r="D810" t="s">
        <v>974</v>
      </c>
      <c r="E810" t="s">
        <v>399</v>
      </c>
      <c r="F810" s="1">
        <v>45600</v>
      </c>
      <c r="G810" s="1">
        <v>45630</v>
      </c>
      <c r="H810" t="s">
        <v>1085</v>
      </c>
      <c r="I810">
        <v>35.090000000000003</v>
      </c>
      <c r="J810">
        <v>35.090000000000003</v>
      </c>
      <c r="K810">
        <v>0</v>
      </c>
      <c r="L810">
        <v>0</v>
      </c>
      <c r="M810">
        <v>0</v>
      </c>
      <c r="N810">
        <v>35.090000000000003</v>
      </c>
      <c r="O810" s="14">
        <f t="shared" ca="1" si="12"/>
        <v>540</v>
      </c>
      <c r="P810" t="s">
        <v>589</v>
      </c>
    </row>
    <row r="811" spans="1:16" ht="12.75" customHeight="1" x14ac:dyDescent="0.2">
      <c r="A811" t="s">
        <v>604</v>
      </c>
      <c r="B811" t="s">
        <v>651</v>
      </c>
      <c r="C811" t="s">
        <v>375</v>
      </c>
      <c r="D811" t="s">
        <v>974</v>
      </c>
      <c r="E811" t="s">
        <v>399</v>
      </c>
      <c r="F811" s="1">
        <v>45600</v>
      </c>
      <c r="G811" s="1">
        <v>45630</v>
      </c>
      <c r="H811" t="s">
        <v>619</v>
      </c>
      <c r="I811">
        <v>24.2</v>
      </c>
      <c r="J811">
        <v>24.2</v>
      </c>
      <c r="K811">
        <v>0</v>
      </c>
      <c r="L811">
        <v>0</v>
      </c>
      <c r="M811">
        <v>0</v>
      </c>
      <c r="N811">
        <v>24.2</v>
      </c>
      <c r="O811" s="14">
        <f t="shared" ca="1" si="12"/>
        <v>540</v>
      </c>
      <c r="P811" t="s">
        <v>589</v>
      </c>
    </row>
    <row r="812" spans="1:16" ht="12.75" customHeight="1" x14ac:dyDescent="0.2">
      <c r="A812" t="s">
        <v>604</v>
      </c>
      <c r="B812" t="s">
        <v>651</v>
      </c>
      <c r="C812" t="s">
        <v>375</v>
      </c>
      <c r="D812" t="s">
        <v>974</v>
      </c>
      <c r="E812" t="s">
        <v>399</v>
      </c>
      <c r="F812" s="1">
        <v>45628</v>
      </c>
      <c r="G812" s="1">
        <v>45658</v>
      </c>
      <c r="H812" t="s">
        <v>664</v>
      </c>
      <c r="I812">
        <v>121</v>
      </c>
      <c r="J812">
        <v>121</v>
      </c>
      <c r="K812">
        <v>0</v>
      </c>
      <c r="L812">
        <v>0</v>
      </c>
      <c r="M812">
        <v>0</v>
      </c>
      <c r="N812">
        <v>121</v>
      </c>
      <c r="O812" s="14">
        <f t="shared" ca="1" si="12"/>
        <v>512</v>
      </c>
      <c r="P812" t="s">
        <v>589</v>
      </c>
    </row>
    <row r="813" spans="1:16" ht="12.75" customHeight="1" x14ac:dyDescent="0.2">
      <c r="A813" t="s">
        <v>604</v>
      </c>
      <c r="B813" t="s">
        <v>651</v>
      </c>
      <c r="C813" t="s">
        <v>375</v>
      </c>
      <c r="D813" t="s">
        <v>974</v>
      </c>
      <c r="E813" t="s">
        <v>399</v>
      </c>
      <c r="F813" s="1">
        <v>45628</v>
      </c>
      <c r="G813" s="1">
        <v>45658</v>
      </c>
      <c r="H813" t="s">
        <v>713</v>
      </c>
      <c r="I813">
        <v>968</v>
      </c>
      <c r="J813">
        <v>968</v>
      </c>
      <c r="K813">
        <v>0</v>
      </c>
      <c r="L813">
        <v>0</v>
      </c>
      <c r="M813">
        <v>0</v>
      </c>
      <c r="N813">
        <v>968</v>
      </c>
      <c r="O813" s="14">
        <f t="shared" ca="1" si="12"/>
        <v>512</v>
      </c>
      <c r="P813" t="s">
        <v>589</v>
      </c>
    </row>
    <row r="814" spans="1:16" ht="12.75" customHeight="1" x14ac:dyDescent="0.2">
      <c r="A814" t="s">
        <v>604</v>
      </c>
      <c r="B814" t="s">
        <v>651</v>
      </c>
      <c r="C814" t="s">
        <v>375</v>
      </c>
      <c r="D814" t="s">
        <v>974</v>
      </c>
      <c r="E814" t="s">
        <v>399</v>
      </c>
      <c r="F814" s="1">
        <v>45628</v>
      </c>
      <c r="G814" s="1">
        <v>45658</v>
      </c>
      <c r="H814" t="s">
        <v>554</v>
      </c>
      <c r="I814">
        <v>35.090000000000003</v>
      </c>
      <c r="J814">
        <v>35.090000000000003</v>
      </c>
      <c r="K814">
        <v>0</v>
      </c>
      <c r="L814">
        <v>0</v>
      </c>
      <c r="M814">
        <v>0</v>
      </c>
      <c r="N814">
        <v>35.090000000000003</v>
      </c>
      <c r="O814" s="14">
        <f t="shared" ca="1" si="12"/>
        <v>512</v>
      </c>
      <c r="P814" t="s">
        <v>589</v>
      </c>
    </row>
    <row r="815" spans="1:16" ht="12.75" customHeight="1" x14ac:dyDescent="0.2">
      <c r="A815" t="s">
        <v>604</v>
      </c>
      <c r="B815" t="s">
        <v>651</v>
      </c>
      <c r="C815" t="s">
        <v>375</v>
      </c>
      <c r="D815" t="s">
        <v>974</v>
      </c>
      <c r="E815" t="s">
        <v>399</v>
      </c>
      <c r="F815" s="1">
        <v>45628</v>
      </c>
      <c r="G815" s="1">
        <v>45658</v>
      </c>
      <c r="H815" t="s">
        <v>541</v>
      </c>
      <c r="I815">
        <v>24.2</v>
      </c>
      <c r="J815">
        <v>24.2</v>
      </c>
      <c r="K815">
        <v>0</v>
      </c>
      <c r="L815">
        <v>0</v>
      </c>
      <c r="M815">
        <v>0</v>
      </c>
      <c r="N815">
        <v>24.2</v>
      </c>
      <c r="O815" s="14">
        <f t="shared" ca="1" si="12"/>
        <v>512</v>
      </c>
      <c r="P815" t="s">
        <v>589</v>
      </c>
    </row>
    <row r="816" spans="1:16" ht="12.75" customHeight="1" x14ac:dyDescent="0.2">
      <c r="A816" t="s">
        <v>604</v>
      </c>
      <c r="B816" t="s">
        <v>651</v>
      </c>
      <c r="C816" t="s">
        <v>375</v>
      </c>
      <c r="D816" t="s">
        <v>974</v>
      </c>
      <c r="E816" t="s">
        <v>399</v>
      </c>
      <c r="F816" s="1">
        <v>45672</v>
      </c>
      <c r="G816" s="1">
        <v>45702</v>
      </c>
      <c r="H816" t="s">
        <v>351</v>
      </c>
      <c r="I816">
        <v>968</v>
      </c>
      <c r="J816">
        <v>968</v>
      </c>
      <c r="K816">
        <v>0</v>
      </c>
      <c r="L816">
        <v>0</v>
      </c>
      <c r="M816">
        <v>0</v>
      </c>
      <c r="N816">
        <v>968</v>
      </c>
      <c r="O816" s="14">
        <f t="shared" ca="1" si="12"/>
        <v>468</v>
      </c>
      <c r="P816" t="s">
        <v>589</v>
      </c>
    </row>
    <row r="817" spans="1:16" ht="12.75" customHeight="1" x14ac:dyDescent="0.2">
      <c r="A817" t="s">
        <v>604</v>
      </c>
      <c r="B817" t="s">
        <v>651</v>
      </c>
      <c r="C817" t="s">
        <v>375</v>
      </c>
      <c r="D817" t="s">
        <v>974</v>
      </c>
      <c r="E817" t="s">
        <v>399</v>
      </c>
      <c r="F817" s="1">
        <v>45672</v>
      </c>
      <c r="G817" s="1">
        <v>45702</v>
      </c>
      <c r="H817" t="s">
        <v>828</v>
      </c>
      <c r="I817">
        <v>121</v>
      </c>
      <c r="J817">
        <v>121</v>
      </c>
      <c r="K817">
        <v>0</v>
      </c>
      <c r="L817">
        <v>0</v>
      </c>
      <c r="M817">
        <v>0</v>
      </c>
      <c r="N817">
        <v>121</v>
      </c>
      <c r="O817" s="14">
        <f t="shared" ca="1" si="12"/>
        <v>468</v>
      </c>
      <c r="P817" t="s">
        <v>589</v>
      </c>
    </row>
    <row r="818" spans="1:16" ht="12.75" customHeight="1" x14ac:dyDescent="0.2">
      <c r="A818" t="s">
        <v>604</v>
      </c>
      <c r="B818" t="s">
        <v>651</v>
      </c>
      <c r="C818" t="s">
        <v>375</v>
      </c>
      <c r="D818" t="s">
        <v>974</v>
      </c>
      <c r="E818" t="s">
        <v>399</v>
      </c>
      <c r="F818" s="1">
        <v>45673</v>
      </c>
      <c r="G818" s="1">
        <v>45703</v>
      </c>
      <c r="H818" t="s">
        <v>1005</v>
      </c>
      <c r="I818">
        <v>24.2</v>
      </c>
      <c r="J818">
        <v>24.2</v>
      </c>
      <c r="K818">
        <v>0</v>
      </c>
      <c r="L818">
        <v>0</v>
      </c>
      <c r="M818">
        <v>0</v>
      </c>
      <c r="N818">
        <v>24.2</v>
      </c>
      <c r="O818" s="14">
        <f t="shared" ca="1" si="12"/>
        <v>467</v>
      </c>
      <c r="P818" t="s">
        <v>589</v>
      </c>
    </row>
    <row r="819" spans="1:16" ht="12.75" customHeight="1" x14ac:dyDescent="0.2">
      <c r="A819" t="s">
        <v>604</v>
      </c>
      <c r="B819" t="s">
        <v>651</v>
      </c>
      <c r="C819" t="s">
        <v>375</v>
      </c>
      <c r="D819" t="s">
        <v>974</v>
      </c>
      <c r="E819" t="s">
        <v>399</v>
      </c>
      <c r="F819" s="1">
        <v>45673</v>
      </c>
      <c r="G819" s="1">
        <v>45703</v>
      </c>
      <c r="H819" t="s">
        <v>1070</v>
      </c>
      <c r="I819">
        <v>36.909999999999997</v>
      </c>
      <c r="J819">
        <v>36.909999999999997</v>
      </c>
      <c r="K819">
        <v>0</v>
      </c>
      <c r="L819">
        <v>0</v>
      </c>
      <c r="M819">
        <v>0</v>
      </c>
      <c r="N819">
        <v>36.909999999999997</v>
      </c>
      <c r="O819" s="14">
        <f t="shared" ca="1" si="12"/>
        <v>467</v>
      </c>
      <c r="P819" t="s">
        <v>589</v>
      </c>
    </row>
    <row r="820" spans="1:16" ht="12.75" customHeight="1" x14ac:dyDescent="0.2">
      <c r="A820" t="s">
        <v>604</v>
      </c>
      <c r="B820" t="s">
        <v>651</v>
      </c>
      <c r="C820" t="s">
        <v>375</v>
      </c>
      <c r="D820" t="s">
        <v>974</v>
      </c>
      <c r="E820" t="s">
        <v>399</v>
      </c>
      <c r="F820" s="1">
        <v>45691</v>
      </c>
      <c r="G820" s="1">
        <v>45721</v>
      </c>
      <c r="H820" t="s">
        <v>581</v>
      </c>
      <c r="I820">
        <v>968</v>
      </c>
      <c r="J820">
        <v>968</v>
      </c>
      <c r="K820">
        <v>0</v>
      </c>
      <c r="L820">
        <v>0</v>
      </c>
      <c r="M820">
        <v>0</v>
      </c>
      <c r="N820">
        <v>968</v>
      </c>
      <c r="O820" s="14">
        <f t="shared" ca="1" si="12"/>
        <v>449</v>
      </c>
      <c r="P820" t="s">
        <v>589</v>
      </c>
    </row>
    <row r="821" spans="1:16" ht="12.75" customHeight="1" x14ac:dyDescent="0.2">
      <c r="A821" t="s">
        <v>604</v>
      </c>
      <c r="B821" t="s">
        <v>651</v>
      </c>
      <c r="C821" t="s">
        <v>375</v>
      </c>
      <c r="D821" t="s">
        <v>974</v>
      </c>
      <c r="E821" t="s">
        <v>399</v>
      </c>
      <c r="F821" s="1">
        <v>45691</v>
      </c>
      <c r="G821" s="1">
        <v>45721</v>
      </c>
      <c r="H821" t="s">
        <v>1233</v>
      </c>
      <c r="I821">
        <v>121</v>
      </c>
      <c r="J821">
        <v>121</v>
      </c>
      <c r="K821">
        <v>0</v>
      </c>
      <c r="L821">
        <v>0</v>
      </c>
      <c r="M821">
        <v>0</v>
      </c>
      <c r="N821">
        <v>121</v>
      </c>
      <c r="O821" s="14">
        <f t="shared" ca="1" si="12"/>
        <v>449</v>
      </c>
      <c r="P821" t="s">
        <v>589</v>
      </c>
    </row>
    <row r="822" spans="1:16" ht="12.75" customHeight="1" x14ac:dyDescent="0.2">
      <c r="A822" t="s">
        <v>604</v>
      </c>
      <c r="B822" t="s">
        <v>651</v>
      </c>
      <c r="C822" t="s">
        <v>375</v>
      </c>
      <c r="D822" t="s">
        <v>974</v>
      </c>
      <c r="E822" t="s">
        <v>399</v>
      </c>
      <c r="F822" s="1">
        <v>45691</v>
      </c>
      <c r="G822" s="1">
        <v>45721</v>
      </c>
      <c r="H822" t="s">
        <v>1039</v>
      </c>
      <c r="I822">
        <v>36.909999999999997</v>
      </c>
      <c r="J822">
        <v>36.909999999999997</v>
      </c>
      <c r="K822">
        <v>0</v>
      </c>
      <c r="L822">
        <v>0</v>
      </c>
      <c r="M822">
        <v>0</v>
      </c>
      <c r="N822">
        <v>36.909999999999997</v>
      </c>
      <c r="O822" s="14">
        <f t="shared" ca="1" si="12"/>
        <v>449</v>
      </c>
      <c r="P822" t="s">
        <v>589</v>
      </c>
    </row>
    <row r="823" spans="1:16" ht="12.75" customHeight="1" x14ac:dyDescent="0.2">
      <c r="A823" t="s">
        <v>604</v>
      </c>
      <c r="B823" t="s">
        <v>651</v>
      </c>
      <c r="C823" t="s">
        <v>375</v>
      </c>
      <c r="D823" t="s">
        <v>974</v>
      </c>
      <c r="E823" t="s">
        <v>399</v>
      </c>
      <c r="F823" s="1">
        <v>45726</v>
      </c>
      <c r="G823" s="1">
        <v>45756</v>
      </c>
      <c r="H823" t="s">
        <v>717</v>
      </c>
      <c r="I823">
        <v>1662.9</v>
      </c>
      <c r="J823">
        <v>1662.9</v>
      </c>
      <c r="K823">
        <v>0</v>
      </c>
      <c r="L823">
        <v>0</v>
      </c>
      <c r="M823">
        <v>0</v>
      </c>
      <c r="N823">
        <v>1662.9</v>
      </c>
      <c r="O823" s="14">
        <f t="shared" ca="1" si="12"/>
        <v>414</v>
      </c>
      <c r="P823" t="s">
        <v>589</v>
      </c>
    </row>
    <row r="824" spans="1:16" ht="12.75" customHeight="1" x14ac:dyDescent="0.2">
      <c r="A824" t="s">
        <v>604</v>
      </c>
      <c r="B824" t="s">
        <v>651</v>
      </c>
      <c r="C824" t="s">
        <v>375</v>
      </c>
      <c r="D824" t="s">
        <v>974</v>
      </c>
      <c r="E824" t="s">
        <v>399</v>
      </c>
      <c r="F824" s="1">
        <v>45810</v>
      </c>
      <c r="G824" s="1">
        <v>45840</v>
      </c>
      <c r="H824" t="s">
        <v>353</v>
      </c>
      <c r="I824">
        <v>968</v>
      </c>
      <c r="J824">
        <v>968</v>
      </c>
      <c r="K824">
        <v>0</v>
      </c>
      <c r="L824">
        <v>0</v>
      </c>
      <c r="M824">
        <v>0</v>
      </c>
      <c r="N824">
        <v>968</v>
      </c>
      <c r="O824" s="14">
        <f t="shared" ca="1" si="12"/>
        <v>330</v>
      </c>
      <c r="P824" t="s">
        <v>589</v>
      </c>
    </row>
    <row r="825" spans="1:16" ht="12.75" customHeight="1" x14ac:dyDescent="0.2">
      <c r="A825" t="s">
        <v>604</v>
      </c>
      <c r="B825" t="s">
        <v>651</v>
      </c>
      <c r="C825" t="s">
        <v>375</v>
      </c>
      <c r="D825" t="s">
        <v>974</v>
      </c>
      <c r="E825" t="s">
        <v>399</v>
      </c>
      <c r="F825" s="1">
        <v>45810</v>
      </c>
      <c r="G825" s="1">
        <v>45840</v>
      </c>
      <c r="H825" t="s">
        <v>980</v>
      </c>
      <c r="I825">
        <v>121</v>
      </c>
      <c r="J825">
        <v>121</v>
      </c>
      <c r="K825">
        <v>0</v>
      </c>
      <c r="L825">
        <v>0</v>
      </c>
      <c r="M825">
        <v>0</v>
      </c>
      <c r="N825">
        <v>121</v>
      </c>
      <c r="O825" s="14">
        <f t="shared" ca="1" si="12"/>
        <v>330</v>
      </c>
      <c r="P825" t="s">
        <v>589</v>
      </c>
    </row>
    <row r="826" spans="1:16" ht="12.75" customHeight="1" x14ac:dyDescent="0.2">
      <c r="A826" t="s">
        <v>604</v>
      </c>
      <c r="B826" t="s">
        <v>651</v>
      </c>
      <c r="C826" t="s">
        <v>375</v>
      </c>
      <c r="D826" t="s">
        <v>974</v>
      </c>
      <c r="E826" t="s">
        <v>399</v>
      </c>
      <c r="F826" s="1">
        <v>45810</v>
      </c>
      <c r="G826" s="1">
        <v>45840</v>
      </c>
      <c r="H826" t="s">
        <v>1147</v>
      </c>
      <c r="I826">
        <v>36.909999999999997</v>
      </c>
      <c r="J826">
        <v>36.909999999999997</v>
      </c>
      <c r="K826">
        <v>0</v>
      </c>
      <c r="L826">
        <v>0</v>
      </c>
      <c r="M826">
        <v>0</v>
      </c>
      <c r="N826">
        <v>36.909999999999997</v>
      </c>
      <c r="O826" s="14">
        <f t="shared" ca="1" si="12"/>
        <v>330</v>
      </c>
      <c r="P826" t="s">
        <v>589</v>
      </c>
    </row>
    <row r="827" spans="1:16" ht="12.75" customHeight="1" x14ac:dyDescent="0.2">
      <c r="A827" t="s">
        <v>604</v>
      </c>
      <c r="B827" t="s">
        <v>651</v>
      </c>
      <c r="C827" t="s">
        <v>375</v>
      </c>
      <c r="D827" t="s">
        <v>974</v>
      </c>
      <c r="E827" t="s">
        <v>399</v>
      </c>
      <c r="F827" s="1">
        <v>45839</v>
      </c>
      <c r="G827" s="1">
        <v>45869</v>
      </c>
      <c r="H827" t="s">
        <v>201</v>
      </c>
      <c r="I827">
        <v>968</v>
      </c>
      <c r="J827">
        <v>968</v>
      </c>
      <c r="K827">
        <v>0</v>
      </c>
      <c r="L827">
        <v>0</v>
      </c>
      <c r="M827">
        <v>0</v>
      </c>
      <c r="N827">
        <v>968</v>
      </c>
      <c r="O827" s="14">
        <f t="shared" ca="1" si="12"/>
        <v>301</v>
      </c>
      <c r="P827" t="s">
        <v>589</v>
      </c>
    </row>
    <row r="828" spans="1:16" ht="12.75" customHeight="1" x14ac:dyDescent="0.2">
      <c r="A828" t="s">
        <v>604</v>
      </c>
      <c r="B828" t="s">
        <v>651</v>
      </c>
      <c r="C828" t="s">
        <v>375</v>
      </c>
      <c r="D828" t="s">
        <v>974</v>
      </c>
      <c r="E828" t="s">
        <v>399</v>
      </c>
      <c r="F828" s="1">
        <v>45839</v>
      </c>
      <c r="G828" s="1">
        <v>45869</v>
      </c>
      <c r="H828" t="s">
        <v>1278</v>
      </c>
      <c r="I828">
        <v>121</v>
      </c>
      <c r="J828">
        <v>121</v>
      </c>
      <c r="K828">
        <v>0</v>
      </c>
      <c r="L828">
        <v>0</v>
      </c>
      <c r="M828">
        <v>0</v>
      </c>
      <c r="N828">
        <v>121</v>
      </c>
      <c r="O828" s="14">
        <f t="shared" ca="1" si="12"/>
        <v>301</v>
      </c>
      <c r="P828" t="s">
        <v>589</v>
      </c>
    </row>
    <row r="829" spans="1:16" ht="12.75" customHeight="1" x14ac:dyDescent="0.2">
      <c r="A829" t="s">
        <v>604</v>
      </c>
      <c r="B829" t="s">
        <v>651</v>
      </c>
      <c r="C829" t="s">
        <v>375</v>
      </c>
      <c r="D829" t="s">
        <v>974</v>
      </c>
      <c r="E829" t="s">
        <v>399</v>
      </c>
      <c r="F829" s="1">
        <v>45839</v>
      </c>
      <c r="G829" s="1">
        <v>45869</v>
      </c>
      <c r="H829" t="s">
        <v>383</v>
      </c>
      <c r="I829">
        <v>36.909999999999997</v>
      </c>
      <c r="J829">
        <v>36.909999999999997</v>
      </c>
      <c r="K829">
        <v>0</v>
      </c>
      <c r="L829">
        <v>0</v>
      </c>
      <c r="M829">
        <v>0</v>
      </c>
      <c r="N829">
        <v>36.909999999999997</v>
      </c>
      <c r="O829" s="14">
        <f t="shared" ca="1" si="12"/>
        <v>301</v>
      </c>
      <c r="P829" t="s">
        <v>589</v>
      </c>
    </row>
    <row r="830" spans="1:16" ht="12.75" customHeight="1" x14ac:dyDescent="0.2">
      <c r="A830" t="s">
        <v>604</v>
      </c>
      <c r="B830" t="s">
        <v>651</v>
      </c>
      <c r="C830" t="s">
        <v>375</v>
      </c>
      <c r="D830" t="s">
        <v>974</v>
      </c>
      <c r="E830" t="s">
        <v>399</v>
      </c>
      <c r="F830" s="1">
        <v>45873</v>
      </c>
      <c r="G830" s="1">
        <v>45903</v>
      </c>
      <c r="H830" t="s">
        <v>642</v>
      </c>
      <c r="I830">
        <v>968</v>
      </c>
      <c r="J830">
        <v>968</v>
      </c>
      <c r="K830">
        <v>0</v>
      </c>
      <c r="L830">
        <v>0</v>
      </c>
      <c r="M830">
        <v>0</v>
      </c>
      <c r="N830">
        <v>968</v>
      </c>
      <c r="O830" s="14">
        <f t="shared" ca="1" si="12"/>
        <v>267</v>
      </c>
      <c r="P830" t="s">
        <v>589</v>
      </c>
    </row>
    <row r="831" spans="1:16" ht="12.75" customHeight="1" x14ac:dyDescent="0.2">
      <c r="A831" t="s">
        <v>604</v>
      </c>
      <c r="B831" t="s">
        <v>651</v>
      </c>
      <c r="C831" t="s">
        <v>375</v>
      </c>
      <c r="D831" t="s">
        <v>974</v>
      </c>
      <c r="E831" t="s">
        <v>399</v>
      </c>
      <c r="F831" s="1">
        <v>45873</v>
      </c>
      <c r="G831" s="1">
        <v>45903</v>
      </c>
      <c r="H831" t="s">
        <v>1279</v>
      </c>
      <c r="I831">
        <v>121</v>
      </c>
      <c r="J831">
        <v>121</v>
      </c>
      <c r="K831">
        <v>0</v>
      </c>
      <c r="L831">
        <v>0</v>
      </c>
      <c r="M831">
        <v>0</v>
      </c>
      <c r="N831">
        <v>121</v>
      </c>
      <c r="O831" s="14">
        <f t="shared" ca="1" si="12"/>
        <v>267</v>
      </c>
      <c r="P831" t="s">
        <v>589</v>
      </c>
    </row>
    <row r="832" spans="1:16" ht="12.75" customHeight="1" x14ac:dyDescent="0.2">
      <c r="A832" t="s">
        <v>604</v>
      </c>
      <c r="B832" t="s">
        <v>651</v>
      </c>
      <c r="C832" t="s">
        <v>375</v>
      </c>
      <c r="D832" t="s">
        <v>974</v>
      </c>
      <c r="E832" t="s">
        <v>399</v>
      </c>
      <c r="F832" s="1">
        <v>45873</v>
      </c>
      <c r="G832" s="1">
        <v>45903</v>
      </c>
      <c r="H832" t="s">
        <v>628</v>
      </c>
      <c r="I832">
        <v>36.909999999999997</v>
      </c>
      <c r="J832">
        <v>36.909999999999997</v>
      </c>
      <c r="K832">
        <v>0</v>
      </c>
      <c r="L832">
        <v>0</v>
      </c>
      <c r="M832">
        <v>0</v>
      </c>
      <c r="N832">
        <v>36.909999999999997</v>
      </c>
      <c r="O832" s="14">
        <f t="shared" ca="1" si="12"/>
        <v>267</v>
      </c>
      <c r="P832" t="s">
        <v>589</v>
      </c>
    </row>
    <row r="833" spans="1:16" ht="12.75" customHeight="1" x14ac:dyDescent="0.2">
      <c r="A833" t="s">
        <v>604</v>
      </c>
      <c r="B833" t="s">
        <v>651</v>
      </c>
      <c r="C833" t="s">
        <v>375</v>
      </c>
      <c r="D833" t="s">
        <v>974</v>
      </c>
      <c r="E833" t="s">
        <v>399</v>
      </c>
      <c r="F833" s="1">
        <v>45901</v>
      </c>
      <c r="G833" s="1">
        <v>45931</v>
      </c>
      <c r="H833" t="s">
        <v>732</v>
      </c>
      <c r="I833">
        <v>968</v>
      </c>
      <c r="J833">
        <v>968</v>
      </c>
      <c r="K833">
        <v>0</v>
      </c>
      <c r="L833">
        <v>0</v>
      </c>
      <c r="M833">
        <v>0</v>
      </c>
      <c r="N833">
        <v>968</v>
      </c>
      <c r="O833" s="14">
        <f t="shared" ca="1" si="12"/>
        <v>239</v>
      </c>
      <c r="P833" t="s">
        <v>589</v>
      </c>
    </row>
    <row r="834" spans="1:16" ht="12.75" customHeight="1" x14ac:dyDescent="0.2">
      <c r="A834" t="s">
        <v>604</v>
      </c>
      <c r="B834" t="s">
        <v>651</v>
      </c>
      <c r="C834" t="s">
        <v>375</v>
      </c>
      <c r="D834" t="s">
        <v>974</v>
      </c>
      <c r="E834" t="s">
        <v>399</v>
      </c>
      <c r="F834" s="1">
        <v>45901</v>
      </c>
      <c r="G834" s="1">
        <v>45931</v>
      </c>
      <c r="H834" t="s">
        <v>270</v>
      </c>
      <c r="I834">
        <v>121</v>
      </c>
      <c r="J834">
        <v>121</v>
      </c>
      <c r="K834">
        <v>0</v>
      </c>
      <c r="L834">
        <v>0</v>
      </c>
      <c r="M834">
        <v>0</v>
      </c>
      <c r="N834">
        <v>121</v>
      </c>
      <c r="O834" s="14">
        <f t="shared" ca="1" si="12"/>
        <v>239</v>
      </c>
      <c r="P834" t="s">
        <v>589</v>
      </c>
    </row>
    <row r="835" spans="1:16" ht="12.75" customHeight="1" x14ac:dyDescent="0.2">
      <c r="A835" t="s">
        <v>604</v>
      </c>
      <c r="B835" t="s">
        <v>651</v>
      </c>
      <c r="C835" t="s">
        <v>375</v>
      </c>
      <c r="D835" t="s">
        <v>974</v>
      </c>
      <c r="E835" t="s">
        <v>399</v>
      </c>
      <c r="F835" s="1">
        <v>45901</v>
      </c>
      <c r="G835" s="1">
        <v>45931</v>
      </c>
      <c r="H835" t="s">
        <v>98</v>
      </c>
      <c r="I835">
        <v>36.909999999999997</v>
      </c>
      <c r="J835">
        <v>36.909999999999997</v>
      </c>
      <c r="K835">
        <v>0</v>
      </c>
      <c r="L835">
        <v>0</v>
      </c>
      <c r="M835">
        <v>0</v>
      </c>
      <c r="N835">
        <v>36.909999999999997</v>
      </c>
      <c r="O835" s="14">
        <f t="shared" ref="O835:O898" ca="1" si="13">TODAY()-G835</f>
        <v>239</v>
      </c>
      <c r="P835" t="s">
        <v>589</v>
      </c>
    </row>
    <row r="836" spans="1:16" ht="12.75" customHeight="1" x14ac:dyDescent="0.2">
      <c r="A836" t="s">
        <v>604</v>
      </c>
      <c r="B836" t="s">
        <v>651</v>
      </c>
      <c r="C836" t="s">
        <v>375</v>
      </c>
      <c r="D836" t="s">
        <v>974</v>
      </c>
      <c r="E836" t="s">
        <v>399</v>
      </c>
      <c r="F836" s="1">
        <v>45936</v>
      </c>
      <c r="G836" s="1">
        <v>45966</v>
      </c>
      <c r="H836" t="s">
        <v>716</v>
      </c>
      <c r="I836">
        <v>968</v>
      </c>
      <c r="J836">
        <v>968</v>
      </c>
      <c r="K836">
        <v>0</v>
      </c>
      <c r="L836">
        <v>0</v>
      </c>
      <c r="M836">
        <v>0</v>
      </c>
      <c r="N836">
        <v>968</v>
      </c>
      <c r="O836" s="14">
        <f t="shared" ca="1" si="13"/>
        <v>204</v>
      </c>
      <c r="P836" t="s">
        <v>589</v>
      </c>
    </row>
    <row r="837" spans="1:16" ht="12.75" customHeight="1" x14ac:dyDescent="0.2">
      <c r="A837" t="s">
        <v>604</v>
      </c>
      <c r="B837" t="s">
        <v>651</v>
      </c>
      <c r="C837" t="s">
        <v>375</v>
      </c>
      <c r="D837" t="s">
        <v>974</v>
      </c>
      <c r="E837" t="s">
        <v>399</v>
      </c>
      <c r="F837" s="1">
        <v>45936</v>
      </c>
      <c r="G837" s="1">
        <v>45966</v>
      </c>
      <c r="H837" t="s">
        <v>1166</v>
      </c>
      <c r="I837">
        <v>121</v>
      </c>
      <c r="J837">
        <v>121</v>
      </c>
      <c r="K837">
        <v>0</v>
      </c>
      <c r="L837">
        <v>0</v>
      </c>
      <c r="M837">
        <v>0</v>
      </c>
      <c r="N837">
        <v>121</v>
      </c>
      <c r="O837" s="14">
        <f t="shared" ca="1" si="13"/>
        <v>204</v>
      </c>
      <c r="P837" t="s">
        <v>589</v>
      </c>
    </row>
    <row r="838" spans="1:16" ht="12.75" customHeight="1" x14ac:dyDescent="0.2">
      <c r="A838" t="s">
        <v>604</v>
      </c>
      <c r="B838" t="s">
        <v>651</v>
      </c>
      <c r="C838" t="s">
        <v>375</v>
      </c>
      <c r="D838" t="s">
        <v>974</v>
      </c>
      <c r="E838" t="s">
        <v>399</v>
      </c>
      <c r="F838" s="1">
        <v>45936</v>
      </c>
      <c r="G838" s="1">
        <v>45966</v>
      </c>
      <c r="H838" t="s">
        <v>1282</v>
      </c>
      <c r="I838">
        <v>36.909999999999997</v>
      </c>
      <c r="J838">
        <v>36.909999999999997</v>
      </c>
      <c r="K838">
        <v>0</v>
      </c>
      <c r="L838">
        <v>0</v>
      </c>
      <c r="M838">
        <v>0</v>
      </c>
      <c r="N838">
        <v>36.909999999999997</v>
      </c>
      <c r="O838" s="14">
        <f t="shared" ca="1" si="13"/>
        <v>204</v>
      </c>
      <c r="P838" t="s">
        <v>589</v>
      </c>
    </row>
    <row r="839" spans="1:16" ht="12.75" customHeight="1" x14ac:dyDescent="0.2">
      <c r="A839" t="s">
        <v>604</v>
      </c>
      <c r="B839" t="s">
        <v>651</v>
      </c>
      <c r="C839" t="s">
        <v>375</v>
      </c>
      <c r="D839" t="s">
        <v>974</v>
      </c>
      <c r="E839" t="s">
        <v>399</v>
      </c>
      <c r="F839" s="1">
        <v>45966</v>
      </c>
      <c r="G839" s="1">
        <v>45996</v>
      </c>
      <c r="H839" t="s">
        <v>101</v>
      </c>
      <c r="I839">
        <v>968</v>
      </c>
      <c r="J839">
        <v>968</v>
      </c>
      <c r="K839">
        <v>0</v>
      </c>
      <c r="L839">
        <v>0</v>
      </c>
      <c r="M839">
        <v>0</v>
      </c>
      <c r="N839">
        <v>968</v>
      </c>
      <c r="O839" s="14">
        <f t="shared" ca="1" si="13"/>
        <v>174</v>
      </c>
      <c r="P839" t="s">
        <v>589</v>
      </c>
    </row>
    <row r="840" spans="1:16" ht="12.75" customHeight="1" x14ac:dyDescent="0.2">
      <c r="A840" t="s">
        <v>604</v>
      </c>
      <c r="B840" t="s">
        <v>651</v>
      </c>
      <c r="C840" t="s">
        <v>375</v>
      </c>
      <c r="D840" t="s">
        <v>974</v>
      </c>
      <c r="E840" t="s">
        <v>399</v>
      </c>
      <c r="F840" s="1">
        <v>45966</v>
      </c>
      <c r="G840" s="1">
        <v>45996</v>
      </c>
      <c r="H840" t="s">
        <v>891</v>
      </c>
      <c r="I840">
        <v>121</v>
      </c>
      <c r="J840">
        <v>121</v>
      </c>
      <c r="K840">
        <v>0</v>
      </c>
      <c r="L840">
        <v>0</v>
      </c>
      <c r="M840">
        <v>0</v>
      </c>
      <c r="N840">
        <v>121</v>
      </c>
      <c r="O840" s="14">
        <f t="shared" ca="1" si="13"/>
        <v>174</v>
      </c>
      <c r="P840" t="s">
        <v>589</v>
      </c>
    </row>
    <row r="841" spans="1:16" ht="12.75" customHeight="1" x14ac:dyDescent="0.2">
      <c r="A841" t="s">
        <v>604</v>
      </c>
      <c r="B841" t="s">
        <v>651</v>
      </c>
      <c r="C841" t="s">
        <v>375</v>
      </c>
      <c r="D841" t="s">
        <v>974</v>
      </c>
      <c r="E841" t="s">
        <v>399</v>
      </c>
      <c r="F841" s="1">
        <v>45966</v>
      </c>
      <c r="G841" s="1">
        <v>45996</v>
      </c>
      <c r="H841" t="s">
        <v>20</v>
      </c>
      <c r="I841">
        <v>36.909999999999997</v>
      </c>
      <c r="J841">
        <v>36.909999999999997</v>
      </c>
      <c r="K841">
        <v>0</v>
      </c>
      <c r="L841">
        <v>0</v>
      </c>
      <c r="M841">
        <v>0</v>
      </c>
      <c r="N841">
        <v>36.909999999999997</v>
      </c>
      <c r="O841" s="14">
        <f t="shared" ca="1" si="13"/>
        <v>174</v>
      </c>
      <c r="P841" t="s">
        <v>589</v>
      </c>
    </row>
    <row r="842" spans="1:16" ht="12.75" customHeight="1" x14ac:dyDescent="0.2">
      <c r="A842" t="s">
        <v>604</v>
      </c>
      <c r="B842" t="s">
        <v>651</v>
      </c>
      <c r="C842" t="s">
        <v>375</v>
      </c>
      <c r="D842" t="s">
        <v>974</v>
      </c>
      <c r="E842" t="s">
        <v>399</v>
      </c>
      <c r="F842" s="1">
        <v>45993</v>
      </c>
      <c r="G842" s="1">
        <v>46023</v>
      </c>
      <c r="H842" t="s">
        <v>1145</v>
      </c>
      <c r="I842">
        <v>121</v>
      </c>
      <c r="J842">
        <v>121</v>
      </c>
      <c r="K842">
        <v>0</v>
      </c>
      <c r="L842">
        <v>0</v>
      </c>
      <c r="M842">
        <v>0</v>
      </c>
      <c r="N842">
        <v>121</v>
      </c>
      <c r="O842" s="14">
        <f t="shared" ca="1" si="13"/>
        <v>147</v>
      </c>
      <c r="P842" t="s">
        <v>589</v>
      </c>
    </row>
    <row r="843" spans="1:16" ht="12.75" customHeight="1" x14ac:dyDescent="0.2">
      <c r="A843" t="s">
        <v>604</v>
      </c>
      <c r="B843" t="s">
        <v>651</v>
      </c>
      <c r="C843" t="s">
        <v>375</v>
      </c>
      <c r="D843" t="s">
        <v>974</v>
      </c>
      <c r="E843" t="s">
        <v>399</v>
      </c>
      <c r="F843" s="1">
        <v>45993</v>
      </c>
      <c r="G843" s="1">
        <v>46023</v>
      </c>
      <c r="H843" t="s">
        <v>1202</v>
      </c>
      <c r="I843">
        <v>968</v>
      </c>
      <c r="J843">
        <v>968</v>
      </c>
      <c r="K843">
        <v>0</v>
      </c>
      <c r="L843">
        <v>0</v>
      </c>
      <c r="M843">
        <v>0</v>
      </c>
      <c r="N843">
        <v>968</v>
      </c>
      <c r="O843" s="14">
        <f t="shared" ca="1" si="13"/>
        <v>147</v>
      </c>
      <c r="P843" t="s">
        <v>589</v>
      </c>
    </row>
    <row r="844" spans="1:16" ht="12.75" customHeight="1" x14ac:dyDescent="0.2">
      <c r="A844" t="s">
        <v>604</v>
      </c>
      <c r="B844" t="s">
        <v>651</v>
      </c>
      <c r="C844" t="s">
        <v>375</v>
      </c>
      <c r="D844" t="s">
        <v>974</v>
      </c>
      <c r="E844" t="s">
        <v>399</v>
      </c>
      <c r="F844" s="1">
        <v>45993</v>
      </c>
      <c r="G844" s="1">
        <v>46023</v>
      </c>
      <c r="H844" t="s">
        <v>271</v>
      </c>
      <c r="I844">
        <v>36.909999999999997</v>
      </c>
      <c r="J844">
        <v>36.909999999999997</v>
      </c>
      <c r="K844">
        <v>0</v>
      </c>
      <c r="L844">
        <v>0</v>
      </c>
      <c r="M844">
        <v>0</v>
      </c>
      <c r="N844">
        <v>36.909999999999997</v>
      </c>
      <c r="O844" s="14">
        <f t="shared" ca="1" si="13"/>
        <v>147</v>
      </c>
      <c r="P844" t="s">
        <v>589</v>
      </c>
    </row>
    <row r="845" spans="1:16" ht="12.75" customHeight="1" x14ac:dyDescent="0.2">
      <c r="A845" t="s">
        <v>604</v>
      </c>
      <c r="B845" t="s">
        <v>651</v>
      </c>
      <c r="C845" t="s">
        <v>375</v>
      </c>
      <c r="D845" t="s">
        <v>974</v>
      </c>
      <c r="E845" t="s">
        <v>399</v>
      </c>
      <c r="F845" s="1">
        <v>46030</v>
      </c>
      <c r="G845" s="1">
        <v>46060</v>
      </c>
      <c r="H845" t="s">
        <v>211</v>
      </c>
      <c r="I845">
        <v>121</v>
      </c>
      <c r="J845">
        <v>121</v>
      </c>
      <c r="K845">
        <v>0</v>
      </c>
      <c r="L845">
        <v>0</v>
      </c>
      <c r="M845">
        <v>0</v>
      </c>
      <c r="N845">
        <v>121</v>
      </c>
      <c r="O845" s="14">
        <f t="shared" ca="1" si="13"/>
        <v>110</v>
      </c>
      <c r="P845" t="s">
        <v>589</v>
      </c>
    </row>
    <row r="846" spans="1:16" ht="12.75" customHeight="1" x14ac:dyDescent="0.2">
      <c r="A846" t="s">
        <v>604</v>
      </c>
      <c r="B846" t="s">
        <v>651</v>
      </c>
      <c r="C846" t="s">
        <v>375</v>
      </c>
      <c r="D846" t="s">
        <v>974</v>
      </c>
      <c r="E846" t="s">
        <v>399</v>
      </c>
      <c r="F846" s="1">
        <v>46055</v>
      </c>
      <c r="G846" s="1">
        <v>46085</v>
      </c>
      <c r="H846" t="s">
        <v>1169</v>
      </c>
      <c r="I846">
        <v>121</v>
      </c>
      <c r="J846">
        <v>121</v>
      </c>
      <c r="K846">
        <v>0</v>
      </c>
      <c r="L846">
        <v>0</v>
      </c>
      <c r="M846">
        <v>121</v>
      </c>
      <c r="N846">
        <v>0</v>
      </c>
      <c r="O846" s="14">
        <f t="shared" ca="1" si="13"/>
        <v>85</v>
      </c>
      <c r="P846" t="s">
        <v>589</v>
      </c>
    </row>
    <row r="847" spans="1:16" ht="12.75" customHeight="1" x14ac:dyDescent="0.2">
      <c r="A847" t="s">
        <v>604</v>
      </c>
      <c r="B847" t="s">
        <v>651</v>
      </c>
      <c r="C847" t="s">
        <v>375</v>
      </c>
      <c r="D847" t="s">
        <v>974</v>
      </c>
      <c r="E847" t="s">
        <v>399</v>
      </c>
      <c r="F847" s="1">
        <v>46085</v>
      </c>
      <c r="G847" s="1">
        <v>46115</v>
      </c>
      <c r="H847" t="s">
        <v>750</v>
      </c>
      <c r="I847">
        <v>121</v>
      </c>
      <c r="J847">
        <v>121</v>
      </c>
      <c r="K847">
        <v>0</v>
      </c>
      <c r="L847">
        <v>121</v>
      </c>
      <c r="M847">
        <v>0</v>
      </c>
      <c r="N847">
        <v>0</v>
      </c>
      <c r="O847" s="14">
        <f t="shared" ca="1" si="13"/>
        <v>55</v>
      </c>
      <c r="P847" t="s">
        <v>589</v>
      </c>
    </row>
    <row r="848" spans="1:16" ht="12.75" customHeight="1" x14ac:dyDescent="0.2">
      <c r="A848" t="s">
        <v>604</v>
      </c>
      <c r="B848" t="s">
        <v>651</v>
      </c>
      <c r="C848" t="s">
        <v>375</v>
      </c>
      <c r="D848" t="s">
        <v>974</v>
      </c>
      <c r="E848" t="s">
        <v>399</v>
      </c>
      <c r="F848" s="1">
        <v>46091</v>
      </c>
      <c r="G848" s="1">
        <v>46121</v>
      </c>
      <c r="H848" t="s">
        <v>58</v>
      </c>
      <c r="I848">
        <v>-121</v>
      </c>
      <c r="J848">
        <v>-121</v>
      </c>
      <c r="K848">
        <v>0</v>
      </c>
      <c r="L848">
        <v>-121</v>
      </c>
      <c r="M848">
        <v>0</v>
      </c>
      <c r="N848">
        <v>0</v>
      </c>
      <c r="O848" s="14">
        <f t="shared" ca="1" si="13"/>
        <v>49</v>
      </c>
      <c r="P848" t="s">
        <v>589</v>
      </c>
    </row>
    <row r="849" spans="1:16" ht="12.75" customHeight="1" x14ac:dyDescent="0.2">
      <c r="A849" t="s">
        <v>604</v>
      </c>
      <c r="B849" t="s">
        <v>651</v>
      </c>
      <c r="C849" t="s">
        <v>375</v>
      </c>
      <c r="D849" t="s">
        <v>974</v>
      </c>
      <c r="E849" t="s">
        <v>399</v>
      </c>
      <c r="F849" s="1">
        <v>46091</v>
      </c>
      <c r="G849" s="1">
        <v>46121</v>
      </c>
      <c r="H849" t="s">
        <v>1186</v>
      </c>
      <c r="I849">
        <v>121</v>
      </c>
      <c r="J849">
        <v>121</v>
      </c>
      <c r="K849">
        <v>0</v>
      </c>
      <c r="L849">
        <v>121</v>
      </c>
      <c r="M849">
        <v>0</v>
      </c>
      <c r="N849">
        <v>0</v>
      </c>
      <c r="O849" s="14">
        <f t="shared" ca="1" si="13"/>
        <v>49</v>
      </c>
      <c r="P849" t="s">
        <v>589</v>
      </c>
    </row>
    <row r="850" spans="1:16" ht="12.75" customHeight="1" x14ac:dyDescent="0.2">
      <c r="A850" t="s">
        <v>604</v>
      </c>
      <c r="B850" t="s">
        <v>651</v>
      </c>
      <c r="C850" t="s">
        <v>375</v>
      </c>
      <c r="D850" t="s">
        <v>974</v>
      </c>
      <c r="E850" t="s">
        <v>399</v>
      </c>
      <c r="F850" s="1">
        <v>46104</v>
      </c>
      <c r="G850" s="1">
        <v>46134</v>
      </c>
      <c r="H850" t="s">
        <v>431</v>
      </c>
      <c r="I850">
        <v>1721.71</v>
      </c>
      <c r="J850">
        <v>1721.71</v>
      </c>
      <c r="K850">
        <v>0</v>
      </c>
      <c r="L850">
        <v>1721.71</v>
      </c>
      <c r="M850">
        <v>0</v>
      </c>
      <c r="N850">
        <v>0</v>
      </c>
      <c r="O850" s="14">
        <f t="shared" ca="1" si="13"/>
        <v>36</v>
      </c>
      <c r="P850" t="s">
        <v>589</v>
      </c>
    </row>
    <row r="851" spans="1:16" ht="12.75" customHeight="1" x14ac:dyDescent="0.2">
      <c r="A851" t="s">
        <v>604</v>
      </c>
      <c r="B851" t="s">
        <v>651</v>
      </c>
      <c r="C851" t="s">
        <v>375</v>
      </c>
      <c r="D851" t="s">
        <v>974</v>
      </c>
      <c r="E851" t="s">
        <v>399</v>
      </c>
      <c r="F851" s="1">
        <v>46118</v>
      </c>
      <c r="G851" s="1">
        <v>46148</v>
      </c>
      <c r="H851" t="s">
        <v>33</v>
      </c>
      <c r="I851">
        <v>121</v>
      </c>
      <c r="J851">
        <v>121</v>
      </c>
      <c r="K851">
        <v>121</v>
      </c>
      <c r="L851">
        <v>0</v>
      </c>
      <c r="M851">
        <v>0</v>
      </c>
      <c r="N851">
        <v>0</v>
      </c>
      <c r="O851" s="14">
        <f t="shared" ca="1" si="13"/>
        <v>22</v>
      </c>
      <c r="P851" t="s">
        <v>589</v>
      </c>
    </row>
    <row r="852" spans="1:16" ht="12.75" customHeight="1" x14ac:dyDescent="0.2">
      <c r="A852" t="s">
        <v>604</v>
      </c>
      <c r="B852" t="s">
        <v>651</v>
      </c>
      <c r="C852" t="s">
        <v>375</v>
      </c>
      <c r="D852" t="s">
        <v>974</v>
      </c>
      <c r="E852" t="s">
        <v>399</v>
      </c>
      <c r="F852" s="1">
        <v>46125</v>
      </c>
      <c r="G852" s="1">
        <v>46155</v>
      </c>
      <c r="H852" t="s">
        <v>888</v>
      </c>
      <c r="I852">
        <v>-121</v>
      </c>
      <c r="J852">
        <v>-121</v>
      </c>
      <c r="K852">
        <v>-121</v>
      </c>
      <c r="L852">
        <v>0</v>
      </c>
      <c r="M852">
        <v>0</v>
      </c>
      <c r="N852">
        <v>0</v>
      </c>
      <c r="O852" s="14">
        <f t="shared" ca="1" si="13"/>
        <v>15</v>
      </c>
      <c r="P852" t="s">
        <v>589</v>
      </c>
    </row>
    <row r="853" spans="1:16" ht="12.75" customHeight="1" x14ac:dyDescent="0.2">
      <c r="A853" t="s">
        <v>604</v>
      </c>
      <c r="B853" t="s">
        <v>651</v>
      </c>
      <c r="C853" t="s">
        <v>375</v>
      </c>
      <c r="D853" t="s">
        <v>974</v>
      </c>
      <c r="E853" t="s">
        <v>399</v>
      </c>
      <c r="F853" s="1">
        <v>46126</v>
      </c>
      <c r="G853" s="1">
        <v>46156</v>
      </c>
      <c r="H853" t="s">
        <v>505</v>
      </c>
      <c r="I853">
        <v>-121</v>
      </c>
      <c r="J853">
        <v>-121</v>
      </c>
      <c r="K853">
        <v>-121</v>
      </c>
      <c r="L853">
        <v>0</v>
      </c>
      <c r="M853">
        <v>0</v>
      </c>
      <c r="N853">
        <v>0</v>
      </c>
      <c r="O853" s="14">
        <f t="shared" ca="1" si="13"/>
        <v>14</v>
      </c>
      <c r="P853" t="s">
        <v>589</v>
      </c>
    </row>
    <row r="854" spans="1:16" ht="12.75" customHeight="1" x14ac:dyDescent="0.2">
      <c r="A854" t="s">
        <v>604</v>
      </c>
      <c r="B854" t="s">
        <v>651</v>
      </c>
      <c r="C854" t="s">
        <v>375</v>
      </c>
      <c r="D854" t="s">
        <v>974</v>
      </c>
      <c r="E854" t="s">
        <v>399</v>
      </c>
      <c r="F854" s="1">
        <v>46126</v>
      </c>
      <c r="G854" s="1">
        <v>46156</v>
      </c>
      <c r="H854" t="s">
        <v>504</v>
      </c>
      <c r="I854">
        <v>-121</v>
      </c>
      <c r="J854">
        <v>-121</v>
      </c>
      <c r="K854">
        <v>-121</v>
      </c>
      <c r="L854">
        <v>0</v>
      </c>
      <c r="M854">
        <v>0</v>
      </c>
      <c r="N854">
        <v>0</v>
      </c>
      <c r="O854" s="14">
        <f t="shared" ca="1" si="13"/>
        <v>14</v>
      </c>
      <c r="P854" t="s">
        <v>589</v>
      </c>
    </row>
    <row r="855" spans="1:16" ht="12.75" customHeight="1" x14ac:dyDescent="0.2">
      <c r="A855" t="s">
        <v>604</v>
      </c>
      <c r="B855" t="s">
        <v>651</v>
      </c>
      <c r="C855" t="s">
        <v>375</v>
      </c>
      <c r="D855" t="s">
        <v>974</v>
      </c>
      <c r="E855" t="s">
        <v>399</v>
      </c>
      <c r="F855" s="1">
        <v>46126</v>
      </c>
      <c r="G855" s="1">
        <v>46156</v>
      </c>
      <c r="H855" t="s">
        <v>83</v>
      </c>
      <c r="I855">
        <v>-121</v>
      </c>
      <c r="J855">
        <v>-121</v>
      </c>
      <c r="K855">
        <v>-121</v>
      </c>
      <c r="L855">
        <v>0</v>
      </c>
      <c r="M855">
        <v>0</v>
      </c>
      <c r="N855">
        <v>0</v>
      </c>
      <c r="O855" s="14">
        <f t="shared" ca="1" si="13"/>
        <v>14</v>
      </c>
      <c r="P855" t="s">
        <v>589</v>
      </c>
    </row>
    <row r="856" spans="1:16" ht="12.75" customHeight="1" x14ac:dyDescent="0.2">
      <c r="A856" t="s">
        <v>604</v>
      </c>
      <c r="B856" t="s">
        <v>651</v>
      </c>
      <c r="C856" t="s">
        <v>232</v>
      </c>
      <c r="D856" t="s">
        <v>745</v>
      </c>
      <c r="E856" t="s">
        <v>399</v>
      </c>
      <c r="F856" s="1">
        <v>44412</v>
      </c>
      <c r="G856" s="1">
        <v>44442</v>
      </c>
      <c r="H856" t="s">
        <v>1297</v>
      </c>
      <c r="I856">
        <v>24.2</v>
      </c>
      <c r="J856">
        <v>24.2</v>
      </c>
      <c r="K856">
        <v>0</v>
      </c>
      <c r="L856">
        <v>0</v>
      </c>
      <c r="M856">
        <v>0</v>
      </c>
      <c r="N856">
        <v>24.2</v>
      </c>
      <c r="O856" s="14">
        <f t="shared" ca="1" si="13"/>
        <v>1728</v>
      </c>
      <c r="P856" t="s">
        <v>1066</v>
      </c>
    </row>
    <row r="857" spans="1:16" ht="12.75" customHeight="1" x14ac:dyDescent="0.2">
      <c r="A857" t="s">
        <v>604</v>
      </c>
      <c r="B857" t="s">
        <v>651</v>
      </c>
      <c r="C857" t="s">
        <v>232</v>
      </c>
      <c r="D857" t="s">
        <v>745</v>
      </c>
      <c r="E857" t="s">
        <v>399</v>
      </c>
      <c r="F857" s="1">
        <v>44754</v>
      </c>
      <c r="G857" s="1">
        <v>44784</v>
      </c>
      <c r="H857" t="s">
        <v>597</v>
      </c>
      <c r="I857">
        <v>242</v>
      </c>
      <c r="J857">
        <v>242</v>
      </c>
      <c r="K857">
        <v>0</v>
      </c>
      <c r="L857">
        <v>0</v>
      </c>
      <c r="M857">
        <v>0</v>
      </c>
      <c r="N857">
        <v>242</v>
      </c>
      <c r="O857" s="14">
        <f t="shared" ca="1" si="13"/>
        <v>1386</v>
      </c>
      <c r="P857" t="s">
        <v>1066</v>
      </c>
    </row>
    <row r="858" spans="1:16" ht="12.75" customHeight="1" x14ac:dyDescent="0.2">
      <c r="A858" t="s">
        <v>604</v>
      </c>
      <c r="B858" t="s">
        <v>651</v>
      </c>
      <c r="C858" t="s">
        <v>232</v>
      </c>
      <c r="D858" t="s">
        <v>745</v>
      </c>
      <c r="E858" t="s">
        <v>399</v>
      </c>
      <c r="F858" s="1">
        <v>44851</v>
      </c>
      <c r="G858" s="1">
        <v>44881</v>
      </c>
      <c r="H858" t="s">
        <v>1216</v>
      </c>
      <c r="I858">
        <v>9981.65</v>
      </c>
      <c r="J858">
        <v>9981.65</v>
      </c>
      <c r="K858">
        <v>0</v>
      </c>
      <c r="L858">
        <v>0</v>
      </c>
      <c r="M858">
        <v>0</v>
      </c>
      <c r="N858">
        <v>9981.65</v>
      </c>
      <c r="O858" s="14">
        <f t="shared" ca="1" si="13"/>
        <v>1289</v>
      </c>
      <c r="P858" t="s">
        <v>1066</v>
      </c>
    </row>
    <row r="859" spans="1:16" ht="12.75" customHeight="1" x14ac:dyDescent="0.2">
      <c r="A859" t="s">
        <v>604</v>
      </c>
      <c r="B859" t="s">
        <v>651</v>
      </c>
      <c r="C859" t="s">
        <v>232</v>
      </c>
      <c r="D859" t="s">
        <v>745</v>
      </c>
      <c r="E859" t="s">
        <v>399</v>
      </c>
      <c r="F859" s="1">
        <v>44868</v>
      </c>
      <c r="G859" s="1">
        <v>44898</v>
      </c>
      <c r="H859" t="s">
        <v>704</v>
      </c>
      <c r="I859">
        <v>24.2</v>
      </c>
      <c r="J859">
        <v>24.2</v>
      </c>
      <c r="K859">
        <v>0</v>
      </c>
      <c r="L859">
        <v>0</v>
      </c>
      <c r="M859">
        <v>0</v>
      </c>
      <c r="N859">
        <v>24.2</v>
      </c>
      <c r="O859" s="14">
        <f t="shared" ca="1" si="13"/>
        <v>1272</v>
      </c>
      <c r="P859" t="s">
        <v>1066</v>
      </c>
    </row>
    <row r="860" spans="1:16" ht="12.75" customHeight="1" x14ac:dyDescent="0.2">
      <c r="A860" t="s">
        <v>604</v>
      </c>
      <c r="B860" t="s">
        <v>651</v>
      </c>
      <c r="C860" t="s">
        <v>232</v>
      </c>
      <c r="D860" t="s">
        <v>745</v>
      </c>
      <c r="E860" t="s">
        <v>399</v>
      </c>
      <c r="F860" s="1">
        <v>44972</v>
      </c>
      <c r="G860" s="1">
        <v>45002</v>
      </c>
      <c r="H860" t="s">
        <v>154</v>
      </c>
      <c r="I860">
        <v>314.60000000000002</v>
      </c>
      <c r="J860">
        <v>314.60000000000002</v>
      </c>
      <c r="K860">
        <v>0</v>
      </c>
      <c r="L860">
        <v>0</v>
      </c>
      <c r="M860">
        <v>0</v>
      </c>
      <c r="N860">
        <v>314.60000000000002</v>
      </c>
      <c r="O860" s="14">
        <f t="shared" ca="1" si="13"/>
        <v>1168</v>
      </c>
      <c r="P860" t="s">
        <v>1066</v>
      </c>
    </row>
    <row r="861" spans="1:16" ht="12.75" customHeight="1" x14ac:dyDescent="0.2">
      <c r="A861" t="s">
        <v>604</v>
      </c>
      <c r="B861" t="s">
        <v>651</v>
      </c>
      <c r="C861" t="s">
        <v>232</v>
      </c>
      <c r="D861" t="s">
        <v>745</v>
      </c>
      <c r="E861" t="s">
        <v>399</v>
      </c>
      <c r="F861" s="1">
        <v>45016</v>
      </c>
      <c r="G861" s="1">
        <v>45046</v>
      </c>
      <c r="H861" t="s">
        <v>933</v>
      </c>
      <c r="I861">
        <v>983.13</v>
      </c>
      <c r="J861">
        <v>983.13</v>
      </c>
      <c r="K861">
        <v>0</v>
      </c>
      <c r="L861">
        <v>0</v>
      </c>
      <c r="M861">
        <v>0</v>
      </c>
      <c r="N861">
        <v>983.13</v>
      </c>
      <c r="O861" s="14">
        <f t="shared" ca="1" si="13"/>
        <v>1124</v>
      </c>
      <c r="P861" t="s">
        <v>1066</v>
      </c>
    </row>
    <row r="862" spans="1:16" ht="12.75" customHeight="1" x14ac:dyDescent="0.2">
      <c r="A862" t="s">
        <v>604</v>
      </c>
      <c r="B862" t="s">
        <v>651</v>
      </c>
      <c r="C862" t="s">
        <v>232</v>
      </c>
      <c r="D862" t="s">
        <v>745</v>
      </c>
      <c r="E862" t="s">
        <v>399</v>
      </c>
      <c r="F862" s="1">
        <v>45048</v>
      </c>
      <c r="G862" s="1">
        <v>45078</v>
      </c>
      <c r="H862" t="s">
        <v>814</v>
      </c>
      <c r="I862">
        <v>242</v>
      </c>
      <c r="J862">
        <v>242</v>
      </c>
      <c r="K862">
        <v>0</v>
      </c>
      <c r="L862">
        <v>0</v>
      </c>
      <c r="M862">
        <v>0</v>
      </c>
      <c r="N862">
        <v>242</v>
      </c>
      <c r="O862" s="14">
        <f t="shared" ca="1" si="13"/>
        <v>1092</v>
      </c>
      <c r="P862" t="s">
        <v>1066</v>
      </c>
    </row>
    <row r="863" spans="1:16" ht="12.75" customHeight="1" x14ac:dyDescent="0.2">
      <c r="A863" t="s">
        <v>604</v>
      </c>
      <c r="B863" t="s">
        <v>651</v>
      </c>
      <c r="C863" t="s">
        <v>232</v>
      </c>
      <c r="D863" t="s">
        <v>745</v>
      </c>
      <c r="E863" t="s">
        <v>399</v>
      </c>
      <c r="F863" s="1">
        <v>45048</v>
      </c>
      <c r="G863" s="1">
        <v>45078</v>
      </c>
      <c r="H863" t="s">
        <v>48</v>
      </c>
      <c r="I863">
        <v>24.2</v>
      </c>
      <c r="J863">
        <v>24.2</v>
      </c>
      <c r="K863">
        <v>0</v>
      </c>
      <c r="L863">
        <v>0</v>
      </c>
      <c r="M863">
        <v>0</v>
      </c>
      <c r="N863">
        <v>24.2</v>
      </c>
      <c r="O863" s="14">
        <f t="shared" ca="1" si="13"/>
        <v>1092</v>
      </c>
      <c r="P863" t="s">
        <v>1066</v>
      </c>
    </row>
    <row r="864" spans="1:16" ht="12.75" customHeight="1" x14ac:dyDescent="0.2">
      <c r="A864" t="s">
        <v>604</v>
      </c>
      <c r="B864" t="s">
        <v>651</v>
      </c>
      <c r="C864" t="s">
        <v>232</v>
      </c>
      <c r="D864" t="s">
        <v>745</v>
      </c>
      <c r="E864" t="s">
        <v>399</v>
      </c>
      <c r="F864" s="1">
        <v>45082</v>
      </c>
      <c r="G864" s="1">
        <v>45112</v>
      </c>
      <c r="H864" t="s">
        <v>60</v>
      </c>
      <c r="I864">
        <v>242</v>
      </c>
      <c r="J864">
        <v>242</v>
      </c>
      <c r="K864">
        <v>0</v>
      </c>
      <c r="L864">
        <v>0</v>
      </c>
      <c r="M864">
        <v>0</v>
      </c>
      <c r="N864">
        <v>242</v>
      </c>
      <c r="O864" s="14">
        <f t="shared" ca="1" si="13"/>
        <v>1058</v>
      </c>
      <c r="P864" t="s">
        <v>1066</v>
      </c>
    </row>
    <row r="865" spans="1:16" ht="12.75" customHeight="1" x14ac:dyDescent="0.2">
      <c r="A865" t="s">
        <v>604</v>
      </c>
      <c r="B865" t="s">
        <v>651</v>
      </c>
      <c r="C865" t="s">
        <v>232</v>
      </c>
      <c r="D865" t="s">
        <v>745</v>
      </c>
      <c r="E865" t="s">
        <v>399</v>
      </c>
      <c r="F865" s="1">
        <v>45082</v>
      </c>
      <c r="G865" s="1">
        <v>45112</v>
      </c>
      <c r="H865" t="s">
        <v>558</v>
      </c>
      <c r="I865">
        <v>24.2</v>
      </c>
      <c r="J865">
        <v>24.2</v>
      </c>
      <c r="K865">
        <v>0</v>
      </c>
      <c r="L865">
        <v>0</v>
      </c>
      <c r="M865">
        <v>0</v>
      </c>
      <c r="N865">
        <v>24.2</v>
      </c>
      <c r="O865" s="14">
        <f t="shared" ca="1" si="13"/>
        <v>1058</v>
      </c>
      <c r="P865" t="s">
        <v>1066</v>
      </c>
    </row>
    <row r="866" spans="1:16" ht="12.75" customHeight="1" x14ac:dyDescent="0.2">
      <c r="A866" t="s">
        <v>604</v>
      </c>
      <c r="B866" t="s">
        <v>651</v>
      </c>
      <c r="C866" t="s">
        <v>232</v>
      </c>
      <c r="D866" t="s">
        <v>745</v>
      </c>
      <c r="E866" t="s">
        <v>399</v>
      </c>
      <c r="F866" s="1">
        <v>45110</v>
      </c>
      <c r="G866" s="1">
        <v>45140</v>
      </c>
      <c r="H866" t="s">
        <v>1149</v>
      </c>
      <c r="I866">
        <v>242</v>
      </c>
      <c r="J866">
        <v>242</v>
      </c>
      <c r="K866">
        <v>0</v>
      </c>
      <c r="L866">
        <v>0</v>
      </c>
      <c r="M866">
        <v>0</v>
      </c>
      <c r="N866">
        <v>242</v>
      </c>
      <c r="O866" s="14">
        <f t="shared" ca="1" si="13"/>
        <v>1030</v>
      </c>
      <c r="P866" t="s">
        <v>1066</v>
      </c>
    </row>
    <row r="867" spans="1:16" ht="12.75" customHeight="1" x14ac:dyDescent="0.2">
      <c r="A867" t="s">
        <v>604</v>
      </c>
      <c r="B867" t="s">
        <v>651</v>
      </c>
      <c r="C867" t="s">
        <v>232</v>
      </c>
      <c r="D867" t="s">
        <v>745</v>
      </c>
      <c r="E867" t="s">
        <v>399</v>
      </c>
      <c r="F867" s="1">
        <v>45110</v>
      </c>
      <c r="G867" s="1">
        <v>45140</v>
      </c>
      <c r="H867" t="s">
        <v>359</v>
      </c>
      <c r="I867">
        <v>24.2</v>
      </c>
      <c r="J867">
        <v>24.2</v>
      </c>
      <c r="K867">
        <v>0</v>
      </c>
      <c r="L867">
        <v>0</v>
      </c>
      <c r="M867">
        <v>0</v>
      </c>
      <c r="N867">
        <v>24.2</v>
      </c>
      <c r="O867" s="14">
        <f t="shared" ca="1" si="13"/>
        <v>1030</v>
      </c>
      <c r="P867" t="s">
        <v>1066</v>
      </c>
    </row>
    <row r="868" spans="1:16" ht="12.75" customHeight="1" x14ac:dyDescent="0.2">
      <c r="A868" t="s">
        <v>604</v>
      </c>
      <c r="B868" t="s">
        <v>651</v>
      </c>
      <c r="C868" t="s">
        <v>232</v>
      </c>
      <c r="D868" t="s">
        <v>745</v>
      </c>
      <c r="E868" t="s">
        <v>399</v>
      </c>
      <c r="F868" s="1">
        <v>45141</v>
      </c>
      <c r="G868" s="1">
        <v>45171</v>
      </c>
      <c r="H868" t="s">
        <v>178</v>
      </c>
      <c r="I868">
        <v>242</v>
      </c>
      <c r="J868">
        <v>242</v>
      </c>
      <c r="K868">
        <v>0</v>
      </c>
      <c r="L868">
        <v>0</v>
      </c>
      <c r="M868">
        <v>0</v>
      </c>
      <c r="N868">
        <v>242</v>
      </c>
      <c r="O868" s="14">
        <f t="shared" ca="1" si="13"/>
        <v>999</v>
      </c>
      <c r="P868" t="s">
        <v>1066</v>
      </c>
    </row>
    <row r="869" spans="1:16" ht="12.75" customHeight="1" x14ac:dyDescent="0.2">
      <c r="A869" t="s">
        <v>604</v>
      </c>
      <c r="B869" t="s">
        <v>651</v>
      </c>
      <c r="C869" t="s">
        <v>232</v>
      </c>
      <c r="D869" t="s">
        <v>745</v>
      </c>
      <c r="E869" t="s">
        <v>399</v>
      </c>
      <c r="F869" s="1">
        <v>45141</v>
      </c>
      <c r="G869" s="1">
        <v>45171</v>
      </c>
      <c r="H869" t="s">
        <v>109</v>
      </c>
      <c r="I869">
        <v>24.2</v>
      </c>
      <c r="J869">
        <v>24.2</v>
      </c>
      <c r="K869">
        <v>0</v>
      </c>
      <c r="L869">
        <v>0</v>
      </c>
      <c r="M869">
        <v>0</v>
      </c>
      <c r="N869">
        <v>24.2</v>
      </c>
      <c r="O869" s="14">
        <f t="shared" ca="1" si="13"/>
        <v>999</v>
      </c>
      <c r="P869" t="s">
        <v>1066</v>
      </c>
    </row>
    <row r="870" spans="1:16" ht="12.75" customHeight="1" x14ac:dyDescent="0.2">
      <c r="A870" t="s">
        <v>604</v>
      </c>
      <c r="B870" t="s">
        <v>651</v>
      </c>
      <c r="C870" t="s">
        <v>232</v>
      </c>
      <c r="D870" t="s">
        <v>745</v>
      </c>
      <c r="E870" t="s">
        <v>399</v>
      </c>
      <c r="F870" s="1">
        <v>45174</v>
      </c>
      <c r="G870" s="1">
        <v>45204</v>
      </c>
      <c r="H870" t="s">
        <v>132</v>
      </c>
      <c r="I870">
        <v>242</v>
      </c>
      <c r="J870">
        <v>242</v>
      </c>
      <c r="K870">
        <v>0</v>
      </c>
      <c r="L870">
        <v>0</v>
      </c>
      <c r="M870">
        <v>0</v>
      </c>
      <c r="N870">
        <v>242</v>
      </c>
      <c r="O870" s="14">
        <f t="shared" ca="1" si="13"/>
        <v>966</v>
      </c>
      <c r="P870" t="s">
        <v>1066</v>
      </c>
    </row>
    <row r="871" spans="1:16" ht="12.75" customHeight="1" x14ac:dyDescent="0.2">
      <c r="A871" t="s">
        <v>604</v>
      </c>
      <c r="B871" t="s">
        <v>651</v>
      </c>
      <c r="C871" t="s">
        <v>232</v>
      </c>
      <c r="D871" t="s">
        <v>745</v>
      </c>
      <c r="E871" t="s">
        <v>399</v>
      </c>
      <c r="F871" s="1">
        <v>45174</v>
      </c>
      <c r="G871" s="1">
        <v>45204</v>
      </c>
      <c r="H871" t="s">
        <v>928</v>
      </c>
      <c r="I871">
        <v>24.2</v>
      </c>
      <c r="J871">
        <v>24.2</v>
      </c>
      <c r="K871">
        <v>0</v>
      </c>
      <c r="L871">
        <v>0</v>
      </c>
      <c r="M871">
        <v>0</v>
      </c>
      <c r="N871">
        <v>24.2</v>
      </c>
      <c r="O871" s="14">
        <f t="shared" ca="1" si="13"/>
        <v>966</v>
      </c>
      <c r="P871" t="s">
        <v>1066</v>
      </c>
    </row>
    <row r="872" spans="1:16" ht="12.75" customHeight="1" x14ac:dyDescent="0.2">
      <c r="A872" t="s">
        <v>604</v>
      </c>
      <c r="B872" t="s">
        <v>651</v>
      </c>
      <c r="C872" t="s">
        <v>232</v>
      </c>
      <c r="D872" t="s">
        <v>745</v>
      </c>
      <c r="E872" t="s">
        <v>399</v>
      </c>
      <c r="F872" s="1">
        <v>45202</v>
      </c>
      <c r="G872" s="1">
        <v>45232</v>
      </c>
      <c r="H872" t="s">
        <v>1240</v>
      </c>
      <c r="I872">
        <v>242</v>
      </c>
      <c r="J872">
        <v>242</v>
      </c>
      <c r="K872">
        <v>0</v>
      </c>
      <c r="L872">
        <v>0</v>
      </c>
      <c r="M872">
        <v>0</v>
      </c>
      <c r="N872">
        <v>242</v>
      </c>
      <c r="O872" s="14">
        <f t="shared" ca="1" si="13"/>
        <v>938</v>
      </c>
      <c r="P872" t="s">
        <v>1066</v>
      </c>
    </row>
    <row r="873" spans="1:16" ht="12.75" customHeight="1" x14ac:dyDescent="0.2">
      <c r="A873" t="s">
        <v>604</v>
      </c>
      <c r="B873" t="s">
        <v>651</v>
      </c>
      <c r="C873" t="s">
        <v>232</v>
      </c>
      <c r="D873" t="s">
        <v>745</v>
      </c>
      <c r="E873" t="s">
        <v>399</v>
      </c>
      <c r="F873" s="1">
        <v>45202</v>
      </c>
      <c r="G873" s="1">
        <v>45232</v>
      </c>
      <c r="H873" t="s">
        <v>1231</v>
      </c>
      <c r="I873">
        <v>24.2</v>
      </c>
      <c r="J873">
        <v>24.2</v>
      </c>
      <c r="K873">
        <v>0</v>
      </c>
      <c r="L873">
        <v>0</v>
      </c>
      <c r="M873">
        <v>0</v>
      </c>
      <c r="N873">
        <v>24.2</v>
      </c>
      <c r="O873" s="14">
        <f t="shared" ca="1" si="13"/>
        <v>938</v>
      </c>
      <c r="P873" t="s">
        <v>1066</v>
      </c>
    </row>
    <row r="874" spans="1:16" ht="12.75" customHeight="1" x14ac:dyDescent="0.2">
      <c r="A874" t="s">
        <v>604</v>
      </c>
      <c r="B874" t="s">
        <v>651</v>
      </c>
      <c r="C874" t="s">
        <v>232</v>
      </c>
      <c r="D874" t="s">
        <v>745</v>
      </c>
      <c r="E874" t="s">
        <v>399</v>
      </c>
      <c r="F874" s="1">
        <v>45237</v>
      </c>
      <c r="G874" s="1">
        <v>45267</v>
      </c>
      <c r="H874" t="s">
        <v>339</v>
      </c>
      <c r="I874">
        <v>242</v>
      </c>
      <c r="J874">
        <v>242</v>
      </c>
      <c r="K874">
        <v>0</v>
      </c>
      <c r="L874">
        <v>0</v>
      </c>
      <c r="M874">
        <v>0</v>
      </c>
      <c r="N874">
        <v>242</v>
      </c>
      <c r="O874" s="14">
        <f t="shared" ca="1" si="13"/>
        <v>903</v>
      </c>
      <c r="P874" t="s">
        <v>1066</v>
      </c>
    </row>
    <row r="875" spans="1:16" ht="12.75" customHeight="1" x14ac:dyDescent="0.2">
      <c r="A875" t="s">
        <v>604</v>
      </c>
      <c r="B875" t="s">
        <v>651</v>
      </c>
      <c r="C875" t="s">
        <v>232</v>
      </c>
      <c r="D875" t="s">
        <v>745</v>
      </c>
      <c r="E875" t="s">
        <v>399</v>
      </c>
      <c r="F875" s="1">
        <v>45237</v>
      </c>
      <c r="G875" s="1">
        <v>45267</v>
      </c>
      <c r="H875" t="s">
        <v>223</v>
      </c>
      <c r="I875">
        <v>24.2</v>
      </c>
      <c r="J875">
        <v>24.2</v>
      </c>
      <c r="K875">
        <v>0</v>
      </c>
      <c r="L875">
        <v>0</v>
      </c>
      <c r="M875">
        <v>0</v>
      </c>
      <c r="N875">
        <v>24.2</v>
      </c>
      <c r="O875" s="14">
        <f t="shared" ca="1" si="13"/>
        <v>903</v>
      </c>
      <c r="P875" t="s">
        <v>1066</v>
      </c>
    </row>
    <row r="876" spans="1:16" ht="12.75" customHeight="1" x14ac:dyDescent="0.2">
      <c r="A876" t="s">
        <v>604</v>
      </c>
      <c r="B876" t="s">
        <v>651</v>
      </c>
      <c r="C876" t="s">
        <v>232</v>
      </c>
      <c r="D876" t="s">
        <v>745</v>
      </c>
      <c r="E876" t="s">
        <v>399</v>
      </c>
      <c r="F876" s="1">
        <v>45265</v>
      </c>
      <c r="G876" s="1">
        <v>45295</v>
      </c>
      <c r="H876" t="s">
        <v>890</v>
      </c>
      <c r="I876">
        <v>242</v>
      </c>
      <c r="J876">
        <v>242</v>
      </c>
      <c r="K876">
        <v>0</v>
      </c>
      <c r="L876">
        <v>0</v>
      </c>
      <c r="M876">
        <v>0</v>
      </c>
      <c r="N876">
        <v>242</v>
      </c>
      <c r="O876" s="14">
        <f t="shared" ca="1" si="13"/>
        <v>875</v>
      </c>
      <c r="P876" t="s">
        <v>1066</v>
      </c>
    </row>
    <row r="877" spans="1:16" ht="12.75" customHeight="1" x14ac:dyDescent="0.2">
      <c r="A877" t="s">
        <v>604</v>
      </c>
      <c r="B877" t="s">
        <v>651</v>
      </c>
      <c r="C877" t="s">
        <v>232</v>
      </c>
      <c r="D877" t="s">
        <v>745</v>
      </c>
      <c r="E877" t="s">
        <v>399</v>
      </c>
      <c r="F877" s="1">
        <v>45265</v>
      </c>
      <c r="G877" s="1">
        <v>45295</v>
      </c>
      <c r="H877" t="s">
        <v>659</v>
      </c>
      <c r="I877">
        <v>24.2</v>
      </c>
      <c r="J877">
        <v>24.2</v>
      </c>
      <c r="K877">
        <v>0</v>
      </c>
      <c r="L877">
        <v>0</v>
      </c>
      <c r="M877">
        <v>0</v>
      </c>
      <c r="N877">
        <v>24.2</v>
      </c>
      <c r="O877" s="14">
        <f t="shared" ca="1" si="13"/>
        <v>875</v>
      </c>
      <c r="P877" t="s">
        <v>1066</v>
      </c>
    </row>
    <row r="878" spans="1:16" ht="12.75" customHeight="1" x14ac:dyDescent="0.2">
      <c r="A878" t="s">
        <v>604</v>
      </c>
      <c r="B878" t="s">
        <v>651</v>
      </c>
      <c r="C878" t="s">
        <v>232</v>
      </c>
      <c r="D878" t="s">
        <v>745</v>
      </c>
      <c r="E878" t="s">
        <v>399</v>
      </c>
      <c r="F878" s="1">
        <v>45295</v>
      </c>
      <c r="G878" s="1">
        <v>45325</v>
      </c>
      <c r="H878" t="s">
        <v>106</v>
      </c>
      <c r="I878">
        <v>242</v>
      </c>
      <c r="J878">
        <v>242</v>
      </c>
      <c r="K878">
        <v>0</v>
      </c>
      <c r="L878">
        <v>0</v>
      </c>
      <c r="M878">
        <v>0</v>
      </c>
      <c r="N878">
        <v>242</v>
      </c>
      <c r="O878" s="14">
        <f t="shared" ca="1" si="13"/>
        <v>845</v>
      </c>
      <c r="P878" t="s">
        <v>589</v>
      </c>
    </row>
    <row r="879" spans="1:16" ht="12.75" customHeight="1" x14ac:dyDescent="0.2">
      <c r="A879" t="s">
        <v>604</v>
      </c>
      <c r="B879" t="s">
        <v>651</v>
      </c>
      <c r="C879" t="s">
        <v>232</v>
      </c>
      <c r="D879" t="s">
        <v>745</v>
      </c>
      <c r="E879" t="s">
        <v>399</v>
      </c>
      <c r="F879" s="1">
        <v>45295</v>
      </c>
      <c r="G879" s="1">
        <v>45325</v>
      </c>
      <c r="H879" t="s">
        <v>1048</v>
      </c>
      <c r="I879">
        <v>24.2</v>
      </c>
      <c r="J879">
        <v>24.2</v>
      </c>
      <c r="K879">
        <v>0</v>
      </c>
      <c r="L879">
        <v>0</v>
      </c>
      <c r="M879">
        <v>0</v>
      </c>
      <c r="N879">
        <v>24.2</v>
      </c>
      <c r="O879" s="14">
        <f t="shared" ca="1" si="13"/>
        <v>845</v>
      </c>
      <c r="P879" t="s">
        <v>589</v>
      </c>
    </row>
    <row r="880" spans="1:16" ht="12.75" customHeight="1" x14ac:dyDescent="0.2">
      <c r="A880" t="s">
        <v>604</v>
      </c>
      <c r="B880" t="s">
        <v>651</v>
      </c>
      <c r="C880" t="s">
        <v>232</v>
      </c>
      <c r="D880" t="s">
        <v>745</v>
      </c>
      <c r="E880" t="s">
        <v>399</v>
      </c>
      <c r="F880" s="1">
        <v>45327</v>
      </c>
      <c r="G880" s="1">
        <v>45357</v>
      </c>
      <c r="H880" t="s">
        <v>473</v>
      </c>
      <c r="I880">
        <v>24.2</v>
      </c>
      <c r="J880">
        <v>24.2</v>
      </c>
      <c r="K880">
        <v>0</v>
      </c>
      <c r="L880">
        <v>0</v>
      </c>
      <c r="M880">
        <v>0</v>
      </c>
      <c r="N880">
        <v>24.2</v>
      </c>
      <c r="O880" s="14">
        <f t="shared" ca="1" si="13"/>
        <v>813</v>
      </c>
      <c r="P880" t="s">
        <v>589</v>
      </c>
    </row>
    <row r="881" spans="1:16" ht="12.75" customHeight="1" x14ac:dyDescent="0.2">
      <c r="A881" t="s">
        <v>604</v>
      </c>
      <c r="B881" t="s">
        <v>651</v>
      </c>
      <c r="C881" t="s">
        <v>232</v>
      </c>
      <c r="D881" t="s">
        <v>745</v>
      </c>
      <c r="E881" t="s">
        <v>399</v>
      </c>
      <c r="F881" s="1">
        <v>45327</v>
      </c>
      <c r="G881" s="1">
        <v>45357</v>
      </c>
      <c r="H881" t="s">
        <v>650</v>
      </c>
      <c r="I881">
        <v>242</v>
      </c>
      <c r="J881">
        <v>242</v>
      </c>
      <c r="K881">
        <v>0</v>
      </c>
      <c r="L881">
        <v>0</v>
      </c>
      <c r="M881">
        <v>0</v>
      </c>
      <c r="N881">
        <v>242</v>
      </c>
      <c r="O881" s="14">
        <f t="shared" ca="1" si="13"/>
        <v>813</v>
      </c>
      <c r="P881" t="s">
        <v>589</v>
      </c>
    </row>
    <row r="882" spans="1:16" ht="12.75" customHeight="1" x14ac:dyDescent="0.2">
      <c r="A882" t="s">
        <v>604</v>
      </c>
      <c r="B882" t="s">
        <v>651</v>
      </c>
      <c r="C882" t="s">
        <v>232</v>
      </c>
      <c r="D882" t="s">
        <v>745</v>
      </c>
      <c r="E882" t="s">
        <v>399</v>
      </c>
      <c r="F882" s="1">
        <v>45355</v>
      </c>
      <c r="G882" s="1">
        <v>45385</v>
      </c>
      <c r="H882" t="s">
        <v>667</v>
      </c>
      <c r="I882">
        <v>605</v>
      </c>
      <c r="J882">
        <v>605</v>
      </c>
      <c r="K882">
        <v>0</v>
      </c>
      <c r="L882">
        <v>0</v>
      </c>
      <c r="M882">
        <v>0</v>
      </c>
      <c r="N882">
        <v>605</v>
      </c>
      <c r="O882" s="14">
        <f t="shared" ca="1" si="13"/>
        <v>785</v>
      </c>
      <c r="P882" t="s">
        <v>589</v>
      </c>
    </row>
    <row r="883" spans="1:16" ht="12.75" customHeight="1" x14ac:dyDescent="0.2">
      <c r="A883" t="s">
        <v>604</v>
      </c>
      <c r="B883" t="s">
        <v>651</v>
      </c>
      <c r="C883" t="s">
        <v>232</v>
      </c>
      <c r="D883" t="s">
        <v>745</v>
      </c>
      <c r="E883" t="s">
        <v>399</v>
      </c>
      <c r="F883" s="1">
        <v>45357</v>
      </c>
      <c r="G883" s="1">
        <v>45387</v>
      </c>
      <c r="H883" t="s">
        <v>224</v>
      </c>
      <c r="I883">
        <v>242</v>
      </c>
      <c r="J883">
        <v>242</v>
      </c>
      <c r="K883">
        <v>0</v>
      </c>
      <c r="L883">
        <v>0</v>
      </c>
      <c r="M883">
        <v>0</v>
      </c>
      <c r="N883">
        <v>242</v>
      </c>
      <c r="O883" s="14">
        <f t="shared" ca="1" si="13"/>
        <v>783</v>
      </c>
      <c r="P883" t="s">
        <v>589</v>
      </c>
    </row>
    <row r="884" spans="1:16" ht="12.75" customHeight="1" x14ac:dyDescent="0.2">
      <c r="A884" t="s">
        <v>604</v>
      </c>
      <c r="B884" t="s">
        <v>651</v>
      </c>
      <c r="C884" t="s">
        <v>232</v>
      </c>
      <c r="D884" t="s">
        <v>745</v>
      </c>
      <c r="E884" t="s">
        <v>399</v>
      </c>
      <c r="F884" s="1">
        <v>45357</v>
      </c>
      <c r="G884" s="1">
        <v>45387</v>
      </c>
      <c r="H884" t="s">
        <v>956</v>
      </c>
      <c r="I884">
        <v>24.2</v>
      </c>
      <c r="J884">
        <v>24.2</v>
      </c>
      <c r="K884">
        <v>0</v>
      </c>
      <c r="L884">
        <v>0</v>
      </c>
      <c r="M884">
        <v>0</v>
      </c>
      <c r="N884">
        <v>24.2</v>
      </c>
      <c r="O884" s="14">
        <f t="shared" ca="1" si="13"/>
        <v>783</v>
      </c>
      <c r="P884" t="s">
        <v>589</v>
      </c>
    </row>
    <row r="885" spans="1:16" ht="12.75" customHeight="1" x14ac:dyDescent="0.2">
      <c r="A885" t="s">
        <v>604</v>
      </c>
      <c r="B885" t="s">
        <v>651</v>
      </c>
      <c r="C885" t="s">
        <v>232</v>
      </c>
      <c r="D885" t="s">
        <v>745</v>
      </c>
      <c r="E885" t="s">
        <v>399</v>
      </c>
      <c r="F885" s="1">
        <v>45386</v>
      </c>
      <c r="G885" s="1">
        <v>45416</v>
      </c>
      <c r="H885" t="s">
        <v>286</v>
      </c>
      <c r="I885">
        <v>242</v>
      </c>
      <c r="J885">
        <v>242</v>
      </c>
      <c r="K885">
        <v>0</v>
      </c>
      <c r="L885">
        <v>0</v>
      </c>
      <c r="M885">
        <v>0</v>
      </c>
      <c r="N885">
        <v>242</v>
      </c>
      <c r="O885" s="14">
        <f t="shared" ca="1" si="13"/>
        <v>754</v>
      </c>
      <c r="P885" t="s">
        <v>589</v>
      </c>
    </row>
    <row r="886" spans="1:16" ht="12.75" customHeight="1" x14ac:dyDescent="0.2">
      <c r="A886" t="s">
        <v>604</v>
      </c>
      <c r="B886" t="s">
        <v>651</v>
      </c>
      <c r="C886" t="s">
        <v>232</v>
      </c>
      <c r="D886" t="s">
        <v>745</v>
      </c>
      <c r="E886" t="s">
        <v>399</v>
      </c>
      <c r="F886" s="1">
        <v>45386</v>
      </c>
      <c r="G886" s="1">
        <v>45416</v>
      </c>
      <c r="H886" t="s">
        <v>976</v>
      </c>
      <c r="I886">
        <v>24.2</v>
      </c>
      <c r="J886">
        <v>24.2</v>
      </c>
      <c r="K886">
        <v>0</v>
      </c>
      <c r="L886">
        <v>0</v>
      </c>
      <c r="M886">
        <v>0</v>
      </c>
      <c r="N886">
        <v>24.2</v>
      </c>
      <c r="O886" s="14">
        <f t="shared" ca="1" si="13"/>
        <v>754</v>
      </c>
      <c r="P886" t="s">
        <v>589</v>
      </c>
    </row>
    <row r="887" spans="1:16" ht="12.75" customHeight="1" x14ac:dyDescent="0.2">
      <c r="A887" t="s">
        <v>604</v>
      </c>
      <c r="B887" t="s">
        <v>651</v>
      </c>
      <c r="C887" t="s">
        <v>232</v>
      </c>
      <c r="D887" t="s">
        <v>745</v>
      </c>
      <c r="E887" t="s">
        <v>399</v>
      </c>
      <c r="F887" s="1">
        <v>45418</v>
      </c>
      <c r="G887" s="1">
        <v>45448</v>
      </c>
      <c r="H887" t="s">
        <v>1217</v>
      </c>
      <c r="I887">
        <v>242</v>
      </c>
      <c r="J887">
        <v>242</v>
      </c>
      <c r="K887">
        <v>0</v>
      </c>
      <c r="L887">
        <v>0</v>
      </c>
      <c r="M887">
        <v>0</v>
      </c>
      <c r="N887">
        <v>242</v>
      </c>
      <c r="O887" s="14">
        <f t="shared" ca="1" si="13"/>
        <v>722</v>
      </c>
      <c r="P887" t="s">
        <v>589</v>
      </c>
    </row>
    <row r="888" spans="1:16" ht="12.75" customHeight="1" x14ac:dyDescent="0.2">
      <c r="A888" t="s">
        <v>604</v>
      </c>
      <c r="B888" t="s">
        <v>651</v>
      </c>
      <c r="C888" t="s">
        <v>232</v>
      </c>
      <c r="D888" t="s">
        <v>745</v>
      </c>
      <c r="E888" t="s">
        <v>399</v>
      </c>
      <c r="F888" s="1">
        <v>45418</v>
      </c>
      <c r="G888" s="1">
        <v>45448</v>
      </c>
      <c r="H888" t="s">
        <v>272</v>
      </c>
      <c r="I888">
        <v>24.2</v>
      </c>
      <c r="J888">
        <v>24.2</v>
      </c>
      <c r="K888">
        <v>0</v>
      </c>
      <c r="L888">
        <v>0</v>
      </c>
      <c r="M888">
        <v>0</v>
      </c>
      <c r="N888">
        <v>24.2</v>
      </c>
      <c r="O888" s="14">
        <f t="shared" ca="1" si="13"/>
        <v>722</v>
      </c>
      <c r="P888" t="s">
        <v>589</v>
      </c>
    </row>
    <row r="889" spans="1:16" ht="12.75" customHeight="1" x14ac:dyDescent="0.2">
      <c r="A889" t="s">
        <v>604</v>
      </c>
      <c r="B889" t="s">
        <v>651</v>
      </c>
      <c r="C889" t="s">
        <v>232</v>
      </c>
      <c r="D889" t="s">
        <v>745</v>
      </c>
      <c r="E889" t="s">
        <v>399</v>
      </c>
      <c r="F889" s="1">
        <v>45446</v>
      </c>
      <c r="G889" s="1">
        <v>45476</v>
      </c>
      <c r="H889" t="s">
        <v>931</v>
      </c>
      <c r="I889">
        <v>242</v>
      </c>
      <c r="J889">
        <v>242</v>
      </c>
      <c r="K889">
        <v>0</v>
      </c>
      <c r="L889">
        <v>0</v>
      </c>
      <c r="M889">
        <v>0</v>
      </c>
      <c r="N889">
        <v>242</v>
      </c>
      <c r="O889" s="14">
        <f t="shared" ca="1" si="13"/>
        <v>694</v>
      </c>
      <c r="P889" t="s">
        <v>589</v>
      </c>
    </row>
    <row r="890" spans="1:16" ht="12.75" customHeight="1" x14ac:dyDescent="0.2">
      <c r="A890" t="s">
        <v>604</v>
      </c>
      <c r="B890" t="s">
        <v>651</v>
      </c>
      <c r="C890" t="s">
        <v>232</v>
      </c>
      <c r="D890" t="s">
        <v>745</v>
      </c>
      <c r="E890" t="s">
        <v>399</v>
      </c>
      <c r="F890" s="1">
        <v>45446</v>
      </c>
      <c r="G890" s="1">
        <v>45476</v>
      </c>
      <c r="H890" t="s">
        <v>1020</v>
      </c>
      <c r="I890">
        <v>24.2</v>
      </c>
      <c r="J890">
        <v>24.2</v>
      </c>
      <c r="K890">
        <v>0</v>
      </c>
      <c r="L890">
        <v>0</v>
      </c>
      <c r="M890">
        <v>0</v>
      </c>
      <c r="N890">
        <v>24.2</v>
      </c>
      <c r="O890" s="14">
        <f t="shared" ca="1" si="13"/>
        <v>694</v>
      </c>
      <c r="P890" t="s">
        <v>589</v>
      </c>
    </row>
    <row r="891" spans="1:16" ht="12.75" customHeight="1" x14ac:dyDescent="0.2">
      <c r="A891" t="s">
        <v>604</v>
      </c>
      <c r="B891" t="s">
        <v>651</v>
      </c>
      <c r="C891" t="s">
        <v>232</v>
      </c>
      <c r="D891" t="s">
        <v>745</v>
      </c>
      <c r="E891" t="s">
        <v>399</v>
      </c>
      <c r="F891" s="1">
        <v>45456</v>
      </c>
      <c r="G891" s="1">
        <v>45486</v>
      </c>
      <c r="H891" t="s">
        <v>1054</v>
      </c>
      <c r="I891">
        <v>302.5</v>
      </c>
      <c r="J891">
        <v>302.5</v>
      </c>
      <c r="K891">
        <v>0</v>
      </c>
      <c r="L891">
        <v>0</v>
      </c>
      <c r="M891">
        <v>0</v>
      </c>
      <c r="N891">
        <v>302.5</v>
      </c>
      <c r="O891" s="14">
        <f t="shared" ca="1" si="13"/>
        <v>684</v>
      </c>
      <c r="P891" t="s">
        <v>589</v>
      </c>
    </row>
    <row r="892" spans="1:16" ht="12.75" customHeight="1" x14ac:dyDescent="0.2">
      <c r="A892" t="s">
        <v>604</v>
      </c>
      <c r="B892" t="s">
        <v>651</v>
      </c>
      <c r="C892" t="s">
        <v>232</v>
      </c>
      <c r="D892" t="s">
        <v>745</v>
      </c>
      <c r="E892" t="s">
        <v>399</v>
      </c>
      <c r="F892" s="1">
        <v>45481</v>
      </c>
      <c r="G892" s="1">
        <v>45511</v>
      </c>
      <c r="H892" t="s">
        <v>1158</v>
      </c>
      <c r="I892">
        <v>242</v>
      </c>
      <c r="J892">
        <v>242</v>
      </c>
      <c r="K892">
        <v>0</v>
      </c>
      <c r="L892">
        <v>0</v>
      </c>
      <c r="M892">
        <v>0</v>
      </c>
      <c r="N892">
        <v>242</v>
      </c>
      <c r="O892" s="14">
        <f t="shared" ca="1" si="13"/>
        <v>659</v>
      </c>
      <c r="P892" t="s">
        <v>589</v>
      </c>
    </row>
    <row r="893" spans="1:16" ht="12.75" customHeight="1" x14ac:dyDescent="0.2">
      <c r="A893" t="s">
        <v>604</v>
      </c>
      <c r="B893" t="s">
        <v>651</v>
      </c>
      <c r="C893" t="s">
        <v>232</v>
      </c>
      <c r="D893" t="s">
        <v>745</v>
      </c>
      <c r="E893" t="s">
        <v>399</v>
      </c>
      <c r="F893" s="1">
        <v>45481</v>
      </c>
      <c r="G893" s="1">
        <v>45511</v>
      </c>
      <c r="H893" t="s">
        <v>43</v>
      </c>
      <c r="I893">
        <v>24.2</v>
      </c>
      <c r="J893">
        <v>24.2</v>
      </c>
      <c r="K893">
        <v>0</v>
      </c>
      <c r="L893">
        <v>0</v>
      </c>
      <c r="M893">
        <v>0</v>
      </c>
      <c r="N893">
        <v>24.2</v>
      </c>
      <c r="O893" s="14">
        <f t="shared" ca="1" si="13"/>
        <v>659</v>
      </c>
      <c r="P893" t="s">
        <v>589</v>
      </c>
    </row>
    <row r="894" spans="1:16" ht="12.75" customHeight="1" x14ac:dyDescent="0.2">
      <c r="A894" t="s">
        <v>604</v>
      </c>
      <c r="B894" t="s">
        <v>651</v>
      </c>
      <c r="C894" t="s">
        <v>232</v>
      </c>
      <c r="D894" t="s">
        <v>745</v>
      </c>
      <c r="E894" t="s">
        <v>399</v>
      </c>
      <c r="F894" s="1">
        <v>45491</v>
      </c>
      <c r="G894" s="1">
        <v>45521</v>
      </c>
      <c r="H894" t="s">
        <v>1063</v>
      </c>
      <c r="I894">
        <v>605</v>
      </c>
      <c r="J894">
        <v>605</v>
      </c>
      <c r="K894">
        <v>0</v>
      </c>
      <c r="L894">
        <v>0</v>
      </c>
      <c r="M894">
        <v>0</v>
      </c>
      <c r="N894">
        <v>605</v>
      </c>
      <c r="O894" s="14">
        <f t="shared" ca="1" si="13"/>
        <v>649</v>
      </c>
      <c r="P894" t="s">
        <v>589</v>
      </c>
    </row>
    <row r="895" spans="1:16" ht="12.75" customHeight="1" x14ac:dyDescent="0.2">
      <c r="A895" t="s">
        <v>604</v>
      </c>
      <c r="B895" t="s">
        <v>651</v>
      </c>
      <c r="C895" t="s">
        <v>232</v>
      </c>
      <c r="D895" t="s">
        <v>745</v>
      </c>
      <c r="E895" t="s">
        <v>399</v>
      </c>
      <c r="F895" s="1">
        <v>45509</v>
      </c>
      <c r="G895" s="1">
        <v>45539</v>
      </c>
      <c r="H895" t="s">
        <v>582</v>
      </c>
      <c r="I895">
        <v>242</v>
      </c>
      <c r="J895">
        <v>242</v>
      </c>
      <c r="K895">
        <v>0</v>
      </c>
      <c r="L895">
        <v>0</v>
      </c>
      <c r="M895">
        <v>0</v>
      </c>
      <c r="N895">
        <v>242</v>
      </c>
      <c r="O895" s="14">
        <f t="shared" ca="1" si="13"/>
        <v>631</v>
      </c>
      <c r="P895" t="s">
        <v>589</v>
      </c>
    </row>
    <row r="896" spans="1:16" ht="12.75" customHeight="1" x14ac:dyDescent="0.2">
      <c r="A896" t="s">
        <v>604</v>
      </c>
      <c r="B896" t="s">
        <v>651</v>
      </c>
      <c r="C896" t="s">
        <v>232</v>
      </c>
      <c r="D896" t="s">
        <v>745</v>
      </c>
      <c r="E896" t="s">
        <v>399</v>
      </c>
      <c r="F896" s="1">
        <v>45509</v>
      </c>
      <c r="G896" s="1">
        <v>45539</v>
      </c>
      <c r="H896" t="s">
        <v>1307</v>
      </c>
      <c r="I896">
        <v>24.2</v>
      </c>
      <c r="J896">
        <v>24.2</v>
      </c>
      <c r="K896">
        <v>0</v>
      </c>
      <c r="L896">
        <v>0</v>
      </c>
      <c r="M896">
        <v>0</v>
      </c>
      <c r="N896">
        <v>24.2</v>
      </c>
      <c r="O896" s="14">
        <f t="shared" ca="1" si="13"/>
        <v>631</v>
      </c>
      <c r="P896" t="s">
        <v>589</v>
      </c>
    </row>
    <row r="897" spans="1:16" ht="12.75" customHeight="1" x14ac:dyDescent="0.2">
      <c r="A897" t="s">
        <v>604</v>
      </c>
      <c r="B897" t="s">
        <v>651</v>
      </c>
      <c r="C897" t="s">
        <v>232</v>
      </c>
      <c r="D897" t="s">
        <v>745</v>
      </c>
      <c r="E897" t="s">
        <v>399</v>
      </c>
      <c r="F897" s="1">
        <v>45537</v>
      </c>
      <c r="G897" s="1">
        <v>45567</v>
      </c>
      <c r="H897" t="s">
        <v>622</v>
      </c>
      <c r="I897">
        <v>242</v>
      </c>
      <c r="J897">
        <v>242</v>
      </c>
      <c r="K897">
        <v>0</v>
      </c>
      <c r="L897">
        <v>0</v>
      </c>
      <c r="M897">
        <v>0</v>
      </c>
      <c r="N897">
        <v>242</v>
      </c>
      <c r="O897" s="14">
        <f t="shared" ca="1" si="13"/>
        <v>603</v>
      </c>
      <c r="P897" t="s">
        <v>589</v>
      </c>
    </row>
    <row r="898" spans="1:16" ht="12.75" customHeight="1" x14ac:dyDescent="0.2">
      <c r="A898" t="s">
        <v>604</v>
      </c>
      <c r="B898" t="s">
        <v>651</v>
      </c>
      <c r="C898" t="s">
        <v>232</v>
      </c>
      <c r="D898" t="s">
        <v>745</v>
      </c>
      <c r="E898" t="s">
        <v>399</v>
      </c>
      <c r="F898" s="1">
        <v>45537</v>
      </c>
      <c r="G898" s="1">
        <v>45567</v>
      </c>
      <c r="H898" t="s">
        <v>954</v>
      </c>
      <c r="I898">
        <v>24.2</v>
      </c>
      <c r="J898">
        <v>24.2</v>
      </c>
      <c r="K898">
        <v>0</v>
      </c>
      <c r="L898">
        <v>0</v>
      </c>
      <c r="M898">
        <v>0</v>
      </c>
      <c r="N898">
        <v>24.2</v>
      </c>
      <c r="O898" s="14">
        <f t="shared" ca="1" si="13"/>
        <v>603</v>
      </c>
      <c r="P898" t="s">
        <v>589</v>
      </c>
    </row>
    <row r="899" spans="1:16" ht="12.75" customHeight="1" x14ac:dyDescent="0.2">
      <c r="A899" t="s">
        <v>604</v>
      </c>
      <c r="B899" t="s">
        <v>651</v>
      </c>
      <c r="C899" t="s">
        <v>232</v>
      </c>
      <c r="D899" t="s">
        <v>745</v>
      </c>
      <c r="E899" t="s">
        <v>399</v>
      </c>
      <c r="F899" s="1">
        <v>45572</v>
      </c>
      <c r="G899" s="1">
        <v>45602</v>
      </c>
      <c r="H899" t="s">
        <v>959</v>
      </c>
      <c r="I899">
        <v>242</v>
      </c>
      <c r="J899">
        <v>242</v>
      </c>
      <c r="K899">
        <v>0</v>
      </c>
      <c r="L899">
        <v>0</v>
      </c>
      <c r="M899">
        <v>0</v>
      </c>
      <c r="N899">
        <v>242</v>
      </c>
      <c r="O899" s="14">
        <f t="shared" ref="O899:O962" ca="1" si="14">TODAY()-G899</f>
        <v>568</v>
      </c>
      <c r="P899" t="s">
        <v>589</v>
      </c>
    </row>
    <row r="900" spans="1:16" ht="12.75" customHeight="1" x14ac:dyDescent="0.2">
      <c r="A900" t="s">
        <v>604</v>
      </c>
      <c r="B900" t="s">
        <v>651</v>
      </c>
      <c r="C900" t="s">
        <v>232</v>
      </c>
      <c r="D900" t="s">
        <v>745</v>
      </c>
      <c r="E900" t="s">
        <v>399</v>
      </c>
      <c r="F900" s="1">
        <v>45572</v>
      </c>
      <c r="G900" s="1">
        <v>45602</v>
      </c>
      <c r="H900" t="s">
        <v>179</v>
      </c>
      <c r="I900">
        <v>24.2</v>
      </c>
      <c r="J900">
        <v>24.2</v>
      </c>
      <c r="K900">
        <v>0</v>
      </c>
      <c r="L900">
        <v>0</v>
      </c>
      <c r="M900">
        <v>0</v>
      </c>
      <c r="N900">
        <v>24.2</v>
      </c>
      <c r="O900" s="14">
        <f t="shared" ca="1" si="14"/>
        <v>568</v>
      </c>
      <c r="P900" t="s">
        <v>589</v>
      </c>
    </row>
    <row r="901" spans="1:16" ht="12.75" customHeight="1" x14ac:dyDescent="0.2">
      <c r="A901" t="s">
        <v>604</v>
      </c>
      <c r="B901" t="s">
        <v>651</v>
      </c>
      <c r="C901" t="s">
        <v>232</v>
      </c>
      <c r="D901" t="s">
        <v>745</v>
      </c>
      <c r="E901" t="s">
        <v>399</v>
      </c>
      <c r="F901" s="1">
        <v>45600</v>
      </c>
      <c r="G901" s="1">
        <v>45630</v>
      </c>
      <c r="H901" t="s">
        <v>925</v>
      </c>
      <c r="I901">
        <v>242</v>
      </c>
      <c r="J901">
        <v>242</v>
      </c>
      <c r="K901">
        <v>0</v>
      </c>
      <c r="L901">
        <v>0</v>
      </c>
      <c r="M901">
        <v>0</v>
      </c>
      <c r="N901">
        <v>242</v>
      </c>
      <c r="O901" s="14">
        <f t="shared" ca="1" si="14"/>
        <v>540</v>
      </c>
      <c r="P901" t="s">
        <v>589</v>
      </c>
    </row>
    <row r="902" spans="1:16" ht="12.75" customHeight="1" x14ac:dyDescent="0.2">
      <c r="A902" t="s">
        <v>604</v>
      </c>
      <c r="B902" t="s">
        <v>651</v>
      </c>
      <c r="C902" t="s">
        <v>232</v>
      </c>
      <c r="D902" t="s">
        <v>745</v>
      </c>
      <c r="E902" t="s">
        <v>399</v>
      </c>
      <c r="F902" s="1">
        <v>45600</v>
      </c>
      <c r="G902" s="1">
        <v>45630</v>
      </c>
      <c r="H902" t="s">
        <v>404</v>
      </c>
      <c r="I902">
        <v>24.2</v>
      </c>
      <c r="J902">
        <v>24.2</v>
      </c>
      <c r="K902">
        <v>0</v>
      </c>
      <c r="L902">
        <v>0</v>
      </c>
      <c r="M902">
        <v>0</v>
      </c>
      <c r="N902">
        <v>24.2</v>
      </c>
      <c r="O902" s="14">
        <f t="shared" ca="1" si="14"/>
        <v>540</v>
      </c>
      <c r="P902" t="s">
        <v>589</v>
      </c>
    </row>
    <row r="903" spans="1:16" ht="12.75" customHeight="1" x14ac:dyDescent="0.2">
      <c r="A903" t="s">
        <v>604</v>
      </c>
      <c r="B903" t="s">
        <v>651</v>
      </c>
      <c r="C903" t="s">
        <v>232</v>
      </c>
      <c r="D903" t="s">
        <v>745</v>
      </c>
      <c r="E903" t="s">
        <v>399</v>
      </c>
      <c r="F903" s="1">
        <v>45628</v>
      </c>
      <c r="G903" s="1">
        <v>45658</v>
      </c>
      <c r="H903" t="s">
        <v>944</v>
      </c>
      <c r="I903">
        <v>242</v>
      </c>
      <c r="J903">
        <v>242</v>
      </c>
      <c r="K903">
        <v>0</v>
      </c>
      <c r="L903">
        <v>0</v>
      </c>
      <c r="M903">
        <v>0</v>
      </c>
      <c r="N903">
        <v>242</v>
      </c>
      <c r="O903" s="14">
        <f t="shared" ca="1" si="14"/>
        <v>512</v>
      </c>
      <c r="P903" t="s">
        <v>589</v>
      </c>
    </row>
    <row r="904" spans="1:16" ht="12.75" customHeight="1" x14ac:dyDescent="0.2">
      <c r="A904" t="s">
        <v>604</v>
      </c>
      <c r="B904" t="s">
        <v>651</v>
      </c>
      <c r="C904" t="s">
        <v>232</v>
      </c>
      <c r="D904" t="s">
        <v>745</v>
      </c>
      <c r="E904" t="s">
        <v>399</v>
      </c>
      <c r="F904" s="1">
        <v>45628</v>
      </c>
      <c r="G904" s="1">
        <v>45658</v>
      </c>
      <c r="H904" t="s">
        <v>219</v>
      </c>
      <c r="I904">
        <v>24.2</v>
      </c>
      <c r="J904">
        <v>24.2</v>
      </c>
      <c r="K904">
        <v>0</v>
      </c>
      <c r="L904">
        <v>0</v>
      </c>
      <c r="M904">
        <v>0</v>
      </c>
      <c r="N904">
        <v>24.2</v>
      </c>
      <c r="O904" s="14">
        <f t="shared" ca="1" si="14"/>
        <v>512</v>
      </c>
      <c r="P904" t="s">
        <v>589</v>
      </c>
    </row>
    <row r="905" spans="1:16" ht="12.75" customHeight="1" x14ac:dyDescent="0.2">
      <c r="A905" t="s">
        <v>604</v>
      </c>
      <c r="B905" t="s">
        <v>651</v>
      </c>
      <c r="C905" t="s">
        <v>232</v>
      </c>
      <c r="D905" t="s">
        <v>745</v>
      </c>
      <c r="E905" t="s">
        <v>399</v>
      </c>
      <c r="F905" s="1">
        <v>45663</v>
      </c>
      <c r="G905" s="1">
        <v>45693</v>
      </c>
      <c r="H905" t="s">
        <v>157</v>
      </c>
      <c r="I905">
        <v>536.94000000000005</v>
      </c>
      <c r="J905">
        <v>536.94000000000005</v>
      </c>
      <c r="K905">
        <v>0</v>
      </c>
      <c r="L905">
        <v>0</v>
      </c>
      <c r="M905">
        <v>0</v>
      </c>
      <c r="N905">
        <v>536.94000000000005</v>
      </c>
      <c r="O905" s="14">
        <f t="shared" ca="1" si="14"/>
        <v>477</v>
      </c>
      <c r="P905" t="s">
        <v>589</v>
      </c>
    </row>
    <row r="906" spans="1:16" ht="12.75" customHeight="1" x14ac:dyDescent="0.2">
      <c r="A906" t="s">
        <v>604</v>
      </c>
      <c r="B906" t="s">
        <v>651</v>
      </c>
      <c r="C906" t="s">
        <v>232</v>
      </c>
      <c r="D906" t="s">
        <v>745</v>
      </c>
      <c r="E906" t="s">
        <v>399</v>
      </c>
      <c r="F906" s="1">
        <v>45672</v>
      </c>
      <c r="G906" s="1">
        <v>45702</v>
      </c>
      <c r="H906" t="s">
        <v>475</v>
      </c>
      <c r="I906">
        <v>242</v>
      </c>
      <c r="J906">
        <v>242</v>
      </c>
      <c r="K906">
        <v>0</v>
      </c>
      <c r="L906">
        <v>0</v>
      </c>
      <c r="M906">
        <v>0</v>
      </c>
      <c r="N906">
        <v>242</v>
      </c>
      <c r="O906" s="14">
        <f t="shared" ca="1" si="14"/>
        <v>468</v>
      </c>
      <c r="P906" t="s">
        <v>589</v>
      </c>
    </row>
    <row r="907" spans="1:16" ht="12.75" customHeight="1" x14ac:dyDescent="0.2">
      <c r="A907" t="s">
        <v>604</v>
      </c>
      <c r="B907" t="s">
        <v>651</v>
      </c>
      <c r="C907" t="s">
        <v>232</v>
      </c>
      <c r="D907" t="s">
        <v>745</v>
      </c>
      <c r="E907" t="s">
        <v>399</v>
      </c>
      <c r="F907" s="1">
        <v>45672</v>
      </c>
      <c r="G907" s="1">
        <v>45702</v>
      </c>
      <c r="H907" t="s">
        <v>169</v>
      </c>
      <c r="I907">
        <v>24.2</v>
      </c>
      <c r="J907">
        <v>24.2</v>
      </c>
      <c r="K907">
        <v>0</v>
      </c>
      <c r="L907">
        <v>0</v>
      </c>
      <c r="M907">
        <v>0</v>
      </c>
      <c r="N907">
        <v>24.2</v>
      </c>
      <c r="O907" s="14">
        <f t="shared" ca="1" si="14"/>
        <v>468</v>
      </c>
      <c r="P907" t="s">
        <v>589</v>
      </c>
    </row>
    <row r="908" spans="1:16" ht="12.75" customHeight="1" x14ac:dyDescent="0.2">
      <c r="A908" t="s">
        <v>604</v>
      </c>
      <c r="B908" t="s">
        <v>651</v>
      </c>
      <c r="C908" t="s">
        <v>232</v>
      </c>
      <c r="D908" t="s">
        <v>745</v>
      </c>
      <c r="E908" t="s">
        <v>399</v>
      </c>
      <c r="F908" s="1">
        <v>45691</v>
      </c>
      <c r="G908" s="1">
        <v>45721</v>
      </c>
      <c r="H908" t="s">
        <v>749</v>
      </c>
      <c r="I908">
        <v>242</v>
      </c>
      <c r="J908">
        <v>242</v>
      </c>
      <c r="K908">
        <v>0</v>
      </c>
      <c r="L908">
        <v>0</v>
      </c>
      <c r="M908">
        <v>0</v>
      </c>
      <c r="N908">
        <v>242</v>
      </c>
      <c r="O908" s="14">
        <f t="shared" ca="1" si="14"/>
        <v>449</v>
      </c>
      <c r="P908" t="s">
        <v>589</v>
      </c>
    </row>
    <row r="909" spans="1:16" ht="12.75" customHeight="1" x14ac:dyDescent="0.2">
      <c r="A909" t="s">
        <v>604</v>
      </c>
      <c r="B909" t="s">
        <v>651</v>
      </c>
      <c r="C909" t="s">
        <v>232</v>
      </c>
      <c r="D909" t="s">
        <v>745</v>
      </c>
      <c r="E909" t="s">
        <v>399</v>
      </c>
      <c r="F909" s="1">
        <v>45691</v>
      </c>
      <c r="G909" s="1">
        <v>45721</v>
      </c>
      <c r="H909" t="s">
        <v>110</v>
      </c>
      <c r="I909">
        <v>24.2</v>
      </c>
      <c r="J909">
        <v>24.2</v>
      </c>
      <c r="K909">
        <v>0</v>
      </c>
      <c r="L909">
        <v>0</v>
      </c>
      <c r="M909">
        <v>0</v>
      </c>
      <c r="N909">
        <v>24.2</v>
      </c>
      <c r="O909" s="14">
        <f t="shared" ca="1" si="14"/>
        <v>449</v>
      </c>
      <c r="P909" t="s">
        <v>589</v>
      </c>
    </row>
    <row r="910" spans="1:16" ht="12.75" customHeight="1" x14ac:dyDescent="0.2">
      <c r="A910" t="s">
        <v>604</v>
      </c>
      <c r="B910" t="s">
        <v>651</v>
      </c>
      <c r="C910" t="s">
        <v>232</v>
      </c>
      <c r="D910" t="s">
        <v>745</v>
      </c>
      <c r="E910" t="s">
        <v>399</v>
      </c>
      <c r="F910" s="1">
        <v>45721</v>
      </c>
      <c r="G910" s="1">
        <v>45751</v>
      </c>
      <c r="H910" t="s">
        <v>367</v>
      </c>
      <c r="I910">
        <v>242</v>
      </c>
      <c r="J910">
        <v>242</v>
      </c>
      <c r="K910">
        <v>0</v>
      </c>
      <c r="L910">
        <v>0</v>
      </c>
      <c r="M910">
        <v>0</v>
      </c>
      <c r="N910">
        <v>242</v>
      </c>
      <c r="O910" s="14">
        <f t="shared" ca="1" si="14"/>
        <v>419</v>
      </c>
      <c r="P910" t="s">
        <v>589</v>
      </c>
    </row>
    <row r="911" spans="1:16" ht="12.75" customHeight="1" x14ac:dyDescent="0.2">
      <c r="A911" t="s">
        <v>604</v>
      </c>
      <c r="B911" t="s">
        <v>651</v>
      </c>
      <c r="C911" t="s">
        <v>232</v>
      </c>
      <c r="D911" t="s">
        <v>745</v>
      </c>
      <c r="E911" t="s">
        <v>399</v>
      </c>
      <c r="F911" s="1">
        <v>45721</v>
      </c>
      <c r="G911" s="1">
        <v>45751</v>
      </c>
      <c r="H911" t="s">
        <v>14</v>
      </c>
      <c r="I911">
        <v>24.2</v>
      </c>
      <c r="J911">
        <v>24.2</v>
      </c>
      <c r="K911">
        <v>0</v>
      </c>
      <c r="L911">
        <v>0</v>
      </c>
      <c r="M911">
        <v>0</v>
      </c>
      <c r="N911">
        <v>24.2</v>
      </c>
      <c r="O911" s="14">
        <f t="shared" ca="1" si="14"/>
        <v>419</v>
      </c>
      <c r="P911" t="s">
        <v>589</v>
      </c>
    </row>
    <row r="912" spans="1:16" ht="12.75" customHeight="1" x14ac:dyDescent="0.2">
      <c r="A912" t="s">
        <v>604</v>
      </c>
      <c r="B912" t="s">
        <v>651</v>
      </c>
      <c r="C912" t="s">
        <v>232</v>
      </c>
      <c r="D912" t="s">
        <v>745</v>
      </c>
      <c r="E912" t="s">
        <v>399</v>
      </c>
      <c r="F912" s="1">
        <v>45726</v>
      </c>
      <c r="G912" s="1">
        <v>45756</v>
      </c>
      <c r="H912" t="s">
        <v>366</v>
      </c>
      <c r="I912">
        <v>605</v>
      </c>
      <c r="J912">
        <v>605</v>
      </c>
      <c r="K912">
        <v>0</v>
      </c>
      <c r="L912">
        <v>0</v>
      </c>
      <c r="M912">
        <v>0</v>
      </c>
      <c r="N912">
        <v>605</v>
      </c>
      <c r="O912" s="14">
        <f t="shared" ca="1" si="14"/>
        <v>414</v>
      </c>
      <c r="P912" t="s">
        <v>589</v>
      </c>
    </row>
    <row r="913" spans="1:16" ht="12.75" customHeight="1" x14ac:dyDescent="0.2">
      <c r="A913" t="s">
        <v>604</v>
      </c>
      <c r="B913" t="s">
        <v>651</v>
      </c>
      <c r="C913" t="s">
        <v>232</v>
      </c>
      <c r="D913" t="s">
        <v>745</v>
      </c>
      <c r="E913" t="s">
        <v>399</v>
      </c>
      <c r="F913" s="1">
        <v>45750</v>
      </c>
      <c r="G913" s="1">
        <v>45780</v>
      </c>
      <c r="H913" t="s">
        <v>240</v>
      </c>
      <c r="I913">
        <v>242</v>
      </c>
      <c r="J913">
        <v>242</v>
      </c>
      <c r="K913">
        <v>0</v>
      </c>
      <c r="L913">
        <v>0</v>
      </c>
      <c r="M913">
        <v>0</v>
      </c>
      <c r="N913">
        <v>242</v>
      </c>
      <c r="O913" s="14">
        <f t="shared" ca="1" si="14"/>
        <v>390</v>
      </c>
      <c r="P913" t="s">
        <v>589</v>
      </c>
    </row>
    <row r="914" spans="1:16" ht="12.75" customHeight="1" x14ac:dyDescent="0.2">
      <c r="A914" t="s">
        <v>604</v>
      </c>
      <c r="B914" t="s">
        <v>651</v>
      </c>
      <c r="C914" t="s">
        <v>232</v>
      </c>
      <c r="D914" t="s">
        <v>745</v>
      </c>
      <c r="E914" t="s">
        <v>399</v>
      </c>
      <c r="F914" s="1">
        <v>45750</v>
      </c>
      <c r="G914" s="1">
        <v>45780</v>
      </c>
      <c r="H914" t="s">
        <v>560</v>
      </c>
      <c r="I914">
        <v>24.2</v>
      </c>
      <c r="J914">
        <v>24.2</v>
      </c>
      <c r="K914">
        <v>0</v>
      </c>
      <c r="L914">
        <v>0</v>
      </c>
      <c r="M914">
        <v>0</v>
      </c>
      <c r="N914">
        <v>24.2</v>
      </c>
      <c r="O914" s="14">
        <f t="shared" ca="1" si="14"/>
        <v>390</v>
      </c>
      <c r="P914" t="s">
        <v>589</v>
      </c>
    </row>
    <row r="915" spans="1:16" ht="12.75" customHeight="1" x14ac:dyDescent="0.2">
      <c r="A915" t="s">
        <v>604</v>
      </c>
      <c r="B915" t="s">
        <v>651</v>
      </c>
      <c r="C915" t="s">
        <v>232</v>
      </c>
      <c r="D915" t="s">
        <v>745</v>
      </c>
      <c r="E915" t="s">
        <v>399</v>
      </c>
      <c r="F915" s="1">
        <v>45782</v>
      </c>
      <c r="G915" s="1">
        <v>45812</v>
      </c>
      <c r="H915" t="s">
        <v>607</v>
      </c>
      <c r="I915">
        <v>242</v>
      </c>
      <c r="J915">
        <v>242</v>
      </c>
      <c r="K915">
        <v>0</v>
      </c>
      <c r="L915">
        <v>0</v>
      </c>
      <c r="M915">
        <v>0</v>
      </c>
      <c r="N915">
        <v>242</v>
      </c>
      <c r="O915" s="14">
        <f t="shared" ca="1" si="14"/>
        <v>358</v>
      </c>
      <c r="P915" t="s">
        <v>589</v>
      </c>
    </row>
    <row r="916" spans="1:16" ht="12.75" customHeight="1" x14ac:dyDescent="0.2">
      <c r="A916" t="s">
        <v>604</v>
      </c>
      <c r="B916" t="s">
        <v>651</v>
      </c>
      <c r="C916" t="s">
        <v>232</v>
      </c>
      <c r="D916" t="s">
        <v>745</v>
      </c>
      <c r="E916" t="s">
        <v>399</v>
      </c>
      <c r="F916" s="1">
        <v>45782</v>
      </c>
      <c r="G916" s="1">
        <v>45812</v>
      </c>
      <c r="H916" t="s">
        <v>166</v>
      </c>
      <c r="I916">
        <v>24.2</v>
      </c>
      <c r="J916">
        <v>24.2</v>
      </c>
      <c r="K916">
        <v>0</v>
      </c>
      <c r="L916">
        <v>0</v>
      </c>
      <c r="M916">
        <v>0</v>
      </c>
      <c r="N916">
        <v>24.2</v>
      </c>
      <c r="O916" s="14">
        <f t="shared" ca="1" si="14"/>
        <v>358</v>
      </c>
      <c r="P916" t="s">
        <v>589</v>
      </c>
    </row>
    <row r="917" spans="1:16" ht="12.75" customHeight="1" x14ac:dyDescent="0.2">
      <c r="A917" t="s">
        <v>604</v>
      </c>
      <c r="B917" t="s">
        <v>651</v>
      </c>
      <c r="C917" t="s">
        <v>232</v>
      </c>
      <c r="D917" t="s">
        <v>745</v>
      </c>
      <c r="E917" t="s">
        <v>399</v>
      </c>
      <c r="F917" s="1">
        <v>45810</v>
      </c>
      <c r="G917" s="1">
        <v>45840</v>
      </c>
      <c r="H917" t="s">
        <v>810</v>
      </c>
      <c r="I917">
        <v>242</v>
      </c>
      <c r="J917">
        <v>242</v>
      </c>
      <c r="K917">
        <v>0</v>
      </c>
      <c r="L917">
        <v>0</v>
      </c>
      <c r="M917">
        <v>0</v>
      </c>
      <c r="N917">
        <v>242</v>
      </c>
      <c r="O917" s="14">
        <f t="shared" ca="1" si="14"/>
        <v>330</v>
      </c>
      <c r="P917" t="s">
        <v>589</v>
      </c>
    </row>
    <row r="918" spans="1:16" ht="12.75" customHeight="1" x14ac:dyDescent="0.2">
      <c r="A918" t="s">
        <v>604</v>
      </c>
      <c r="B918" t="s">
        <v>651</v>
      </c>
      <c r="C918" t="s">
        <v>232</v>
      </c>
      <c r="D918" t="s">
        <v>745</v>
      </c>
      <c r="E918" t="s">
        <v>399</v>
      </c>
      <c r="F918" s="1">
        <v>45810</v>
      </c>
      <c r="G918" s="1">
        <v>45840</v>
      </c>
      <c r="H918" t="s">
        <v>1242</v>
      </c>
      <c r="I918">
        <v>24.2</v>
      </c>
      <c r="J918">
        <v>24.2</v>
      </c>
      <c r="K918">
        <v>0</v>
      </c>
      <c r="L918">
        <v>0</v>
      </c>
      <c r="M918">
        <v>0</v>
      </c>
      <c r="N918">
        <v>24.2</v>
      </c>
      <c r="O918" s="14">
        <f t="shared" ca="1" si="14"/>
        <v>330</v>
      </c>
      <c r="P918" t="s">
        <v>589</v>
      </c>
    </row>
    <row r="919" spans="1:16" ht="12.75" customHeight="1" x14ac:dyDescent="0.2">
      <c r="A919" t="s">
        <v>604</v>
      </c>
      <c r="B919" t="s">
        <v>651</v>
      </c>
      <c r="C919" t="s">
        <v>232</v>
      </c>
      <c r="D919" t="s">
        <v>745</v>
      </c>
      <c r="E919" t="s">
        <v>399</v>
      </c>
      <c r="F919" s="1">
        <v>45839</v>
      </c>
      <c r="G919" s="1">
        <v>45869</v>
      </c>
      <c r="H919" t="s">
        <v>873</v>
      </c>
      <c r="I919">
        <v>242</v>
      </c>
      <c r="J919">
        <v>242</v>
      </c>
      <c r="K919">
        <v>0</v>
      </c>
      <c r="L919">
        <v>0</v>
      </c>
      <c r="M919">
        <v>0</v>
      </c>
      <c r="N919">
        <v>242</v>
      </c>
      <c r="O919" s="14">
        <f t="shared" ca="1" si="14"/>
        <v>301</v>
      </c>
      <c r="P919" t="s">
        <v>589</v>
      </c>
    </row>
    <row r="920" spans="1:16" ht="12.75" customHeight="1" x14ac:dyDescent="0.2">
      <c r="A920" t="s">
        <v>604</v>
      </c>
      <c r="B920" t="s">
        <v>651</v>
      </c>
      <c r="C920" t="s">
        <v>232</v>
      </c>
      <c r="D920" t="s">
        <v>745</v>
      </c>
      <c r="E920" t="s">
        <v>399</v>
      </c>
      <c r="F920" s="1">
        <v>45839</v>
      </c>
      <c r="G920" s="1">
        <v>45869</v>
      </c>
      <c r="H920" t="s">
        <v>291</v>
      </c>
      <c r="I920">
        <v>24.2</v>
      </c>
      <c r="J920">
        <v>24.2</v>
      </c>
      <c r="K920">
        <v>0</v>
      </c>
      <c r="L920">
        <v>0</v>
      </c>
      <c r="M920">
        <v>0</v>
      </c>
      <c r="N920">
        <v>24.2</v>
      </c>
      <c r="O920" s="14">
        <f t="shared" ca="1" si="14"/>
        <v>301</v>
      </c>
      <c r="P920" t="s">
        <v>589</v>
      </c>
    </row>
    <row r="921" spans="1:16" ht="12.75" customHeight="1" x14ac:dyDescent="0.2">
      <c r="A921" t="s">
        <v>604</v>
      </c>
      <c r="B921" t="s">
        <v>651</v>
      </c>
      <c r="C921" t="s">
        <v>232</v>
      </c>
      <c r="D921" t="s">
        <v>745</v>
      </c>
      <c r="E921" t="s">
        <v>399</v>
      </c>
      <c r="F921" s="1">
        <v>45873</v>
      </c>
      <c r="G921" s="1">
        <v>45903</v>
      </c>
      <c r="H921" t="s">
        <v>126</v>
      </c>
      <c r="I921">
        <v>242</v>
      </c>
      <c r="J921">
        <v>242</v>
      </c>
      <c r="K921">
        <v>0</v>
      </c>
      <c r="L921">
        <v>0</v>
      </c>
      <c r="M921">
        <v>0</v>
      </c>
      <c r="N921">
        <v>242</v>
      </c>
      <c r="O921" s="14">
        <f t="shared" ca="1" si="14"/>
        <v>267</v>
      </c>
      <c r="P921" t="s">
        <v>589</v>
      </c>
    </row>
    <row r="922" spans="1:16" ht="12.75" customHeight="1" x14ac:dyDescent="0.2">
      <c r="A922" t="s">
        <v>604</v>
      </c>
      <c r="B922" t="s">
        <v>651</v>
      </c>
      <c r="C922" t="s">
        <v>232</v>
      </c>
      <c r="D922" t="s">
        <v>745</v>
      </c>
      <c r="E922" t="s">
        <v>399</v>
      </c>
      <c r="F922" s="1">
        <v>45873</v>
      </c>
      <c r="G922" s="1">
        <v>45903</v>
      </c>
      <c r="H922" t="s">
        <v>1106</v>
      </c>
      <c r="I922">
        <v>24.2</v>
      </c>
      <c r="J922">
        <v>24.2</v>
      </c>
      <c r="K922">
        <v>0</v>
      </c>
      <c r="L922">
        <v>0</v>
      </c>
      <c r="M922">
        <v>0</v>
      </c>
      <c r="N922">
        <v>24.2</v>
      </c>
      <c r="O922" s="14">
        <f t="shared" ca="1" si="14"/>
        <v>267</v>
      </c>
      <c r="P922" t="s">
        <v>589</v>
      </c>
    </row>
    <row r="923" spans="1:16" ht="12.75" customHeight="1" x14ac:dyDescent="0.2">
      <c r="A923" t="s">
        <v>604</v>
      </c>
      <c r="B923" t="s">
        <v>651</v>
      </c>
      <c r="C923" t="s">
        <v>232</v>
      </c>
      <c r="D923" t="s">
        <v>745</v>
      </c>
      <c r="E923" t="s">
        <v>399</v>
      </c>
      <c r="F923" s="1">
        <v>45901</v>
      </c>
      <c r="G923" s="1">
        <v>45931</v>
      </c>
      <c r="H923" t="s">
        <v>364</v>
      </c>
      <c r="I923">
        <v>242</v>
      </c>
      <c r="J923">
        <v>242</v>
      </c>
      <c r="K923">
        <v>0</v>
      </c>
      <c r="L923">
        <v>0</v>
      </c>
      <c r="M923">
        <v>0</v>
      </c>
      <c r="N923">
        <v>242</v>
      </c>
      <c r="O923" s="14">
        <f t="shared" ca="1" si="14"/>
        <v>239</v>
      </c>
      <c r="P923" t="s">
        <v>589</v>
      </c>
    </row>
    <row r="924" spans="1:16" ht="12.75" customHeight="1" x14ac:dyDescent="0.2">
      <c r="A924" t="s">
        <v>604</v>
      </c>
      <c r="B924" t="s">
        <v>651</v>
      </c>
      <c r="C924" t="s">
        <v>232</v>
      </c>
      <c r="D924" t="s">
        <v>745</v>
      </c>
      <c r="E924" t="s">
        <v>399</v>
      </c>
      <c r="F924" s="1">
        <v>45901</v>
      </c>
      <c r="G924" s="1">
        <v>45931</v>
      </c>
      <c r="H924" t="s">
        <v>193</v>
      </c>
      <c r="I924">
        <v>24.2</v>
      </c>
      <c r="J924">
        <v>24.2</v>
      </c>
      <c r="K924">
        <v>0</v>
      </c>
      <c r="L924">
        <v>0</v>
      </c>
      <c r="M924">
        <v>0</v>
      </c>
      <c r="N924">
        <v>24.2</v>
      </c>
      <c r="O924" s="14">
        <f t="shared" ca="1" si="14"/>
        <v>239</v>
      </c>
      <c r="P924" t="s">
        <v>589</v>
      </c>
    </row>
    <row r="925" spans="1:16" ht="12.75" customHeight="1" x14ac:dyDescent="0.2">
      <c r="A925" t="s">
        <v>604</v>
      </c>
      <c r="B925" t="s">
        <v>651</v>
      </c>
      <c r="C925" t="s">
        <v>232</v>
      </c>
      <c r="D925" t="s">
        <v>745</v>
      </c>
      <c r="E925" t="s">
        <v>399</v>
      </c>
      <c r="F925" s="1">
        <v>45936</v>
      </c>
      <c r="G925" s="1">
        <v>45966</v>
      </c>
      <c r="H925" t="s">
        <v>1009</v>
      </c>
      <c r="I925">
        <v>242</v>
      </c>
      <c r="J925">
        <v>242</v>
      </c>
      <c r="K925">
        <v>0</v>
      </c>
      <c r="L925">
        <v>0</v>
      </c>
      <c r="M925">
        <v>0</v>
      </c>
      <c r="N925">
        <v>242</v>
      </c>
      <c r="O925" s="14">
        <f t="shared" ca="1" si="14"/>
        <v>204</v>
      </c>
      <c r="P925" t="s">
        <v>589</v>
      </c>
    </row>
    <row r="926" spans="1:16" ht="12.75" customHeight="1" x14ac:dyDescent="0.2">
      <c r="A926" t="s">
        <v>604</v>
      </c>
      <c r="B926" t="s">
        <v>651</v>
      </c>
      <c r="C926" t="s">
        <v>232</v>
      </c>
      <c r="D926" t="s">
        <v>745</v>
      </c>
      <c r="E926" t="s">
        <v>399</v>
      </c>
      <c r="F926" s="1">
        <v>45936</v>
      </c>
      <c r="G926" s="1">
        <v>45966</v>
      </c>
      <c r="H926" t="s">
        <v>958</v>
      </c>
      <c r="I926">
        <v>24.2</v>
      </c>
      <c r="J926">
        <v>24.2</v>
      </c>
      <c r="K926">
        <v>0</v>
      </c>
      <c r="L926">
        <v>0</v>
      </c>
      <c r="M926">
        <v>0</v>
      </c>
      <c r="N926">
        <v>24.2</v>
      </c>
      <c r="O926" s="14">
        <f t="shared" ca="1" si="14"/>
        <v>204</v>
      </c>
      <c r="P926" t="s">
        <v>589</v>
      </c>
    </row>
    <row r="927" spans="1:16" ht="12.75" customHeight="1" x14ac:dyDescent="0.2">
      <c r="A927" t="s">
        <v>604</v>
      </c>
      <c r="B927" t="s">
        <v>651</v>
      </c>
      <c r="C927" t="s">
        <v>232</v>
      </c>
      <c r="D927" t="s">
        <v>745</v>
      </c>
      <c r="E927" t="s">
        <v>399</v>
      </c>
      <c r="F927" s="1">
        <v>45966</v>
      </c>
      <c r="G927" s="1">
        <v>45996</v>
      </c>
      <c r="H927" t="s">
        <v>11</v>
      </c>
      <c r="I927">
        <v>242</v>
      </c>
      <c r="J927">
        <v>242</v>
      </c>
      <c r="K927">
        <v>0</v>
      </c>
      <c r="L927">
        <v>0</v>
      </c>
      <c r="M927">
        <v>0</v>
      </c>
      <c r="N927">
        <v>242</v>
      </c>
      <c r="O927" s="14">
        <f t="shared" ca="1" si="14"/>
        <v>174</v>
      </c>
      <c r="P927" t="s">
        <v>589</v>
      </c>
    </row>
    <row r="928" spans="1:16" ht="12.75" customHeight="1" x14ac:dyDescent="0.2">
      <c r="A928" t="s">
        <v>604</v>
      </c>
      <c r="B928" t="s">
        <v>651</v>
      </c>
      <c r="C928" t="s">
        <v>232</v>
      </c>
      <c r="D928" t="s">
        <v>745</v>
      </c>
      <c r="E928" t="s">
        <v>399</v>
      </c>
      <c r="F928" s="1">
        <v>45966</v>
      </c>
      <c r="G928" s="1">
        <v>45996</v>
      </c>
      <c r="H928" t="s">
        <v>977</v>
      </c>
      <c r="I928">
        <v>24.2</v>
      </c>
      <c r="J928">
        <v>24.2</v>
      </c>
      <c r="K928">
        <v>0</v>
      </c>
      <c r="L928">
        <v>0</v>
      </c>
      <c r="M928">
        <v>0</v>
      </c>
      <c r="N928">
        <v>24.2</v>
      </c>
      <c r="O928" s="14">
        <f t="shared" ca="1" si="14"/>
        <v>174</v>
      </c>
      <c r="P928" t="s">
        <v>589</v>
      </c>
    </row>
    <row r="929" spans="1:16" ht="12.75" customHeight="1" x14ac:dyDescent="0.2">
      <c r="A929" t="s">
        <v>604</v>
      </c>
      <c r="B929" t="s">
        <v>651</v>
      </c>
      <c r="C929" t="s">
        <v>232</v>
      </c>
      <c r="D929" t="s">
        <v>745</v>
      </c>
      <c r="E929" t="s">
        <v>399</v>
      </c>
      <c r="F929" s="1">
        <v>45993</v>
      </c>
      <c r="G929" s="1">
        <v>46023</v>
      </c>
      <c r="H929" t="s">
        <v>1309</v>
      </c>
      <c r="I929">
        <v>242</v>
      </c>
      <c r="J929">
        <v>242</v>
      </c>
      <c r="K929">
        <v>0</v>
      </c>
      <c r="L929">
        <v>0</v>
      </c>
      <c r="M929">
        <v>0</v>
      </c>
      <c r="N929">
        <v>242</v>
      </c>
      <c r="O929" s="14">
        <f t="shared" ca="1" si="14"/>
        <v>147</v>
      </c>
      <c r="P929" t="s">
        <v>589</v>
      </c>
    </row>
    <row r="930" spans="1:16" ht="12.75" customHeight="1" x14ac:dyDescent="0.2">
      <c r="A930" t="s">
        <v>604</v>
      </c>
      <c r="B930" t="s">
        <v>651</v>
      </c>
      <c r="C930" t="s">
        <v>232</v>
      </c>
      <c r="D930" t="s">
        <v>745</v>
      </c>
      <c r="E930" t="s">
        <v>399</v>
      </c>
      <c r="F930" s="1">
        <v>45993</v>
      </c>
      <c r="G930" s="1">
        <v>46023</v>
      </c>
      <c r="H930" t="s">
        <v>476</v>
      </c>
      <c r="I930">
        <v>24.2</v>
      </c>
      <c r="J930">
        <v>24.2</v>
      </c>
      <c r="K930">
        <v>0</v>
      </c>
      <c r="L930">
        <v>0</v>
      </c>
      <c r="M930">
        <v>0</v>
      </c>
      <c r="N930">
        <v>24.2</v>
      </c>
      <c r="O930" s="14">
        <f t="shared" ca="1" si="14"/>
        <v>147</v>
      </c>
      <c r="P930" t="s">
        <v>589</v>
      </c>
    </row>
    <row r="931" spans="1:16" ht="12.75" customHeight="1" x14ac:dyDescent="0.2">
      <c r="A931" t="s">
        <v>604</v>
      </c>
      <c r="B931" t="s">
        <v>651</v>
      </c>
      <c r="C931" t="s">
        <v>232</v>
      </c>
      <c r="D931" t="s">
        <v>745</v>
      </c>
      <c r="E931" t="s">
        <v>399</v>
      </c>
      <c r="F931" s="1">
        <v>46030</v>
      </c>
      <c r="G931" s="1">
        <v>46060</v>
      </c>
      <c r="H931" t="s">
        <v>1152</v>
      </c>
      <c r="I931">
        <v>242</v>
      </c>
      <c r="J931">
        <v>242</v>
      </c>
      <c r="K931">
        <v>0</v>
      </c>
      <c r="L931">
        <v>0</v>
      </c>
      <c r="M931">
        <v>0</v>
      </c>
      <c r="N931">
        <v>242</v>
      </c>
      <c r="O931" s="14">
        <f t="shared" ca="1" si="14"/>
        <v>110</v>
      </c>
      <c r="P931" t="s">
        <v>589</v>
      </c>
    </row>
    <row r="932" spans="1:16" ht="12.75" customHeight="1" x14ac:dyDescent="0.2">
      <c r="A932" t="s">
        <v>604</v>
      </c>
      <c r="B932" t="s">
        <v>651</v>
      </c>
      <c r="C932" t="s">
        <v>232</v>
      </c>
      <c r="D932" t="s">
        <v>745</v>
      </c>
      <c r="E932" t="s">
        <v>399</v>
      </c>
      <c r="F932" s="1">
        <v>46030</v>
      </c>
      <c r="G932" s="1">
        <v>46060</v>
      </c>
      <c r="H932" t="s">
        <v>341</v>
      </c>
      <c r="I932">
        <v>24.2</v>
      </c>
      <c r="J932">
        <v>24.2</v>
      </c>
      <c r="K932">
        <v>0</v>
      </c>
      <c r="L932">
        <v>0</v>
      </c>
      <c r="M932">
        <v>0</v>
      </c>
      <c r="N932">
        <v>24.2</v>
      </c>
      <c r="O932" s="14">
        <f t="shared" ca="1" si="14"/>
        <v>110</v>
      </c>
      <c r="P932" t="s">
        <v>589</v>
      </c>
    </row>
    <row r="933" spans="1:16" ht="12.75" customHeight="1" x14ac:dyDescent="0.2">
      <c r="A933" t="s">
        <v>604</v>
      </c>
      <c r="B933" t="s">
        <v>651</v>
      </c>
      <c r="C933" t="s">
        <v>232</v>
      </c>
      <c r="D933" t="s">
        <v>745</v>
      </c>
      <c r="E933" t="s">
        <v>399</v>
      </c>
      <c r="F933" s="1">
        <v>46035</v>
      </c>
      <c r="G933" s="1">
        <v>46065</v>
      </c>
      <c r="H933" t="s">
        <v>600</v>
      </c>
      <c r="I933">
        <v>-242</v>
      </c>
      <c r="J933">
        <v>-242</v>
      </c>
      <c r="K933">
        <v>0</v>
      </c>
      <c r="L933">
        <v>0</v>
      </c>
      <c r="M933">
        <v>0</v>
      </c>
      <c r="N933">
        <v>-242</v>
      </c>
      <c r="O933" s="14">
        <f t="shared" ca="1" si="14"/>
        <v>105</v>
      </c>
      <c r="P933" t="s">
        <v>589</v>
      </c>
    </row>
    <row r="934" spans="1:16" ht="12.75" customHeight="1" x14ac:dyDescent="0.2">
      <c r="A934" t="s">
        <v>604</v>
      </c>
      <c r="B934" t="s">
        <v>651</v>
      </c>
      <c r="C934" t="s">
        <v>232</v>
      </c>
      <c r="D934" t="s">
        <v>745</v>
      </c>
      <c r="E934" t="s">
        <v>399</v>
      </c>
      <c r="F934" s="1">
        <v>46035</v>
      </c>
      <c r="G934" s="1">
        <v>46065</v>
      </c>
      <c r="H934" t="s">
        <v>599</v>
      </c>
      <c r="I934">
        <v>-24.2</v>
      </c>
      <c r="J934">
        <v>-24.2</v>
      </c>
      <c r="K934">
        <v>0</v>
      </c>
      <c r="L934">
        <v>0</v>
      </c>
      <c r="M934">
        <v>0</v>
      </c>
      <c r="N934">
        <v>-24.2</v>
      </c>
      <c r="O934" s="14">
        <f t="shared" ca="1" si="14"/>
        <v>105</v>
      </c>
      <c r="P934" t="s">
        <v>589</v>
      </c>
    </row>
    <row r="935" spans="1:16" ht="12.75" customHeight="1" x14ac:dyDescent="0.2">
      <c r="A935" t="s">
        <v>604</v>
      </c>
      <c r="B935" t="s">
        <v>651</v>
      </c>
      <c r="C935" t="s">
        <v>232</v>
      </c>
      <c r="D935" t="s">
        <v>745</v>
      </c>
      <c r="E935" t="s">
        <v>399</v>
      </c>
      <c r="F935" s="1">
        <v>46104</v>
      </c>
      <c r="G935" s="1">
        <v>46134</v>
      </c>
      <c r="H935" t="s">
        <v>689</v>
      </c>
      <c r="I935">
        <v>605</v>
      </c>
      <c r="J935">
        <v>605</v>
      </c>
      <c r="K935">
        <v>0</v>
      </c>
      <c r="L935">
        <v>605</v>
      </c>
      <c r="M935">
        <v>0</v>
      </c>
      <c r="N935">
        <v>0</v>
      </c>
      <c r="O935" s="14">
        <f t="shared" ca="1" si="14"/>
        <v>36</v>
      </c>
      <c r="P935" t="s">
        <v>589</v>
      </c>
    </row>
    <row r="936" spans="1:16" ht="12.75" customHeight="1" x14ac:dyDescent="0.2">
      <c r="A936" t="s">
        <v>604</v>
      </c>
      <c r="B936" t="s">
        <v>651</v>
      </c>
      <c r="C936" t="s">
        <v>451</v>
      </c>
      <c r="D936" t="s">
        <v>807</v>
      </c>
      <c r="E936" t="s">
        <v>399</v>
      </c>
      <c r="F936" s="1">
        <v>46118</v>
      </c>
      <c r="G936" s="1">
        <v>46148</v>
      </c>
      <c r="H936" t="s">
        <v>949</v>
      </c>
      <c r="I936">
        <v>302.5</v>
      </c>
      <c r="J936">
        <v>302.5</v>
      </c>
      <c r="K936">
        <v>302.5</v>
      </c>
      <c r="L936">
        <v>0</v>
      </c>
      <c r="M936">
        <v>0</v>
      </c>
      <c r="N936">
        <v>0</v>
      </c>
      <c r="O936" s="14">
        <f t="shared" ca="1" si="14"/>
        <v>22</v>
      </c>
      <c r="P936" t="s">
        <v>589</v>
      </c>
    </row>
    <row r="937" spans="1:16" ht="12.75" customHeight="1" x14ac:dyDescent="0.2">
      <c r="A937" t="s">
        <v>604</v>
      </c>
      <c r="B937" t="s">
        <v>651</v>
      </c>
      <c r="C937" t="s">
        <v>127</v>
      </c>
      <c r="D937" t="s">
        <v>930</v>
      </c>
      <c r="E937" t="s">
        <v>399</v>
      </c>
      <c r="F937" s="1">
        <v>43951</v>
      </c>
      <c r="G937" s="1">
        <v>43981</v>
      </c>
      <c r="H937" t="s">
        <v>488</v>
      </c>
      <c r="I937">
        <v>1017.91</v>
      </c>
      <c r="J937">
        <v>1017.91</v>
      </c>
      <c r="K937">
        <v>0</v>
      </c>
      <c r="L937">
        <v>0</v>
      </c>
      <c r="M937">
        <v>0</v>
      </c>
      <c r="N937">
        <v>1017.91</v>
      </c>
      <c r="O937" s="14">
        <f t="shared" ca="1" si="14"/>
        <v>2189</v>
      </c>
      <c r="P937" t="s">
        <v>1066</v>
      </c>
    </row>
    <row r="938" spans="1:16" ht="12.75" customHeight="1" x14ac:dyDescent="0.2">
      <c r="A938" t="s">
        <v>604</v>
      </c>
      <c r="B938" t="s">
        <v>651</v>
      </c>
      <c r="C938" t="s">
        <v>213</v>
      </c>
      <c r="D938" t="s">
        <v>762</v>
      </c>
      <c r="E938" t="s">
        <v>399</v>
      </c>
      <c r="F938" s="1">
        <v>44840</v>
      </c>
      <c r="G938" s="1">
        <v>44870</v>
      </c>
      <c r="H938" t="s">
        <v>772</v>
      </c>
      <c r="I938">
        <v>517.28</v>
      </c>
      <c r="J938">
        <v>517.28</v>
      </c>
      <c r="K938">
        <v>0</v>
      </c>
      <c r="L938">
        <v>0</v>
      </c>
      <c r="M938">
        <v>0</v>
      </c>
      <c r="N938">
        <v>517.28</v>
      </c>
      <c r="O938" s="14">
        <f t="shared" ca="1" si="14"/>
        <v>1300</v>
      </c>
      <c r="P938" t="s">
        <v>1066</v>
      </c>
    </row>
    <row r="939" spans="1:16" ht="12.75" customHeight="1" x14ac:dyDescent="0.2">
      <c r="A939" t="s">
        <v>604</v>
      </c>
      <c r="B939" t="s">
        <v>651</v>
      </c>
      <c r="C939" t="s">
        <v>498</v>
      </c>
      <c r="D939" t="s">
        <v>403</v>
      </c>
      <c r="E939" t="s">
        <v>399</v>
      </c>
      <c r="F939" s="1">
        <v>45672</v>
      </c>
      <c r="G939" s="1">
        <v>45702</v>
      </c>
      <c r="H939" t="s">
        <v>993</v>
      </c>
      <c r="I939">
        <v>347.88</v>
      </c>
      <c r="J939">
        <v>347.88</v>
      </c>
      <c r="K939">
        <v>0</v>
      </c>
      <c r="L939">
        <v>0</v>
      </c>
      <c r="M939">
        <v>0</v>
      </c>
      <c r="N939">
        <v>347.88</v>
      </c>
      <c r="O939" s="14">
        <f t="shared" ca="1" si="14"/>
        <v>468</v>
      </c>
      <c r="P939" t="s">
        <v>589</v>
      </c>
    </row>
    <row r="940" spans="1:16" ht="12.75" customHeight="1" x14ac:dyDescent="0.2">
      <c r="A940" t="s">
        <v>604</v>
      </c>
      <c r="B940" t="s">
        <v>651</v>
      </c>
      <c r="C940" t="s">
        <v>498</v>
      </c>
      <c r="D940" t="s">
        <v>403</v>
      </c>
      <c r="E940" t="s">
        <v>399</v>
      </c>
      <c r="F940" s="1">
        <v>45672</v>
      </c>
      <c r="G940" s="1">
        <v>45702</v>
      </c>
      <c r="H940" t="s">
        <v>885</v>
      </c>
      <c r="I940">
        <v>60.5</v>
      </c>
      <c r="J940">
        <v>60.5</v>
      </c>
      <c r="K940">
        <v>0</v>
      </c>
      <c r="L940">
        <v>0</v>
      </c>
      <c r="M940">
        <v>0</v>
      </c>
      <c r="N940">
        <v>60.5</v>
      </c>
      <c r="O940" s="14">
        <f t="shared" ca="1" si="14"/>
        <v>468</v>
      </c>
      <c r="P940" t="s">
        <v>589</v>
      </c>
    </row>
    <row r="941" spans="1:16" ht="12.75" customHeight="1" x14ac:dyDescent="0.2">
      <c r="A941" t="s">
        <v>604</v>
      </c>
      <c r="B941" t="s">
        <v>651</v>
      </c>
      <c r="C941" t="s">
        <v>498</v>
      </c>
      <c r="D941" t="s">
        <v>403</v>
      </c>
      <c r="E941" t="s">
        <v>399</v>
      </c>
      <c r="F941" s="1">
        <v>45672</v>
      </c>
      <c r="G941" s="1">
        <v>45702</v>
      </c>
      <c r="H941" t="s">
        <v>1262</v>
      </c>
      <c r="I941">
        <v>121</v>
      </c>
      <c r="J941">
        <v>121</v>
      </c>
      <c r="K941">
        <v>0</v>
      </c>
      <c r="L941">
        <v>0</v>
      </c>
      <c r="M941">
        <v>0</v>
      </c>
      <c r="N941">
        <v>121</v>
      </c>
      <c r="O941" s="14">
        <f t="shared" ca="1" si="14"/>
        <v>468</v>
      </c>
      <c r="P941" t="s">
        <v>589</v>
      </c>
    </row>
    <row r="942" spans="1:16" ht="12.75" customHeight="1" x14ac:dyDescent="0.2">
      <c r="A942" t="s">
        <v>604</v>
      </c>
      <c r="B942" t="s">
        <v>651</v>
      </c>
      <c r="C942" t="s">
        <v>498</v>
      </c>
      <c r="D942" t="s">
        <v>403</v>
      </c>
      <c r="E942" t="s">
        <v>399</v>
      </c>
      <c r="F942" s="1">
        <v>45782</v>
      </c>
      <c r="G942" s="1">
        <v>45812</v>
      </c>
      <c r="H942" t="s">
        <v>385</v>
      </c>
      <c r="I942">
        <v>347.88</v>
      </c>
      <c r="J942">
        <v>347.88</v>
      </c>
      <c r="K942">
        <v>0</v>
      </c>
      <c r="L942">
        <v>0</v>
      </c>
      <c r="M942">
        <v>0</v>
      </c>
      <c r="N942">
        <v>347.88</v>
      </c>
      <c r="O942" s="14">
        <f t="shared" ca="1" si="14"/>
        <v>358</v>
      </c>
      <c r="P942" t="s">
        <v>589</v>
      </c>
    </row>
    <row r="943" spans="1:16" ht="12.75" customHeight="1" x14ac:dyDescent="0.2">
      <c r="A943" t="s">
        <v>604</v>
      </c>
      <c r="B943" t="s">
        <v>651</v>
      </c>
      <c r="C943" t="s">
        <v>498</v>
      </c>
      <c r="D943" t="s">
        <v>403</v>
      </c>
      <c r="E943" t="s">
        <v>399</v>
      </c>
      <c r="F943" s="1">
        <v>45782</v>
      </c>
      <c r="G943" s="1">
        <v>45812</v>
      </c>
      <c r="H943" t="s">
        <v>437</v>
      </c>
      <c r="I943">
        <v>121</v>
      </c>
      <c r="J943">
        <v>121</v>
      </c>
      <c r="K943">
        <v>0</v>
      </c>
      <c r="L943">
        <v>0</v>
      </c>
      <c r="M943">
        <v>0</v>
      </c>
      <c r="N943">
        <v>121</v>
      </c>
      <c r="O943" s="14">
        <f t="shared" ca="1" si="14"/>
        <v>358</v>
      </c>
      <c r="P943" t="s">
        <v>589</v>
      </c>
    </row>
    <row r="944" spans="1:16" ht="12.75" customHeight="1" x14ac:dyDescent="0.2">
      <c r="A944" t="s">
        <v>604</v>
      </c>
      <c r="B944" t="s">
        <v>651</v>
      </c>
      <c r="C944" t="s">
        <v>498</v>
      </c>
      <c r="D944" t="s">
        <v>403</v>
      </c>
      <c r="E944" t="s">
        <v>399</v>
      </c>
      <c r="F944" s="1">
        <v>45782</v>
      </c>
      <c r="G944" s="1">
        <v>45812</v>
      </c>
      <c r="H944" t="s">
        <v>434</v>
      </c>
      <c r="I944">
        <v>60.5</v>
      </c>
      <c r="J944">
        <v>60.5</v>
      </c>
      <c r="K944">
        <v>0</v>
      </c>
      <c r="L944">
        <v>0</v>
      </c>
      <c r="M944">
        <v>0</v>
      </c>
      <c r="N944">
        <v>60.5</v>
      </c>
      <c r="O944" s="14">
        <f t="shared" ca="1" si="14"/>
        <v>358</v>
      </c>
      <c r="P944" t="s">
        <v>589</v>
      </c>
    </row>
    <row r="945" spans="1:16" ht="12.75" customHeight="1" x14ac:dyDescent="0.2">
      <c r="A945" t="s">
        <v>604</v>
      </c>
      <c r="B945" t="s">
        <v>651</v>
      </c>
      <c r="C945" t="s">
        <v>498</v>
      </c>
      <c r="D945" t="s">
        <v>403</v>
      </c>
      <c r="E945" t="s">
        <v>399</v>
      </c>
      <c r="F945" s="1">
        <v>45789</v>
      </c>
      <c r="G945" s="1">
        <v>45819</v>
      </c>
      <c r="H945" t="s">
        <v>1235</v>
      </c>
      <c r="I945">
        <v>1323.44</v>
      </c>
      <c r="J945">
        <v>1323.44</v>
      </c>
      <c r="K945">
        <v>0</v>
      </c>
      <c r="L945">
        <v>0</v>
      </c>
      <c r="M945">
        <v>0</v>
      </c>
      <c r="N945">
        <v>1323.44</v>
      </c>
      <c r="O945" s="14">
        <f t="shared" ca="1" si="14"/>
        <v>351</v>
      </c>
      <c r="P945" t="s">
        <v>589</v>
      </c>
    </row>
    <row r="946" spans="1:16" ht="12.75" customHeight="1" x14ac:dyDescent="0.2">
      <c r="A946" t="s">
        <v>604</v>
      </c>
      <c r="B946" t="s">
        <v>651</v>
      </c>
      <c r="C946" t="s">
        <v>498</v>
      </c>
      <c r="D946" t="s">
        <v>403</v>
      </c>
      <c r="E946" t="s">
        <v>399</v>
      </c>
      <c r="F946" s="1">
        <v>45810</v>
      </c>
      <c r="G946" s="1">
        <v>45840</v>
      </c>
      <c r="H946" t="s">
        <v>787</v>
      </c>
      <c r="I946">
        <v>347.88</v>
      </c>
      <c r="J946">
        <v>347.88</v>
      </c>
      <c r="K946">
        <v>0</v>
      </c>
      <c r="L946">
        <v>0</v>
      </c>
      <c r="M946">
        <v>0</v>
      </c>
      <c r="N946">
        <v>347.88</v>
      </c>
      <c r="O946" s="14">
        <f t="shared" ca="1" si="14"/>
        <v>330</v>
      </c>
      <c r="P946" t="s">
        <v>589</v>
      </c>
    </row>
    <row r="947" spans="1:16" ht="12.75" customHeight="1" x14ac:dyDescent="0.2">
      <c r="A947" t="s">
        <v>604</v>
      </c>
      <c r="B947" t="s">
        <v>651</v>
      </c>
      <c r="C947" t="s">
        <v>498</v>
      </c>
      <c r="D947" t="s">
        <v>403</v>
      </c>
      <c r="E947" t="s">
        <v>399</v>
      </c>
      <c r="F947" s="1">
        <v>45810</v>
      </c>
      <c r="G947" s="1">
        <v>45840</v>
      </c>
      <c r="H947" t="s">
        <v>1157</v>
      </c>
      <c r="I947">
        <v>121</v>
      </c>
      <c r="J947">
        <v>121</v>
      </c>
      <c r="K947">
        <v>0</v>
      </c>
      <c r="L947">
        <v>0</v>
      </c>
      <c r="M947">
        <v>0</v>
      </c>
      <c r="N947">
        <v>121</v>
      </c>
      <c r="O947" s="14">
        <f t="shared" ca="1" si="14"/>
        <v>330</v>
      </c>
      <c r="P947" t="s">
        <v>589</v>
      </c>
    </row>
    <row r="948" spans="1:16" ht="12.75" customHeight="1" x14ac:dyDescent="0.2">
      <c r="A948" t="s">
        <v>604</v>
      </c>
      <c r="B948" t="s">
        <v>651</v>
      </c>
      <c r="C948" t="s">
        <v>498</v>
      </c>
      <c r="D948" t="s">
        <v>403</v>
      </c>
      <c r="E948" t="s">
        <v>399</v>
      </c>
      <c r="F948" s="1">
        <v>45810</v>
      </c>
      <c r="G948" s="1">
        <v>45840</v>
      </c>
      <c r="H948" t="s">
        <v>1146</v>
      </c>
      <c r="I948">
        <v>60.5</v>
      </c>
      <c r="J948">
        <v>60.5</v>
      </c>
      <c r="K948">
        <v>0</v>
      </c>
      <c r="L948">
        <v>0</v>
      </c>
      <c r="M948">
        <v>0</v>
      </c>
      <c r="N948">
        <v>60.5</v>
      </c>
      <c r="O948" s="14">
        <f t="shared" ca="1" si="14"/>
        <v>330</v>
      </c>
      <c r="P948" t="s">
        <v>589</v>
      </c>
    </row>
    <row r="949" spans="1:16" ht="12.75" customHeight="1" x14ac:dyDescent="0.2">
      <c r="A949" t="s">
        <v>604</v>
      </c>
      <c r="B949" t="s">
        <v>651</v>
      </c>
      <c r="C949" t="s">
        <v>498</v>
      </c>
      <c r="D949" t="s">
        <v>403</v>
      </c>
      <c r="E949" t="s">
        <v>399</v>
      </c>
      <c r="F949" s="1">
        <v>45839</v>
      </c>
      <c r="G949" s="1">
        <v>45869</v>
      </c>
      <c r="H949" t="s">
        <v>648</v>
      </c>
      <c r="I949">
        <v>347.88</v>
      </c>
      <c r="J949">
        <v>347.88</v>
      </c>
      <c r="K949">
        <v>0</v>
      </c>
      <c r="L949">
        <v>0</v>
      </c>
      <c r="M949">
        <v>0</v>
      </c>
      <c r="N949">
        <v>347.88</v>
      </c>
      <c r="O949" s="14">
        <f t="shared" ca="1" si="14"/>
        <v>301</v>
      </c>
      <c r="P949" t="s">
        <v>589</v>
      </c>
    </row>
    <row r="950" spans="1:16" ht="12.75" customHeight="1" x14ac:dyDescent="0.2">
      <c r="A950" t="s">
        <v>604</v>
      </c>
      <c r="B950" t="s">
        <v>651</v>
      </c>
      <c r="C950" t="s">
        <v>498</v>
      </c>
      <c r="D950" t="s">
        <v>403</v>
      </c>
      <c r="E950" t="s">
        <v>399</v>
      </c>
      <c r="F950" s="1">
        <v>45839</v>
      </c>
      <c r="G950" s="1">
        <v>45869</v>
      </c>
      <c r="H950" t="s">
        <v>1292</v>
      </c>
      <c r="I950">
        <v>121</v>
      </c>
      <c r="J950">
        <v>121</v>
      </c>
      <c r="K950">
        <v>0</v>
      </c>
      <c r="L950">
        <v>0</v>
      </c>
      <c r="M950">
        <v>0</v>
      </c>
      <c r="N950">
        <v>121</v>
      </c>
      <c r="O950" s="14">
        <f t="shared" ca="1" si="14"/>
        <v>301</v>
      </c>
      <c r="P950" t="s">
        <v>589</v>
      </c>
    </row>
    <row r="951" spans="1:16" ht="12.75" customHeight="1" x14ac:dyDescent="0.2">
      <c r="A951" t="s">
        <v>604</v>
      </c>
      <c r="B951" t="s">
        <v>651</v>
      </c>
      <c r="C951" t="s">
        <v>498</v>
      </c>
      <c r="D951" t="s">
        <v>403</v>
      </c>
      <c r="E951" t="s">
        <v>399</v>
      </c>
      <c r="F951" s="1">
        <v>45839</v>
      </c>
      <c r="G951" s="1">
        <v>45869</v>
      </c>
      <c r="H951" t="s">
        <v>1276</v>
      </c>
      <c r="I951">
        <v>60.5</v>
      </c>
      <c r="J951">
        <v>60.5</v>
      </c>
      <c r="K951">
        <v>0</v>
      </c>
      <c r="L951">
        <v>0</v>
      </c>
      <c r="M951">
        <v>0</v>
      </c>
      <c r="N951">
        <v>60.5</v>
      </c>
      <c r="O951" s="14">
        <f t="shared" ca="1" si="14"/>
        <v>301</v>
      </c>
      <c r="P951" t="s">
        <v>589</v>
      </c>
    </row>
    <row r="952" spans="1:16" ht="12.75" customHeight="1" x14ac:dyDescent="0.2">
      <c r="A952" t="s">
        <v>604</v>
      </c>
      <c r="B952" t="s">
        <v>651</v>
      </c>
      <c r="C952" t="s">
        <v>498</v>
      </c>
      <c r="D952" t="s">
        <v>403</v>
      </c>
      <c r="E952" t="s">
        <v>399</v>
      </c>
      <c r="F952" s="1">
        <v>45873</v>
      </c>
      <c r="G952" s="1">
        <v>45903</v>
      </c>
      <c r="H952" t="s">
        <v>1110</v>
      </c>
      <c r="I952">
        <v>347.88</v>
      </c>
      <c r="J952">
        <v>347.88</v>
      </c>
      <c r="K952">
        <v>0</v>
      </c>
      <c r="L952">
        <v>0</v>
      </c>
      <c r="M952">
        <v>0</v>
      </c>
      <c r="N952">
        <v>347.88</v>
      </c>
      <c r="O952" s="14">
        <f t="shared" ca="1" si="14"/>
        <v>267</v>
      </c>
      <c r="P952" t="s">
        <v>589</v>
      </c>
    </row>
    <row r="953" spans="1:16" ht="12.75" customHeight="1" x14ac:dyDescent="0.2">
      <c r="A953" t="s">
        <v>604</v>
      </c>
      <c r="B953" t="s">
        <v>651</v>
      </c>
      <c r="C953" t="s">
        <v>498</v>
      </c>
      <c r="D953" t="s">
        <v>403</v>
      </c>
      <c r="E953" t="s">
        <v>399</v>
      </c>
      <c r="F953" s="1">
        <v>45873</v>
      </c>
      <c r="G953" s="1">
        <v>45903</v>
      </c>
      <c r="H953" t="s">
        <v>84</v>
      </c>
      <c r="I953">
        <v>60.5</v>
      </c>
      <c r="J953">
        <v>60.5</v>
      </c>
      <c r="K953">
        <v>0</v>
      </c>
      <c r="L953">
        <v>0</v>
      </c>
      <c r="M953">
        <v>0</v>
      </c>
      <c r="N953">
        <v>60.5</v>
      </c>
      <c r="O953" s="14">
        <f t="shared" ca="1" si="14"/>
        <v>267</v>
      </c>
      <c r="P953" t="s">
        <v>589</v>
      </c>
    </row>
    <row r="954" spans="1:16" ht="12.75" customHeight="1" x14ac:dyDescent="0.2">
      <c r="A954" t="s">
        <v>604</v>
      </c>
      <c r="B954" t="s">
        <v>651</v>
      </c>
      <c r="C954" t="s">
        <v>498</v>
      </c>
      <c r="D954" t="s">
        <v>403</v>
      </c>
      <c r="E954" t="s">
        <v>399</v>
      </c>
      <c r="F954" s="1">
        <v>45873</v>
      </c>
      <c r="G954" s="1">
        <v>45903</v>
      </c>
      <c r="H954" t="s">
        <v>544</v>
      </c>
      <c r="I954">
        <v>121</v>
      </c>
      <c r="J954">
        <v>121</v>
      </c>
      <c r="K954">
        <v>0</v>
      </c>
      <c r="L954">
        <v>0</v>
      </c>
      <c r="M954">
        <v>0</v>
      </c>
      <c r="N954">
        <v>121</v>
      </c>
      <c r="O954" s="14">
        <f t="shared" ca="1" si="14"/>
        <v>267</v>
      </c>
      <c r="P954" t="s">
        <v>589</v>
      </c>
    </row>
    <row r="955" spans="1:16" ht="12.75" customHeight="1" x14ac:dyDescent="0.2">
      <c r="A955" t="s">
        <v>604</v>
      </c>
      <c r="B955" t="s">
        <v>651</v>
      </c>
      <c r="C955" t="s">
        <v>498</v>
      </c>
      <c r="D955" t="s">
        <v>403</v>
      </c>
      <c r="E955" t="s">
        <v>399</v>
      </c>
      <c r="F955" s="1">
        <v>45901</v>
      </c>
      <c r="G955" s="1">
        <v>45931</v>
      </c>
      <c r="H955" t="s">
        <v>1055</v>
      </c>
      <c r="I955">
        <v>347.88</v>
      </c>
      <c r="J955">
        <v>347.88</v>
      </c>
      <c r="K955">
        <v>0</v>
      </c>
      <c r="L955">
        <v>0</v>
      </c>
      <c r="M955">
        <v>0</v>
      </c>
      <c r="N955">
        <v>347.88</v>
      </c>
      <c r="O955" s="14">
        <f t="shared" ca="1" si="14"/>
        <v>239</v>
      </c>
      <c r="P955" t="s">
        <v>589</v>
      </c>
    </row>
    <row r="956" spans="1:16" ht="12.75" customHeight="1" x14ac:dyDescent="0.2">
      <c r="A956" t="s">
        <v>604</v>
      </c>
      <c r="B956" t="s">
        <v>651</v>
      </c>
      <c r="C956" t="s">
        <v>498</v>
      </c>
      <c r="D956" t="s">
        <v>403</v>
      </c>
      <c r="E956" t="s">
        <v>399</v>
      </c>
      <c r="F956" s="1">
        <v>45901</v>
      </c>
      <c r="G956" s="1">
        <v>45931</v>
      </c>
      <c r="H956" t="s">
        <v>672</v>
      </c>
      <c r="I956">
        <v>60.5</v>
      </c>
      <c r="J956">
        <v>60.5</v>
      </c>
      <c r="K956">
        <v>0</v>
      </c>
      <c r="L956">
        <v>0</v>
      </c>
      <c r="M956">
        <v>0</v>
      </c>
      <c r="N956">
        <v>60.5</v>
      </c>
      <c r="O956" s="14">
        <f t="shared" ca="1" si="14"/>
        <v>239</v>
      </c>
      <c r="P956" t="s">
        <v>589</v>
      </c>
    </row>
    <row r="957" spans="1:16" ht="12.75" customHeight="1" x14ac:dyDescent="0.2">
      <c r="A957" t="s">
        <v>604</v>
      </c>
      <c r="B957" t="s">
        <v>651</v>
      </c>
      <c r="C957" t="s">
        <v>498</v>
      </c>
      <c r="D957" t="s">
        <v>403</v>
      </c>
      <c r="E957" t="s">
        <v>399</v>
      </c>
      <c r="F957" s="1">
        <v>45901</v>
      </c>
      <c r="G957" s="1">
        <v>45931</v>
      </c>
      <c r="H957" t="s">
        <v>1178</v>
      </c>
      <c r="I957">
        <v>121</v>
      </c>
      <c r="J957">
        <v>121</v>
      </c>
      <c r="K957">
        <v>0</v>
      </c>
      <c r="L957">
        <v>0</v>
      </c>
      <c r="M957">
        <v>0</v>
      </c>
      <c r="N957">
        <v>121</v>
      </c>
      <c r="O957" s="14">
        <f t="shared" ca="1" si="14"/>
        <v>239</v>
      </c>
      <c r="P957" t="s">
        <v>589</v>
      </c>
    </row>
    <row r="958" spans="1:16" ht="12.75" customHeight="1" x14ac:dyDescent="0.2">
      <c r="A958" t="s">
        <v>604</v>
      </c>
      <c r="B958" t="s">
        <v>651</v>
      </c>
      <c r="C958" t="s">
        <v>498</v>
      </c>
      <c r="D958" t="s">
        <v>403</v>
      </c>
      <c r="E958" t="s">
        <v>399</v>
      </c>
      <c r="F958" s="1">
        <v>45936</v>
      </c>
      <c r="G958" s="1">
        <v>45966</v>
      </c>
      <c r="H958" t="s">
        <v>358</v>
      </c>
      <c r="I958">
        <v>347.88</v>
      </c>
      <c r="J958">
        <v>347.88</v>
      </c>
      <c r="K958">
        <v>0</v>
      </c>
      <c r="L958">
        <v>0</v>
      </c>
      <c r="M958">
        <v>0</v>
      </c>
      <c r="N958">
        <v>347.88</v>
      </c>
      <c r="O958" s="14">
        <f t="shared" ca="1" si="14"/>
        <v>204</v>
      </c>
      <c r="P958" t="s">
        <v>589</v>
      </c>
    </row>
    <row r="959" spans="1:16" ht="12.75" customHeight="1" x14ac:dyDescent="0.2">
      <c r="A959" t="s">
        <v>604</v>
      </c>
      <c r="B959" t="s">
        <v>651</v>
      </c>
      <c r="C959" t="s">
        <v>498</v>
      </c>
      <c r="D959" t="s">
        <v>403</v>
      </c>
      <c r="E959" t="s">
        <v>399</v>
      </c>
      <c r="F959" s="1">
        <v>45936</v>
      </c>
      <c r="G959" s="1">
        <v>45966</v>
      </c>
      <c r="H959" t="s">
        <v>357</v>
      </c>
      <c r="I959">
        <v>60.5</v>
      </c>
      <c r="J959">
        <v>60.5</v>
      </c>
      <c r="K959">
        <v>0</v>
      </c>
      <c r="L959">
        <v>0</v>
      </c>
      <c r="M959">
        <v>0</v>
      </c>
      <c r="N959">
        <v>60.5</v>
      </c>
      <c r="O959" s="14">
        <f t="shared" ca="1" si="14"/>
        <v>204</v>
      </c>
      <c r="P959" t="s">
        <v>589</v>
      </c>
    </row>
    <row r="960" spans="1:16" ht="12.75" customHeight="1" x14ac:dyDescent="0.2">
      <c r="A960" t="s">
        <v>604</v>
      </c>
      <c r="B960" t="s">
        <v>651</v>
      </c>
      <c r="C960" t="s">
        <v>498</v>
      </c>
      <c r="D960" t="s">
        <v>403</v>
      </c>
      <c r="E960" t="s">
        <v>399</v>
      </c>
      <c r="F960" s="1">
        <v>45936</v>
      </c>
      <c r="G960" s="1">
        <v>45966</v>
      </c>
      <c r="H960" t="s">
        <v>973</v>
      </c>
      <c r="I960">
        <v>121</v>
      </c>
      <c r="J960">
        <v>121</v>
      </c>
      <c r="K960">
        <v>0</v>
      </c>
      <c r="L960">
        <v>0</v>
      </c>
      <c r="M960">
        <v>0</v>
      </c>
      <c r="N960">
        <v>121</v>
      </c>
      <c r="O960" s="14">
        <f t="shared" ca="1" si="14"/>
        <v>204</v>
      </c>
      <c r="P960" t="s">
        <v>589</v>
      </c>
    </row>
    <row r="961" spans="1:16" ht="12.75" customHeight="1" x14ac:dyDescent="0.2">
      <c r="A961" t="s">
        <v>604</v>
      </c>
      <c r="B961" t="s">
        <v>651</v>
      </c>
      <c r="C961" t="s">
        <v>498</v>
      </c>
      <c r="D961" t="s">
        <v>403</v>
      </c>
      <c r="E961" t="s">
        <v>399</v>
      </c>
      <c r="F961" s="1">
        <v>45966</v>
      </c>
      <c r="G961" s="1">
        <v>45996</v>
      </c>
      <c r="H961" t="s">
        <v>842</v>
      </c>
      <c r="I961">
        <v>347.88</v>
      </c>
      <c r="J961">
        <v>347.88</v>
      </c>
      <c r="K961">
        <v>0</v>
      </c>
      <c r="L961">
        <v>0</v>
      </c>
      <c r="M961">
        <v>0</v>
      </c>
      <c r="N961">
        <v>347.88</v>
      </c>
      <c r="O961" s="14">
        <f t="shared" ca="1" si="14"/>
        <v>174</v>
      </c>
      <c r="P961" t="s">
        <v>589</v>
      </c>
    </row>
    <row r="962" spans="1:16" ht="12.75" customHeight="1" x14ac:dyDescent="0.2">
      <c r="A962" t="s">
        <v>604</v>
      </c>
      <c r="B962" t="s">
        <v>651</v>
      </c>
      <c r="C962" t="s">
        <v>498</v>
      </c>
      <c r="D962" t="s">
        <v>403</v>
      </c>
      <c r="E962" t="s">
        <v>399</v>
      </c>
      <c r="F962" s="1">
        <v>45966</v>
      </c>
      <c r="G962" s="1">
        <v>45996</v>
      </c>
      <c r="H962" t="s">
        <v>601</v>
      </c>
      <c r="I962">
        <v>60.5</v>
      </c>
      <c r="J962">
        <v>60.5</v>
      </c>
      <c r="K962">
        <v>0</v>
      </c>
      <c r="L962">
        <v>0</v>
      </c>
      <c r="M962">
        <v>0</v>
      </c>
      <c r="N962">
        <v>60.5</v>
      </c>
      <c r="O962" s="14">
        <f t="shared" ca="1" si="14"/>
        <v>174</v>
      </c>
      <c r="P962" t="s">
        <v>589</v>
      </c>
    </row>
    <row r="963" spans="1:16" ht="12.75" customHeight="1" x14ac:dyDescent="0.2">
      <c r="A963" t="s">
        <v>604</v>
      </c>
      <c r="B963" t="s">
        <v>651</v>
      </c>
      <c r="C963" t="s">
        <v>498</v>
      </c>
      <c r="D963" t="s">
        <v>403</v>
      </c>
      <c r="E963" t="s">
        <v>399</v>
      </c>
      <c r="F963" s="1">
        <v>45966</v>
      </c>
      <c r="G963" s="1">
        <v>45996</v>
      </c>
      <c r="H963" t="s">
        <v>1045</v>
      </c>
      <c r="I963">
        <v>121</v>
      </c>
      <c r="J963">
        <v>121</v>
      </c>
      <c r="K963">
        <v>0</v>
      </c>
      <c r="L963">
        <v>0</v>
      </c>
      <c r="M963">
        <v>0</v>
      </c>
      <c r="N963">
        <v>121</v>
      </c>
      <c r="O963" s="14">
        <f t="shared" ref="O963:O1026" ca="1" si="15">TODAY()-G963</f>
        <v>174</v>
      </c>
      <c r="P963" t="s">
        <v>589</v>
      </c>
    </row>
    <row r="964" spans="1:16" ht="12.75" customHeight="1" x14ac:dyDescent="0.2">
      <c r="A964" t="s">
        <v>604</v>
      </c>
      <c r="B964" t="s">
        <v>651</v>
      </c>
      <c r="C964" t="s">
        <v>498</v>
      </c>
      <c r="D964" t="s">
        <v>403</v>
      </c>
      <c r="E964" t="s">
        <v>399</v>
      </c>
      <c r="F964" s="1">
        <v>45993</v>
      </c>
      <c r="G964" s="1">
        <v>46023</v>
      </c>
      <c r="H964" t="s">
        <v>1140</v>
      </c>
      <c r="I964">
        <v>121</v>
      </c>
      <c r="J964">
        <v>121</v>
      </c>
      <c r="K964">
        <v>0</v>
      </c>
      <c r="L964">
        <v>0</v>
      </c>
      <c r="M964">
        <v>0</v>
      </c>
      <c r="N964">
        <v>121</v>
      </c>
      <c r="O964" s="14">
        <f t="shared" ca="1" si="15"/>
        <v>147</v>
      </c>
      <c r="P964" t="s">
        <v>589</v>
      </c>
    </row>
    <row r="965" spans="1:16" ht="12.75" customHeight="1" x14ac:dyDescent="0.2">
      <c r="A965" t="s">
        <v>604</v>
      </c>
      <c r="B965" t="s">
        <v>651</v>
      </c>
      <c r="C965" t="s">
        <v>498</v>
      </c>
      <c r="D965" t="s">
        <v>403</v>
      </c>
      <c r="E965" t="s">
        <v>399</v>
      </c>
      <c r="F965" s="1">
        <v>45993</v>
      </c>
      <c r="G965" s="1">
        <v>46023</v>
      </c>
      <c r="H965" t="s">
        <v>742</v>
      </c>
      <c r="I965">
        <v>60.5</v>
      </c>
      <c r="J965">
        <v>60.5</v>
      </c>
      <c r="K965">
        <v>0</v>
      </c>
      <c r="L965">
        <v>0</v>
      </c>
      <c r="M965">
        <v>0</v>
      </c>
      <c r="N965">
        <v>60.5</v>
      </c>
      <c r="O965" s="14">
        <f t="shared" ca="1" si="15"/>
        <v>147</v>
      </c>
      <c r="P965" t="s">
        <v>589</v>
      </c>
    </row>
    <row r="966" spans="1:16" ht="12.75" customHeight="1" x14ac:dyDescent="0.2">
      <c r="A966" t="s">
        <v>604</v>
      </c>
      <c r="B966" t="s">
        <v>651</v>
      </c>
      <c r="C966" t="s">
        <v>498</v>
      </c>
      <c r="D966" t="s">
        <v>403</v>
      </c>
      <c r="E966" t="s">
        <v>399</v>
      </c>
      <c r="F966" s="1">
        <v>45993</v>
      </c>
      <c r="G966" s="1">
        <v>46023</v>
      </c>
      <c r="H966" t="s">
        <v>203</v>
      </c>
      <c r="I966">
        <v>347.88</v>
      </c>
      <c r="J966">
        <v>347.88</v>
      </c>
      <c r="K966">
        <v>0</v>
      </c>
      <c r="L966">
        <v>0</v>
      </c>
      <c r="M966">
        <v>0</v>
      </c>
      <c r="N966">
        <v>347.88</v>
      </c>
      <c r="O966" s="14">
        <f t="shared" ca="1" si="15"/>
        <v>147</v>
      </c>
      <c r="P966" t="s">
        <v>589</v>
      </c>
    </row>
    <row r="967" spans="1:16" ht="12.75" customHeight="1" x14ac:dyDescent="0.2">
      <c r="A967" t="s">
        <v>604</v>
      </c>
      <c r="B967" t="s">
        <v>651</v>
      </c>
      <c r="C967" t="s">
        <v>498</v>
      </c>
      <c r="D967" t="s">
        <v>403</v>
      </c>
      <c r="E967" t="s">
        <v>399</v>
      </c>
      <c r="F967" s="1">
        <v>46030</v>
      </c>
      <c r="G967" s="1">
        <v>46060</v>
      </c>
      <c r="H967" t="s">
        <v>1287</v>
      </c>
      <c r="I967">
        <v>347.88</v>
      </c>
      <c r="J967">
        <v>347.88</v>
      </c>
      <c r="K967">
        <v>0</v>
      </c>
      <c r="L967">
        <v>0</v>
      </c>
      <c r="M967">
        <v>0</v>
      </c>
      <c r="N967">
        <v>347.88</v>
      </c>
      <c r="O967" s="14">
        <f t="shared" ca="1" si="15"/>
        <v>110</v>
      </c>
      <c r="P967" t="s">
        <v>589</v>
      </c>
    </row>
    <row r="968" spans="1:16" ht="12.75" customHeight="1" x14ac:dyDescent="0.2">
      <c r="A968" t="s">
        <v>604</v>
      </c>
      <c r="B968" t="s">
        <v>651</v>
      </c>
      <c r="C968" t="s">
        <v>498</v>
      </c>
      <c r="D968" t="s">
        <v>403</v>
      </c>
      <c r="E968" t="s">
        <v>399</v>
      </c>
      <c r="F968" s="1">
        <v>46030</v>
      </c>
      <c r="G968" s="1">
        <v>46060</v>
      </c>
      <c r="H968" t="s">
        <v>1220</v>
      </c>
      <c r="I968">
        <v>60.5</v>
      </c>
      <c r="J968">
        <v>60.5</v>
      </c>
      <c r="K968">
        <v>0</v>
      </c>
      <c r="L968">
        <v>0</v>
      </c>
      <c r="M968">
        <v>0</v>
      </c>
      <c r="N968">
        <v>60.5</v>
      </c>
      <c r="O968" s="14">
        <f t="shared" ca="1" si="15"/>
        <v>110</v>
      </c>
      <c r="P968" t="s">
        <v>589</v>
      </c>
    </row>
    <row r="969" spans="1:16" ht="12.75" customHeight="1" x14ac:dyDescent="0.2">
      <c r="A969" t="s">
        <v>604</v>
      </c>
      <c r="B969" t="s">
        <v>651</v>
      </c>
      <c r="C969" t="s">
        <v>498</v>
      </c>
      <c r="D969" t="s">
        <v>403</v>
      </c>
      <c r="E969" t="s">
        <v>399</v>
      </c>
      <c r="F969" s="1">
        <v>46030</v>
      </c>
      <c r="G969" s="1">
        <v>46060</v>
      </c>
      <c r="H969" t="s">
        <v>205</v>
      </c>
      <c r="I969">
        <v>121</v>
      </c>
      <c r="J969">
        <v>121</v>
      </c>
      <c r="K969">
        <v>0</v>
      </c>
      <c r="L969">
        <v>0</v>
      </c>
      <c r="M969">
        <v>0</v>
      </c>
      <c r="N969">
        <v>121</v>
      </c>
      <c r="O969" s="14">
        <f t="shared" ca="1" si="15"/>
        <v>110</v>
      </c>
      <c r="P969" t="s">
        <v>589</v>
      </c>
    </row>
    <row r="970" spans="1:16" ht="12.75" customHeight="1" x14ac:dyDescent="0.2">
      <c r="A970" t="s">
        <v>604</v>
      </c>
      <c r="B970" t="s">
        <v>651</v>
      </c>
      <c r="C970" t="s">
        <v>498</v>
      </c>
      <c r="D970" t="s">
        <v>403</v>
      </c>
      <c r="E970" t="s">
        <v>399</v>
      </c>
      <c r="F970" s="1">
        <v>46055</v>
      </c>
      <c r="G970" s="1">
        <v>46085</v>
      </c>
      <c r="H970" t="s">
        <v>1035</v>
      </c>
      <c r="I970">
        <v>121</v>
      </c>
      <c r="J970">
        <v>121</v>
      </c>
      <c r="K970">
        <v>0</v>
      </c>
      <c r="L970">
        <v>0</v>
      </c>
      <c r="M970">
        <v>121</v>
      </c>
      <c r="N970">
        <v>0</v>
      </c>
      <c r="O970" s="14">
        <f t="shared" ca="1" si="15"/>
        <v>85</v>
      </c>
      <c r="P970" t="s">
        <v>589</v>
      </c>
    </row>
    <row r="971" spans="1:16" ht="12.75" customHeight="1" x14ac:dyDescent="0.2">
      <c r="A971" t="s">
        <v>604</v>
      </c>
      <c r="B971" t="s">
        <v>651</v>
      </c>
      <c r="C971" t="s">
        <v>498</v>
      </c>
      <c r="D971" t="s">
        <v>403</v>
      </c>
      <c r="E971" t="s">
        <v>399</v>
      </c>
      <c r="F971" s="1">
        <v>46055</v>
      </c>
      <c r="G971" s="1">
        <v>46085</v>
      </c>
      <c r="H971" t="s">
        <v>1095</v>
      </c>
      <c r="I971">
        <v>60.5</v>
      </c>
      <c r="J971">
        <v>60.5</v>
      </c>
      <c r="K971">
        <v>0</v>
      </c>
      <c r="L971">
        <v>0</v>
      </c>
      <c r="M971">
        <v>60.5</v>
      </c>
      <c r="N971">
        <v>0</v>
      </c>
      <c r="O971" s="14">
        <f t="shared" ca="1" si="15"/>
        <v>85</v>
      </c>
      <c r="P971" t="s">
        <v>589</v>
      </c>
    </row>
    <row r="972" spans="1:16" ht="12.75" customHeight="1" x14ac:dyDescent="0.2">
      <c r="A972" t="s">
        <v>604</v>
      </c>
      <c r="B972" t="s">
        <v>651</v>
      </c>
      <c r="C972" t="s">
        <v>498</v>
      </c>
      <c r="D972" t="s">
        <v>403</v>
      </c>
      <c r="E972" t="s">
        <v>399</v>
      </c>
      <c r="F972" s="1">
        <v>46055</v>
      </c>
      <c r="G972" s="1">
        <v>46085</v>
      </c>
      <c r="H972" t="s">
        <v>1239</v>
      </c>
      <c r="I972">
        <v>347.88</v>
      </c>
      <c r="J972">
        <v>347.88</v>
      </c>
      <c r="K972">
        <v>0</v>
      </c>
      <c r="L972">
        <v>0</v>
      </c>
      <c r="M972">
        <v>347.88</v>
      </c>
      <c r="N972">
        <v>0</v>
      </c>
      <c r="O972" s="14">
        <f t="shared" ca="1" si="15"/>
        <v>85</v>
      </c>
      <c r="P972" t="s">
        <v>589</v>
      </c>
    </row>
    <row r="973" spans="1:16" ht="12.75" customHeight="1" x14ac:dyDescent="0.2">
      <c r="A973" t="s">
        <v>604</v>
      </c>
      <c r="B973" t="s">
        <v>651</v>
      </c>
      <c r="C973" t="s">
        <v>498</v>
      </c>
      <c r="D973" t="s">
        <v>403</v>
      </c>
      <c r="E973" t="s">
        <v>399</v>
      </c>
      <c r="F973" s="1">
        <v>46085</v>
      </c>
      <c r="G973" s="1">
        <v>46115</v>
      </c>
      <c r="H973" t="s">
        <v>170</v>
      </c>
      <c r="I973">
        <v>121</v>
      </c>
      <c r="J973">
        <v>121</v>
      </c>
      <c r="K973">
        <v>0</v>
      </c>
      <c r="L973">
        <v>121</v>
      </c>
      <c r="M973">
        <v>0</v>
      </c>
      <c r="N973">
        <v>0</v>
      </c>
      <c r="O973" s="14">
        <f t="shared" ca="1" si="15"/>
        <v>55</v>
      </c>
      <c r="P973" t="s">
        <v>589</v>
      </c>
    </row>
    <row r="974" spans="1:16" ht="12.75" customHeight="1" x14ac:dyDescent="0.2">
      <c r="A974" t="s">
        <v>604</v>
      </c>
      <c r="B974" t="s">
        <v>651</v>
      </c>
      <c r="C974" t="s">
        <v>498</v>
      </c>
      <c r="D974" t="s">
        <v>403</v>
      </c>
      <c r="E974" t="s">
        <v>399</v>
      </c>
      <c r="F974" s="1">
        <v>46085</v>
      </c>
      <c r="G974" s="1">
        <v>46115</v>
      </c>
      <c r="H974" t="s">
        <v>227</v>
      </c>
      <c r="I974">
        <v>60.5</v>
      </c>
      <c r="J974">
        <v>60.5</v>
      </c>
      <c r="K974">
        <v>0</v>
      </c>
      <c r="L974">
        <v>60.5</v>
      </c>
      <c r="M974">
        <v>0</v>
      </c>
      <c r="N974">
        <v>0</v>
      </c>
      <c r="O974" s="14">
        <f t="shared" ca="1" si="15"/>
        <v>55</v>
      </c>
      <c r="P974" t="s">
        <v>589</v>
      </c>
    </row>
    <row r="975" spans="1:16" ht="12.75" customHeight="1" x14ac:dyDescent="0.2">
      <c r="A975" t="s">
        <v>604</v>
      </c>
      <c r="B975" t="s">
        <v>651</v>
      </c>
      <c r="C975" t="s">
        <v>498</v>
      </c>
      <c r="D975" t="s">
        <v>403</v>
      </c>
      <c r="E975" t="s">
        <v>399</v>
      </c>
      <c r="F975" s="1">
        <v>46085</v>
      </c>
      <c r="G975" s="1">
        <v>46115</v>
      </c>
      <c r="H975" t="s">
        <v>929</v>
      </c>
      <c r="I975">
        <v>347.88</v>
      </c>
      <c r="J975">
        <v>347.88</v>
      </c>
      <c r="K975">
        <v>0</v>
      </c>
      <c r="L975">
        <v>347.88</v>
      </c>
      <c r="M975">
        <v>0</v>
      </c>
      <c r="N975">
        <v>0</v>
      </c>
      <c r="O975" s="14">
        <f t="shared" ca="1" si="15"/>
        <v>55</v>
      </c>
      <c r="P975" t="s">
        <v>589</v>
      </c>
    </row>
    <row r="976" spans="1:16" ht="12.75" customHeight="1" x14ac:dyDescent="0.2">
      <c r="A976" t="s">
        <v>604</v>
      </c>
      <c r="B976" t="s">
        <v>651</v>
      </c>
      <c r="C976" t="s">
        <v>498</v>
      </c>
      <c r="D976" t="s">
        <v>403</v>
      </c>
      <c r="E976" t="s">
        <v>399</v>
      </c>
      <c r="F976" s="1">
        <v>46118</v>
      </c>
      <c r="G976" s="1">
        <v>46148</v>
      </c>
      <c r="H976" t="s">
        <v>774</v>
      </c>
      <c r="I976">
        <v>347.88</v>
      </c>
      <c r="J976">
        <v>347.88</v>
      </c>
      <c r="K976">
        <v>347.88</v>
      </c>
      <c r="L976">
        <v>0</v>
      </c>
      <c r="M976">
        <v>0</v>
      </c>
      <c r="N976">
        <v>0</v>
      </c>
      <c r="O976" s="14">
        <f t="shared" ca="1" si="15"/>
        <v>22</v>
      </c>
      <c r="P976" t="s">
        <v>589</v>
      </c>
    </row>
    <row r="977" spans="1:16" ht="12.75" customHeight="1" x14ac:dyDescent="0.2">
      <c r="A977" t="s">
        <v>604</v>
      </c>
      <c r="B977" t="s">
        <v>651</v>
      </c>
      <c r="C977" t="s">
        <v>498</v>
      </c>
      <c r="D977" t="s">
        <v>403</v>
      </c>
      <c r="E977" t="s">
        <v>399</v>
      </c>
      <c r="F977" s="1">
        <v>46118</v>
      </c>
      <c r="G977" s="1">
        <v>46148</v>
      </c>
      <c r="H977" t="s">
        <v>262</v>
      </c>
      <c r="I977">
        <v>121</v>
      </c>
      <c r="J977">
        <v>121</v>
      </c>
      <c r="K977">
        <v>121</v>
      </c>
      <c r="L977">
        <v>0</v>
      </c>
      <c r="M977">
        <v>0</v>
      </c>
      <c r="N977">
        <v>0</v>
      </c>
      <c r="O977" s="14">
        <f t="shared" ca="1" si="15"/>
        <v>22</v>
      </c>
      <c r="P977" t="s">
        <v>589</v>
      </c>
    </row>
    <row r="978" spans="1:16" ht="12.75" customHeight="1" x14ac:dyDescent="0.2">
      <c r="A978" t="s">
        <v>604</v>
      </c>
      <c r="B978" t="s">
        <v>651</v>
      </c>
      <c r="C978" t="s">
        <v>498</v>
      </c>
      <c r="D978" t="s">
        <v>403</v>
      </c>
      <c r="E978" t="s">
        <v>399</v>
      </c>
      <c r="F978" s="1">
        <v>46118</v>
      </c>
      <c r="G978" s="1">
        <v>46148</v>
      </c>
      <c r="H978" t="s">
        <v>804</v>
      </c>
      <c r="I978">
        <v>60.5</v>
      </c>
      <c r="J978">
        <v>60.5</v>
      </c>
      <c r="K978">
        <v>60.5</v>
      </c>
      <c r="L978">
        <v>0</v>
      </c>
      <c r="M978">
        <v>0</v>
      </c>
      <c r="N978">
        <v>0</v>
      </c>
      <c r="O978" s="14">
        <f t="shared" ca="1" si="15"/>
        <v>22</v>
      </c>
      <c r="P978" t="s">
        <v>589</v>
      </c>
    </row>
    <row r="979" spans="1:16" ht="12.75" customHeight="1" x14ac:dyDescent="0.2">
      <c r="A979" t="s">
        <v>604</v>
      </c>
      <c r="B979" t="s">
        <v>651</v>
      </c>
      <c r="C979" t="s">
        <v>1203</v>
      </c>
      <c r="D979" t="s">
        <v>1283</v>
      </c>
      <c r="E979" t="s">
        <v>399</v>
      </c>
      <c r="F979" s="1">
        <v>45565</v>
      </c>
      <c r="G979" s="1">
        <v>45579</v>
      </c>
      <c r="H979" t="s">
        <v>723</v>
      </c>
      <c r="I979">
        <v>5407.59</v>
      </c>
      <c r="J979">
        <v>5407.59</v>
      </c>
      <c r="K979">
        <v>0</v>
      </c>
      <c r="L979">
        <v>0</v>
      </c>
      <c r="M979">
        <v>0</v>
      </c>
      <c r="N979">
        <v>5407.59</v>
      </c>
      <c r="O979" s="14">
        <f t="shared" ca="1" si="15"/>
        <v>591</v>
      </c>
      <c r="P979" t="s">
        <v>589</v>
      </c>
    </row>
    <row r="980" spans="1:16" ht="12.75" customHeight="1" x14ac:dyDescent="0.2">
      <c r="A980" t="s">
        <v>604</v>
      </c>
      <c r="B980" t="s">
        <v>651</v>
      </c>
      <c r="C980" t="s">
        <v>1203</v>
      </c>
      <c r="D980" t="s">
        <v>1283</v>
      </c>
      <c r="E980" t="s">
        <v>399</v>
      </c>
      <c r="F980" s="1">
        <v>46126</v>
      </c>
      <c r="G980" s="1">
        <v>46140</v>
      </c>
      <c r="H980" t="s">
        <v>733</v>
      </c>
      <c r="I980">
        <v>5749.21</v>
      </c>
      <c r="J980">
        <v>5749.21</v>
      </c>
      <c r="K980">
        <v>5749.21</v>
      </c>
      <c r="L980">
        <v>0</v>
      </c>
      <c r="M980">
        <v>0</v>
      </c>
      <c r="N980">
        <v>0</v>
      </c>
      <c r="O980" s="14">
        <f t="shared" ca="1" si="15"/>
        <v>30</v>
      </c>
      <c r="P980" t="s">
        <v>589</v>
      </c>
    </row>
    <row r="981" spans="1:16" ht="12.75" customHeight="1" x14ac:dyDescent="0.2">
      <c r="A981" t="s">
        <v>604</v>
      </c>
      <c r="B981" t="s">
        <v>651</v>
      </c>
      <c r="C981" t="s">
        <v>136</v>
      </c>
      <c r="D981" t="s">
        <v>435</v>
      </c>
      <c r="E981" t="s">
        <v>399</v>
      </c>
      <c r="F981" s="1">
        <v>45966</v>
      </c>
      <c r="G981" s="1">
        <v>45996</v>
      </c>
      <c r="H981" t="s">
        <v>95</v>
      </c>
      <c r="I981">
        <v>302.5</v>
      </c>
      <c r="J981">
        <v>302.5</v>
      </c>
      <c r="K981">
        <v>0</v>
      </c>
      <c r="L981">
        <v>0</v>
      </c>
      <c r="M981">
        <v>0</v>
      </c>
      <c r="N981">
        <v>302.5</v>
      </c>
      <c r="O981" s="14">
        <f t="shared" ca="1" si="15"/>
        <v>174</v>
      </c>
      <c r="P981" t="s">
        <v>589</v>
      </c>
    </row>
    <row r="982" spans="1:16" ht="12.75" customHeight="1" x14ac:dyDescent="0.2">
      <c r="A982" t="s">
        <v>604</v>
      </c>
      <c r="B982" t="s">
        <v>651</v>
      </c>
      <c r="C982" t="s">
        <v>136</v>
      </c>
      <c r="D982" t="s">
        <v>435</v>
      </c>
      <c r="E982" t="s">
        <v>399</v>
      </c>
      <c r="F982" s="1">
        <v>45993</v>
      </c>
      <c r="G982" s="1">
        <v>46023</v>
      </c>
      <c r="H982" t="s">
        <v>4</v>
      </c>
      <c r="I982">
        <v>302.5</v>
      </c>
      <c r="J982">
        <v>302.5</v>
      </c>
      <c r="K982">
        <v>0</v>
      </c>
      <c r="L982">
        <v>0</v>
      </c>
      <c r="M982">
        <v>0</v>
      </c>
      <c r="N982">
        <v>302.5</v>
      </c>
      <c r="O982" s="14">
        <f t="shared" ca="1" si="15"/>
        <v>147</v>
      </c>
      <c r="P982" t="s">
        <v>589</v>
      </c>
    </row>
    <row r="983" spans="1:16" ht="12.75" customHeight="1" x14ac:dyDescent="0.2">
      <c r="A983" t="s">
        <v>604</v>
      </c>
      <c r="B983" t="s">
        <v>651</v>
      </c>
      <c r="C983" t="s">
        <v>136</v>
      </c>
      <c r="D983" t="s">
        <v>435</v>
      </c>
      <c r="E983" t="s">
        <v>399</v>
      </c>
      <c r="F983" s="1">
        <v>46030</v>
      </c>
      <c r="G983" s="1">
        <v>46060</v>
      </c>
      <c r="H983" t="s">
        <v>41</v>
      </c>
      <c r="I983">
        <v>302.5</v>
      </c>
      <c r="J983">
        <v>302.5</v>
      </c>
      <c r="K983">
        <v>0</v>
      </c>
      <c r="L983">
        <v>0</v>
      </c>
      <c r="M983">
        <v>0</v>
      </c>
      <c r="N983">
        <v>302.5</v>
      </c>
      <c r="O983" s="14">
        <f t="shared" ca="1" si="15"/>
        <v>110</v>
      </c>
      <c r="P983" t="s">
        <v>589</v>
      </c>
    </row>
    <row r="984" spans="1:16" ht="12.75" customHeight="1" x14ac:dyDescent="0.2">
      <c r="A984" t="s">
        <v>604</v>
      </c>
      <c r="B984" t="s">
        <v>651</v>
      </c>
      <c r="C984" t="s">
        <v>136</v>
      </c>
      <c r="D984" t="s">
        <v>435</v>
      </c>
      <c r="E984" t="s">
        <v>399</v>
      </c>
      <c r="F984" s="1">
        <v>46055</v>
      </c>
      <c r="G984" s="1">
        <v>46085</v>
      </c>
      <c r="H984" t="s">
        <v>1241</v>
      </c>
      <c r="I984">
        <v>302.5</v>
      </c>
      <c r="J984">
        <v>302.5</v>
      </c>
      <c r="K984">
        <v>0</v>
      </c>
      <c r="L984">
        <v>0</v>
      </c>
      <c r="M984">
        <v>302.5</v>
      </c>
      <c r="N984">
        <v>0</v>
      </c>
      <c r="O984" s="14">
        <f t="shared" ca="1" si="15"/>
        <v>85</v>
      </c>
      <c r="P984" t="s">
        <v>589</v>
      </c>
    </row>
    <row r="985" spans="1:16" ht="12.75" customHeight="1" x14ac:dyDescent="0.2">
      <c r="A985" t="s">
        <v>604</v>
      </c>
      <c r="B985" t="s">
        <v>651</v>
      </c>
      <c r="C985" t="s">
        <v>136</v>
      </c>
      <c r="D985" t="s">
        <v>435</v>
      </c>
      <c r="E985" t="s">
        <v>399</v>
      </c>
      <c r="F985" s="1">
        <v>46085</v>
      </c>
      <c r="G985" s="1">
        <v>46115</v>
      </c>
      <c r="H985" t="s">
        <v>233</v>
      </c>
      <c r="I985">
        <v>302.5</v>
      </c>
      <c r="J985">
        <v>302.5</v>
      </c>
      <c r="K985">
        <v>0</v>
      </c>
      <c r="L985">
        <v>302.5</v>
      </c>
      <c r="M985">
        <v>0</v>
      </c>
      <c r="N985">
        <v>0</v>
      </c>
      <c r="O985" s="14">
        <f t="shared" ca="1" si="15"/>
        <v>55</v>
      </c>
      <c r="P985" t="s">
        <v>589</v>
      </c>
    </row>
    <row r="986" spans="1:16" ht="12.75" customHeight="1" x14ac:dyDescent="0.2">
      <c r="A986" t="s">
        <v>604</v>
      </c>
      <c r="B986" t="s">
        <v>651</v>
      </c>
      <c r="C986" t="s">
        <v>136</v>
      </c>
      <c r="D986" t="s">
        <v>435</v>
      </c>
      <c r="E986" t="s">
        <v>399</v>
      </c>
      <c r="F986" s="1">
        <v>46118</v>
      </c>
      <c r="G986" s="1">
        <v>46148</v>
      </c>
      <c r="H986" t="s">
        <v>1047</v>
      </c>
      <c r="I986">
        <v>102.85</v>
      </c>
      <c r="J986">
        <v>102.85</v>
      </c>
      <c r="K986">
        <v>102.85</v>
      </c>
      <c r="L986">
        <v>0</v>
      </c>
      <c r="M986">
        <v>0</v>
      </c>
      <c r="N986">
        <v>0</v>
      </c>
      <c r="O986" s="14">
        <f t="shared" ca="1" si="15"/>
        <v>22</v>
      </c>
      <c r="P986" t="s">
        <v>589</v>
      </c>
    </row>
    <row r="987" spans="1:16" ht="12.75" customHeight="1" x14ac:dyDescent="0.2">
      <c r="A987" t="s">
        <v>604</v>
      </c>
      <c r="B987" t="s">
        <v>651</v>
      </c>
      <c r="C987" t="s">
        <v>697</v>
      </c>
      <c r="D987" t="s">
        <v>577</v>
      </c>
      <c r="E987" t="s">
        <v>399</v>
      </c>
      <c r="F987" s="1">
        <v>46118</v>
      </c>
      <c r="G987" s="1">
        <v>46148</v>
      </c>
      <c r="H987" t="s">
        <v>677</v>
      </c>
      <c r="I987">
        <v>356.95</v>
      </c>
      <c r="J987">
        <v>356.95</v>
      </c>
      <c r="K987">
        <v>356.95</v>
      </c>
      <c r="L987">
        <v>0</v>
      </c>
      <c r="M987">
        <v>0</v>
      </c>
      <c r="N987">
        <v>0</v>
      </c>
      <c r="O987" s="14">
        <f t="shared" ca="1" si="15"/>
        <v>22</v>
      </c>
      <c r="P987" t="s">
        <v>589</v>
      </c>
    </row>
    <row r="988" spans="1:16" ht="12.75" customHeight="1" x14ac:dyDescent="0.2">
      <c r="A988" t="s">
        <v>604</v>
      </c>
      <c r="B988" t="s">
        <v>651</v>
      </c>
      <c r="C988" t="s">
        <v>100</v>
      </c>
      <c r="D988" t="s">
        <v>1029</v>
      </c>
      <c r="E988" t="s">
        <v>399</v>
      </c>
      <c r="F988" s="1">
        <v>46118</v>
      </c>
      <c r="G988" s="1">
        <v>46148</v>
      </c>
      <c r="H988" t="s">
        <v>676</v>
      </c>
      <c r="I988">
        <v>356.95</v>
      </c>
      <c r="J988">
        <v>356.95</v>
      </c>
      <c r="K988">
        <v>356.95</v>
      </c>
      <c r="L988">
        <v>0</v>
      </c>
      <c r="M988">
        <v>0</v>
      </c>
      <c r="N988">
        <v>0</v>
      </c>
      <c r="O988" s="14">
        <f t="shared" ca="1" si="15"/>
        <v>22</v>
      </c>
      <c r="P988" t="s">
        <v>589</v>
      </c>
    </row>
    <row r="989" spans="1:16" ht="12.75" customHeight="1" x14ac:dyDescent="0.2">
      <c r="A989" t="s">
        <v>604</v>
      </c>
      <c r="B989" t="s">
        <v>651</v>
      </c>
      <c r="C989" t="s">
        <v>696</v>
      </c>
      <c r="D989" t="s">
        <v>939</v>
      </c>
      <c r="E989" t="s">
        <v>399</v>
      </c>
      <c r="F989" s="1">
        <v>45047</v>
      </c>
      <c r="G989" s="1">
        <v>45077</v>
      </c>
      <c r="H989" t="s">
        <v>426</v>
      </c>
      <c r="I989">
        <v>1815</v>
      </c>
      <c r="J989">
        <v>1815</v>
      </c>
      <c r="K989">
        <v>0</v>
      </c>
      <c r="L989">
        <v>0</v>
      </c>
      <c r="M989">
        <v>0</v>
      </c>
      <c r="N989">
        <v>1815</v>
      </c>
      <c r="O989" s="14">
        <f t="shared" ca="1" si="15"/>
        <v>1093</v>
      </c>
      <c r="P989" t="s">
        <v>1066</v>
      </c>
    </row>
    <row r="990" spans="1:16" ht="12.75" customHeight="1" x14ac:dyDescent="0.2">
      <c r="A990" t="s">
        <v>604</v>
      </c>
      <c r="B990" t="s">
        <v>651</v>
      </c>
      <c r="C990" t="s">
        <v>322</v>
      </c>
      <c r="D990" t="s">
        <v>536</v>
      </c>
      <c r="E990" t="s">
        <v>399</v>
      </c>
      <c r="F990" s="1">
        <v>45873</v>
      </c>
      <c r="G990" s="1">
        <v>45903</v>
      </c>
      <c r="H990" t="s">
        <v>997</v>
      </c>
      <c r="I990">
        <v>272.25</v>
      </c>
      <c r="J990">
        <v>272.25</v>
      </c>
      <c r="K990">
        <v>0</v>
      </c>
      <c r="L990">
        <v>0</v>
      </c>
      <c r="M990">
        <v>0</v>
      </c>
      <c r="N990">
        <v>272.25</v>
      </c>
      <c r="O990" s="14">
        <f t="shared" ca="1" si="15"/>
        <v>267</v>
      </c>
      <c r="P990" t="s">
        <v>589</v>
      </c>
    </row>
    <row r="991" spans="1:16" ht="12.75" customHeight="1" x14ac:dyDescent="0.2">
      <c r="A991" t="s">
        <v>604</v>
      </c>
      <c r="B991" t="s">
        <v>651</v>
      </c>
      <c r="C991" t="s">
        <v>322</v>
      </c>
      <c r="D991" t="s">
        <v>536</v>
      </c>
      <c r="E991" t="s">
        <v>399</v>
      </c>
      <c r="F991" s="1">
        <v>45901</v>
      </c>
      <c r="G991" s="1">
        <v>45931</v>
      </c>
      <c r="H991" t="s">
        <v>1137</v>
      </c>
      <c r="I991">
        <v>272.25</v>
      </c>
      <c r="J991">
        <v>272.25</v>
      </c>
      <c r="K991">
        <v>0</v>
      </c>
      <c r="L991">
        <v>0</v>
      </c>
      <c r="M991">
        <v>0</v>
      </c>
      <c r="N991">
        <v>272.25</v>
      </c>
      <c r="O991" s="14">
        <f t="shared" ca="1" si="15"/>
        <v>239</v>
      </c>
      <c r="P991" t="s">
        <v>589</v>
      </c>
    </row>
    <row r="992" spans="1:16" ht="12.75" customHeight="1" x14ac:dyDescent="0.2">
      <c r="A992" t="s">
        <v>604</v>
      </c>
      <c r="B992" t="s">
        <v>651</v>
      </c>
      <c r="C992" t="s">
        <v>322</v>
      </c>
      <c r="D992" t="s">
        <v>536</v>
      </c>
      <c r="E992" t="s">
        <v>399</v>
      </c>
      <c r="F992" s="1">
        <v>45936</v>
      </c>
      <c r="G992" s="1">
        <v>45966</v>
      </c>
      <c r="H992" t="s">
        <v>391</v>
      </c>
      <c r="I992">
        <v>272.25</v>
      </c>
      <c r="J992">
        <v>272.25</v>
      </c>
      <c r="K992">
        <v>0</v>
      </c>
      <c r="L992">
        <v>0</v>
      </c>
      <c r="M992">
        <v>0</v>
      </c>
      <c r="N992">
        <v>272.25</v>
      </c>
      <c r="O992" s="14">
        <f t="shared" ca="1" si="15"/>
        <v>204</v>
      </c>
      <c r="P992" t="s">
        <v>589</v>
      </c>
    </row>
    <row r="993" spans="1:16" ht="12.75" customHeight="1" x14ac:dyDescent="0.2">
      <c r="A993" t="s">
        <v>604</v>
      </c>
      <c r="B993" t="s">
        <v>651</v>
      </c>
      <c r="C993" t="s">
        <v>322</v>
      </c>
      <c r="D993" t="s">
        <v>536</v>
      </c>
      <c r="E993" t="s">
        <v>399</v>
      </c>
      <c r="F993" s="1">
        <v>45966</v>
      </c>
      <c r="G993" s="1">
        <v>45996</v>
      </c>
      <c r="H993" t="s">
        <v>93</v>
      </c>
      <c r="I993">
        <v>272.25</v>
      </c>
      <c r="J993">
        <v>272.25</v>
      </c>
      <c r="K993">
        <v>0</v>
      </c>
      <c r="L993">
        <v>0</v>
      </c>
      <c r="M993">
        <v>0</v>
      </c>
      <c r="N993">
        <v>272.25</v>
      </c>
      <c r="O993" s="14">
        <f t="shared" ca="1" si="15"/>
        <v>174</v>
      </c>
      <c r="P993" t="s">
        <v>589</v>
      </c>
    </row>
    <row r="994" spans="1:16" ht="12.75" customHeight="1" x14ac:dyDescent="0.2">
      <c r="A994" t="s">
        <v>604</v>
      </c>
      <c r="B994" t="s">
        <v>651</v>
      </c>
      <c r="C994" t="s">
        <v>322</v>
      </c>
      <c r="D994" t="s">
        <v>536</v>
      </c>
      <c r="E994" t="s">
        <v>399</v>
      </c>
      <c r="F994" s="1">
        <v>45993</v>
      </c>
      <c r="G994" s="1">
        <v>46023</v>
      </c>
      <c r="H994" t="s">
        <v>967</v>
      </c>
      <c r="I994">
        <v>272.25</v>
      </c>
      <c r="J994">
        <v>272.25</v>
      </c>
      <c r="K994">
        <v>0</v>
      </c>
      <c r="L994">
        <v>0</v>
      </c>
      <c r="M994">
        <v>0</v>
      </c>
      <c r="N994">
        <v>272.25</v>
      </c>
      <c r="O994" s="14">
        <f t="shared" ca="1" si="15"/>
        <v>147</v>
      </c>
      <c r="P994" t="s">
        <v>589</v>
      </c>
    </row>
    <row r="995" spans="1:16" ht="12.75" customHeight="1" x14ac:dyDescent="0.2">
      <c r="A995" t="s">
        <v>604</v>
      </c>
      <c r="B995" t="s">
        <v>651</v>
      </c>
      <c r="C995" t="s">
        <v>322</v>
      </c>
      <c r="D995" t="s">
        <v>536</v>
      </c>
      <c r="E995" t="s">
        <v>399</v>
      </c>
      <c r="F995" s="1">
        <v>46030</v>
      </c>
      <c r="G995" s="1">
        <v>46060</v>
      </c>
      <c r="H995" t="s">
        <v>694</v>
      </c>
      <c r="I995">
        <v>272.25</v>
      </c>
      <c r="J995">
        <v>272.25</v>
      </c>
      <c r="K995">
        <v>0</v>
      </c>
      <c r="L995">
        <v>0</v>
      </c>
      <c r="M995">
        <v>0</v>
      </c>
      <c r="N995">
        <v>272.25</v>
      </c>
      <c r="O995" s="14">
        <f t="shared" ca="1" si="15"/>
        <v>110</v>
      </c>
      <c r="P995" t="s">
        <v>589</v>
      </c>
    </row>
    <row r="996" spans="1:16" ht="12.75" customHeight="1" x14ac:dyDescent="0.2">
      <c r="A996" t="s">
        <v>604</v>
      </c>
      <c r="B996" t="s">
        <v>651</v>
      </c>
      <c r="C996" t="s">
        <v>322</v>
      </c>
      <c r="D996" t="s">
        <v>536</v>
      </c>
      <c r="E996" t="s">
        <v>399</v>
      </c>
      <c r="F996" s="1">
        <v>46055</v>
      </c>
      <c r="G996" s="1">
        <v>46085</v>
      </c>
      <c r="H996" t="s">
        <v>1244</v>
      </c>
      <c r="I996">
        <v>272.25</v>
      </c>
      <c r="J996">
        <v>272.25</v>
      </c>
      <c r="K996">
        <v>0</v>
      </c>
      <c r="L996">
        <v>0</v>
      </c>
      <c r="M996">
        <v>272.25</v>
      </c>
      <c r="N996">
        <v>0</v>
      </c>
      <c r="O996" s="14">
        <f t="shared" ca="1" si="15"/>
        <v>85</v>
      </c>
      <c r="P996" t="s">
        <v>589</v>
      </c>
    </row>
    <row r="997" spans="1:16" ht="12.75" customHeight="1" x14ac:dyDescent="0.2">
      <c r="A997" t="s">
        <v>604</v>
      </c>
      <c r="B997" t="s">
        <v>651</v>
      </c>
      <c r="C997" t="s">
        <v>322</v>
      </c>
      <c r="D997" t="s">
        <v>536</v>
      </c>
      <c r="E997" t="s">
        <v>399</v>
      </c>
      <c r="F997" s="1">
        <v>46085</v>
      </c>
      <c r="G997" s="1">
        <v>46115</v>
      </c>
      <c r="H997" t="s">
        <v>729</v>
      </c>
      <c r="I997">
        <v>272.25</v>
      </c>
      <c r="J997">
        <v>272.25</v>
      </c>
      <c r="K997">
        <v>0</v>
      </c>
      <c r="L997">
        <v>272.25</v>
      </c>
      <c r="M997">
        <v>0</v>
      </c>
      <c r="N997">
        <v>0</v>
      </c>
      <c r="O997" s="14">
        <f t="shared" ca="1" si="15"/>
        <v>55</v>
      </c>
      <c r="P997" t="s">
        <v>589</v>
      </c>
    </row>
    <row r="998" spans="1:16" ht="12.75" customHeight="1" x14ac:dyDescent="0.2">
      <c r="A998" t="s">
        <v>604</v>
      </c>
      <c r="B998" t="s">
        <v>651</v>
      </c>
      <c r="C998" t="s">
        <v>322</v>
      </c>
      <c r="D998" t="s">
        <v>536</v>
      </c>
      <c r="E998" t="s">
        <v>399</v>
      </c>
      <c r="F998" s="1">
        <v>46118</v>
      </c>
      <c r="G998" s="1">
        <v>46148</v>
      </c>
      <c r="H998" t="s">
        <v>1032</v>
      </c>
      <c r="I998">
        <v>272.25</v>
      </c>
      <c r="J998">
        <v>272.25</v>
      </c>
      <c r="K998">
        <v>272.25</v>
      </c>
      <c r="L998">
        <v>0</v>
      </c>
      <c r="M998">
        <v>0</v>
      </c>
      <c r="N998">
        <v>0</v>
      </c>
      <c r="O998" s="14">
        <f t="shared" ca="1" si="15"/>
        <v>22</v>
      </c>
      <c r="P998" t="s">
        <v>589</v>
      </c>
    </row>
    <row r="999" spans="1:16" ht="12.75" customHeight="1" x14ac:dyDescent="0.2">
      <c r="A999" t="s">
        <v>604</v>
      </c>
      <c r="B999" t="s">
        <v>651</v>
      </c>
      <c r="C999" t="s">
        <v>572</v>
      </c>
      <c r="D999" t="s">
        <v>743</v>
      </c>
      <c r="E999" t="s">
        <v>399</v>
      </c>
      <c r="F999" s="1">
        <v>45511</v>
      </c>
      <c r="G999" s="1">
        <v>45541</v>
      </c>
      <c r="H999" t="s">
        <v>777</v>
      </c>
      <c r="I999">
        <v>75.63</v>
      </c>
      <c r="J999">
        <v>75.63</v>
      </c>
      <c r="K999">
        <v>0</v>
      </c>
      <c r="L999">
        <v>0</v>
      </c>
      <c r="M999">
        <v>0</v>
      </c>
      <c r="N999">
        <v>75.63</v>
      </c>
      <c r="O999" s="14">
        <f t="shared" ca="1" si="15"/>
        <v>629</v>
      </c>
      <c r="P999" t="s">
        <v>589</v>
      </c>
    </row>
    <row r="1000" spans="1:16" ht="12.75" customHeight="1" x14ac:dyDescent="0.2">
      <c r="A1000" t="s">
        <v>604</v>
      </c>
      <c r="B1000" t="s">
        <v>651</v>
      </c>
      <c r="C1000" t="s">
        <v>906</v>
      </c>
      <c r="D1000" t="s">
        <v>878</v>
      </c>
      <c r="E1000" t="s">
        <v>399</v>
      </c>
      <c r="F1000" s="1">
        <v>45628</v>
      </c>
      <c r="G1000" s="1">
        <v>45658</v>
      </c>
      <c r="H1000" t="s">
        <v>1117</v>
      </c>
      <c r="I1000">
        <v>266.2</v>
      </c>
      <c r="J1000">
        <v>266.2</v>
      </c>
      <c r="K1000">
        <v>0</v>
      </c>
      <c r="L1000">
        <v>0</v>
      </c>
      <c r="M1000">
        <v>0</v>
      </c>
      <c r="N1000">
        <v>266.2</v>
      </c>
      <c r="O1000" s="14">
        <f t="shared" ca="1" si="15"/>
        <v>512</v>
      </c>
      <c r="P1000" t="s">
        <v>589</v>
      </c>
    </row>
    <row r="1001" spans="1:16" ht="12.75" customHeight="1" x14ac:dyDescent="0.2">
      <c r="A1001" t="s">
        <v>604</v>
      </c>
      <c r="B1001" t="s">
        <v>651</v>
      </c>
      <c r="C1001" t="s">
        <v>906</v>
      </c>
      <c r="D1001" t="s">
        <v>878</v>
      </c>
      <c r="E1001" t="s">
        <v>399</v>
      </c>
      <c r="F1001" s="1">
        <v>45657</v>
      </c>
      <c r="G1001" s="1">
        <v>45687</v>
      </c>
      <c r="H1001" t="s">
        <v>670</v>
      </c>
      <c r="I1001">
        <v>1331</v>
      </c>
      <c r="J1001">
        <v>1331</v>
      </c>
      <c r="K1001">
        <v>0</v>
      </c>
      <c r="L1001">
        <v>0</v>
      </c>
      <c r="M1001">
        <v>0</v>
      </c>
      <c r="N1001">
        <v>1331</v>
      </c>
      <c r="O1001" s="14">
        <f t="shared" ca="1" si="15"/>
        <v>483</v>
      </c>
      <c r="P1001" t="s">
        <v>589</v>
      </c>
    </row>
    <row r="1002" spans="1:16" ht="12.75" customHeight="1" x14ac:dyDescent="0.2">
      <c r="A1002" t="s">
        <v>604</v>
      </c>
      <c r="B1002" t="s">
        <v>651</v>
      </c>
      <c r="C1002" t="s">
        <v>906</v>
      </c>
      <c r="D1002" t="s">
        <v>878</v>
      </c>
      <c r="E1002" t="s">
        <v>399</v>
      </c>
      <c r="F1002" s="1">
        <v>45677</v>
      </c>
      <c r="G1002" s="1">
        <v>45707</v>
      </c>
      <c r="H1002" t="s">
        <v>148</v>
      </c>
      <c r="I1002">
        <v>30.25</v>
      </c>
      <c r="J1002">
        <v>30.25</v>
      </c>
      <c r="K1002">
        <v>0</v>
      </c>
      <c r="L1002">
        <v>0</v>
      </c>
      <c r="M1002">
        <v>0</v>
      </c>
      <c r="N1002">
        <v>30.25</v>
      </c>
      <c r="O1002" s="14">
        <f t="shared" ca="1" si="15"/>
        <v>463</v>
      </c>
      <c r="P1002" t="s">
        <v>589</v>
      </c>
    </row>
    <row r="1003" spans="1:16" ht="12.75" customHeight="1" x14ac:dyDescent="0.2">
      <c r="A1003" t="s">
        <v>604</v>
      </c>
      <c r="B1003" t="s">
        <v>651</v>
      </c>
      <c r="C1003" t="s">
        <v>298</v>
      </c>
      <c r="D1003" t="s">
        <v>257</v>
      </c>
      <c r="E1003" t="s">
        <v>399</v>
      </c>
      <c r="F1003" s="1">
        <v>46063</v>
      </c>
      <c r="G1003" s="1">
        <v>46093</v>
      </c>
      <c r="H1003" t="s">
        <v>206</v>
      </c>
      <c r="I1003">
        <v>-847</v>
      </c>
      <c r="J1003">
        <v>-847</v>
      </c>
      <c r="K1003">
        <v>0</v>
      </c>
      <c r="L1003">
        <v>0</v>
      </c>
      <c r="M1003">
        <v>-847</v>
      </c>
      <c r="N1003">
        <v>0</v>
      </c>
      <c r="O1003" s="14">
        <f t="shared" ca="1" si="15"/>
        <v>77</v>
      </c>
      <c r="P1003" t="s">
        <v>589</v>
      </c>
    </row>
    <row r="1004" spans="1:16" ht="12.75" customHeight="1" x14ac:dyDescent="0.2">
      <c r="A1004" t="s">
        <v>604</v>
      </c>
      <c r="B1004" t="s">
        <v>651</v>
      </c>
      <c r="C1004" t="s">
        <v>235</v>
      </c>
      <c r="D1004" t="s">
        <v>430</v>
      </c>
      <c r="E1004" t="s">
        <v>399</v>
      </c>
      <c r="F1004" s="1">
        <v>45481</v>
      </c>
      <c r="G1004" s="1">
        <v>45495</v>
      </c>
      <c r="H1004" t="s">
        <v>1153</v>
      </c>
      <c r="I1004">
        <v>302.5</v>
      </c>
      <c r="J1004">
        <v>302.5</v>
      </c>
      <c r="K1004">
        <v>0</v>
      </c>
      <c r="L1004">
        <v>0</v>
      </c>
      <c r="M1004">
        <v>0</v>
      </c>
      <c r="N1004">
        <v>302.5</v>
      </c>
      <c r="O1004" s="14">
        <f t="shared" ca="1" si="15"/>
        <v>675</v>
      </c>
      <c r="P1004" t="s">
        <v>589</v>
      </c>
    </row>
    <row r="1005" spans="1:16" ht="12.75" customHeight="1" x14ac:dyDescent="0.2">
      <c r="A1005" t="s">
        <v>604</v>
      </c>
      <c r="B1005" t="s">
        <v>651</v>
      </c>
      <c r="C1005" t="s">
        <v>235</v>
      </c>
      <c r="D1005" t="s">
        <v>430</v>
      </c>
      <c r="E1005" t="s">
        <v>399</v>
      </c>
      <c r="F1005" s="1">
        <v>45509</v>
      </c>
      <c r="G1005" s="1">
        <v>45523</v>
      </c>
      <c r="H1005" t="s">
        <v>408</v>
      </c>
      <c r="I1005">
        <v>302.5</v>
      </c>
      <c r="J1005">
        <v>302.5</v>
      </c>
      <c r="K1005">
        <v>0</v>
      </c>
      <c r="L1005">
        <v>0</v>
      </c>
      <c r="M1005">
        <v>0</v>
      </c>
      <c r="N1005">
        <v>302.5</v>
      </c>
      <c r="O1005" s="14">
        <f t="shared" ca="1" si="15"/>
        <v>647</v>
      </c>
      <c r="P1005" t="s">
        <v>589</v>
      </c>
    </row>
    <row r="1006" spans="1:16" ht="12.75" customHeight="1" x14ac:dyDescent="0.2">
      <c r="A1006" t="s">
        <v>604</v>
      </c>
      <c r="B1006" t="s">
        <v>651</v>
      </c>
      <c r="C1006" t="s">
        <v>235</v>
      </c>
      <c r="D1006" t="s">
        <v>430</v>
      </c>
      <c r="E1006" t="s">
        <v>399</v>
      </c>
      <c r="F1006" s="1">
        <v>45537</v>
      </c>
      <c r="G1006" s="1">
        <v>45551</v>
      </c>
      <c r="H1006" t="s">
        <v>821</v>
      </c>
      <c r="I1006">
        <v>302.5</v>
      </c>
      <c r="J1006">
        <v>302.5</v>
      </c>
      <c r="K1006">
        <v>0</v>
      </c>
      <c r="L1006">
        <v>0</v>
      </c>
      <c r="M1006">
        <v>0</v>
      </c>
      <c r="N1006">
        <v>302.5</v>
      </c>
      <c r="O1006" s="14">
        <f t="shared" ca="1" si="15"/>
        <v>619</v>
      </c>
      <c r="P1006" t="s">
        <v>589</v>
      </c>
    </row>
    <row r="1007" spans="1:16" ht="12.75" customHeight="1" x14ac:dyDescent="0.2">
      <c r="A1007" t="s">
        <v>604</v>
      </c>
      <c r="B1007" t="s">
        <v>651</v>
      </c>
      <c r="C1007" t="s">
        <v>235</v>
      </c>
      <c r="D1007" t="s">
        <v>430</v>
      </c>
      <c r="E1007" t="s">
        <v>399</v>
      </c>
      <c r="F1007" s="1">
        <v>45572</v>
      </c>
      <c r="G1007" s="1">
        <v>45586</v>
      </c>
      <c r="H1007" t="s">
        <v>794</v>
      </c>
      <c r="I1007">
        <v>302.5</v>
      </c>
      <c r="J1007">
        <v>302.5</v>
      </c>
      <c r="K1007">
        <v>0</v>
      </c>
      <c r="L1007">
        <v>0</v>
      </c>
      <c r="M1007">
        <v>0</v>
      </c>
      <c r="N1007">
        <v>302.5</v>
      </c>
      <c r="O1007" s="14">
        <f t="shared" ca="1" si="15"/>
        <v>584</v>
      </c>
      <c r="P1007" t="s">
        <v>589</v>
      </c>
    </row>
    <row r="1008" spans="1:16" ht="12.75" customHeight="1" x14ac:dyDescent="0.2">
      <c r="A1008" t="s">
        <v>604</v>
      </c>
      <c r="B1008" t="s">
        <v>651</v>
      </c>
      <c r="C1008" t="s">
        <v>235</v>
      </c>
      <c r="D1008" t="s">
        <v>430</v>
      </c>
      <c r="E1008" t="s">
        <v>399</v>
      </c>
      <c r="F1008" s="1">
        <v>45600</v>
      </c>
      <c r="G1008" s="1">
        <v>45614</v>
      </c>
      <c r="H1008" t="s">
        <v>1222</v>
      </c>
      <c r="I1008">
        <v>302.5</v>
      </c>
      <c r="J1008">
        <v>302.5</v>
      </c>
      <c r="K1008">
        <v>0</v>
      </c>
      <c r="L1008">
        <v>0</v>
      </c>
      <c r="M1008">
        <v>0</v>
      </c>
      <c r="N1008">
        <v>302.5</v>
      </c>
      <c r="O1008" s="14">
        <f t="shared" ca="1" si="15"/>
        <v>556</v>
      </c>
      <c r="P1008" t="s">
        <v>589</v>
      </c>
    </row>
    <row r="1009" spans="1:16" ht="12.75" customHeight="1" x14ac:dyDescent="0.2">
      <c r="A1009" t="s">
        <v>604</v>
      </c>
      <c r="B1009" t="s">
        <v>651</v>
      </c>
      <c r="C1009" t="s">
        <v>235</v>
      </c>
      <c r="D1009" t="s">
        <v>430</v>
      </c>
      <c r="E1009" t="s">
        <v>399</v>
      </c>
      <c r="F1009" s="1">
        <v>45600</v>
      </c>
      <c r="G1009" s="1">
        <v>45614</v>
      </c>
      <c r="H1009" t="s">
        <v>516</v>
      </c>
      <c r="I1009">
        <v>30.25</v>
      </c>
      <c r="J1009">
        <v>30.25</v>
      </c>
      <c r="K1009">
        <v>0</v>
      </c>
      <c r="L1009">
        <v>0</v>
      </c>
      <c r="M1009">
        <v>0</v>
      </c>
      <c r="N1009">
        <v>30.25</v>
      </c>
      <c r="O1009" s="14">
        <f t="shared" ca="1" si="15"/>
        <v>556</v>
      </c>
      <c r="P1009" t="s">
        <v>589</v>
      </c>
    </row>
    <row r="1010" spans="1:16" ht="12.75" customHeight="1" x14ac:dyDescent="0.2">
      <c r="A1010" t="s">
        <v>604</v>
      </c>
      <c r="B1010" t="s">
        <v>651</v>
      </c>
      <c r="C1010" t="s">
        <v>235</v>
      </c>
      <c r="D1010" t="s">
        <v>430</v>
      </c>
      <c r="E1010" t="s">
        <v>399</v>
      </c>
      <c r="F1010" s="1">
        <v>45628</v>
      </c>
      <c r="G1010" s="1">
        <v>45642</v>
      </c>
      <c r="H1010" t="s">
        <v>10</v>
      </c>
      <c r="I1010">
        <v>302.5</v>
      </c>
      <c r="J1010">
        <v>302.5</v>
      </c>
      <c r="K1010">
        <v>0</v>
      </c>
      <c r="L1010">
        <v>0</v>
      </c>
      <c r="M1010">
        <v>0</v>
      </c>
      <c r="N1010">
        <v>302.5</v>
      </c>
      <c r="O1010" s="14">
        <f t="shared" ca="1" si="15"/>
        <v>528</v>
      </c>
      <c r="P1010" t="s">
        <v>589</v>
      </c>
    </row>
    <row r="1011" spans="1:16" ht="12.75" customHeight="1" x14ac:dyDescent="0.2">
      <c r="A1011" t="s">
        <v>604</v>
      </c>
      <c r="B1011" t="s">
        <v>651</v>
      </c>
      <c r="C1011" t="s">
        <v>235</v>
      </c>
      <c r="D1011" t="s">
        <v>430</v>
      </c>
      <c r="E1011" t="s">
        <v>399</v>
      </c>
      <c r="F1011" s="1">
        <v>45672</v>
      </c>
      <c r="G1011" s="1">
        <v>45686</v>
      </c>
      <c r="H1011" t="s">
        <v>1126</v>
      </c>
      <c r="I1011">
        <v>302.5</v>
      </c>
      <c r="J1011">
        <v>302.5</v>
      </c>
      <c r="K1011">
        <v>0</v>
      </c>
      <c r="L1011">
        <v>0</v>
      </c>
      <c r="M1011">
        <v>0</v>
      </c>
      <c r="N1011">
        <v>302.5</v>
      </c>
      <c r="O1011" s="14">
        <f t="shared" ca="1" si="15"/>
        <v>484</v>
      </c>
      <c r="P1011" t="s">
        <v>589</v>
      </c>
    </row>
    <row r="1012" spans="1:16" ht="12.75" customHeight="1" x14ac:dyDescent="0.2">
      <c r="A1012" t="s">
        <v>604</v>
      </c>
      <c r="B1012" t="s">
        <v>651</v>
      </c>
      <c r="C1012" t="s">
        <v>235</v>
      </c>
      <c r="D1012" t="s">
        <v>430</v>
      </c>
      <c r="E1012" t="s">
        <v>399</v>
      </c>
      <c r="F1012" s="1">
        <v>45692</v>
      </c>
      <c r="G1012" s="1">
        <v>45722</v>
      </c>
      <c r="H1012" t="s">
        <v>1075</v>
      </c>
      <c r="I1012">
        <v>1534.89</v>
      </c>
      <c r="J1012">
        <v>1534.89</v>
      </c>
      <c r="K1012">
        <v>0</v>
      </c>
      <c r="L1012">
        <v>0</v>
      </c>
      <c r="M1012">
        <v>0</v>
      </c>
      <c r="N1012">
        <v>1534.89</v>
      </c>
      <c r="O1012" s="14">
        <f t="shared" ca="1" si="15"/>
        <v>448</v>
      </c>
      <c r="P1012" t="s">
        <v>589</v>
      </c>
    </row>
    <row r="1013" spans="1:16" ht="12.75" customHeight="1" x14ac:dyDescent="0.2">
      <c r="A1013" t="s">
        <v>604</v>
      </c>
      <c r="B1013" t="s">
        <v>651</v>
      </c>
      <c r="C1013" t="s">
        <v>465</v>
      </c>
      <c r="D1013" t="s">
        <v>703</v>
      </c>
      <c r="E1013" t="s">
        <v>399</v>
      </c>
      <c r="F1013" s="1">
        <v>45856</v>
      </c>
      <c r="G1013" s="1">
        <v>45886</v>
      </c>
      <c r="H1013" t="s">
        <v>315</v>
      </c>
      <c r="I1013">
        <v>9075</v>
      </c>
      <c r="J1013">
        <v>9075</v>
      </c>
      <c r="K1013">
        <v>0</v>
      </c>
      <c r="L1013">
        <v>0</v>
      </c>
      <c r="M1013">
        <v>0</v>
      </c>
      <c r="N1013">
        <v>9075</v>
      </c>
      <c r="O1013" s="14">
        <f t="shared" ca="1" si="15"/>
        <v>284</v>
      </c>
      <c r="P1013" t="s">
        <v>589</v>
      </c>
    </row>
    <row r="1014" spans="1:16" ht="12.75" customHeight="1" x14ac:dyDescent="0.2">
      <c r="A1014" t="s">
        <v>604</v>
      </c>
      <c r="B1014" t="s">
        <v>651</v>
      </c>
      <c r="C1014" t="s">
        <v>1010</v>
      </c>
      <c r="D1014" t="s">
        <v>575</v>
      </c>
      <c r="E1014" t="s">
        <v>399</v>
      </c>
      <c r="F1014" s="1">
        <v>45779</v>
      </c>
      <c r="G1014" s="1">
        <v>45809</v>
      </c>
      <c r="H1014" t="s">
        <v>432</v>
      </c>
      <c r="I1014">
        <v>1724.25</v>
      </c>
      <c r="J1014">
        <v>1724.25</v>
      </c>
      <c r="K1014">
        <v>0</v>
      </c>
      <c r="L1014">
        <v>0</v>
      </c>
      <c r="M1014">
        <v>0</v>
      </c>
      <c r="N1014">
        <v>1724.25</v>
      </c>
      <c r="O1014" s="14">
        <f t="shared" ca="1" si="15"/>
        <v>361</v>
      </c>
      <c r="P1014" t="s">
        <v>589</v>
      </c>
    </row>
    <row r="1015" spans="1:16" ht="12.75" customHeight="1" x14ac:dyDescent="0.2">
      <c r="A1015" t="s">
        <v>604</v>
      </c>
      <c r="B1015" t="s">
        <v>651</v>
      </c>
      <c r="C1015" t="s">
        <v>1127</v>
      </c>
      <c r="D1015" t="s">
        <v>678</v>
      </c>
      <c r="E1015" t="s">
        <v>399</v>
      </c>
      <c r="F1015" s="1">
        <v>44721</v>
      </c>
      <c r="G1015" s="1">
        <v>44751</v>
      </c>
      <c r="H1015" t="s">
        <v>1291</v>
      </c>
      <c r="I1015">
        <v>261.66000000000003</v>
      </c>
      <c r="J1015">
        <v>261.66000000000003</v>
      </c>
      <c r="K1015">
        <v>0</v>
      </c>
      <c r="L1015">
        <v>0</v>
      </c>
      <c r="M1015">
        <v>0</v>
      </c>
      <c r="N1015">
        <v>261.66000000000003</v>
      </c>
      <c r="O1015" s="14">
        <f t="shared" ca="1" si="15"/>
        <v>1419</v>
      </c>
      <c r="P1015" t="s">
        <v>1066</v>
      </c>
    </row>
    <row r="1016" spans="1:16" ht="12.75" customHeight="1" x14ac:dyDescent="0.2">
      <c r="A1016" t="s">
        <v>604</v>
      </c>
      <c r="B1016" t="s">
        <v>651</v>
      </c>
      <c r="C1016" t="s">
        <v>1183</v>
      </c>
      <c r="D1016" t="s">
        <v>217</v>
      </c>
      <c r="E1016" t="s">
        <v>399</v>
      </c>
      <c r="F1016" s="1">
        <v>46133</v>
      </c>
      <c r="G1016" s="1">
        <v>46163</v>
      </c>
      <c r="H1016" t="s">
        <v>513</v>
      </c>
      <c r="I1016">
        <v>3444.77</v>
      </c>
      <c r="J1016">
        <v>3444.77</v>
      </c>
      <c r="K1016">
        <v>3444.77</v>
      </c>
      <c r="L1016">
        <v>0</v>
      </c>
      <c r="M1016">
        <v>0</v>
      </c>
      <c r="N1016">
        <v>0</v>
      </c>
      <c r="O1016" s="14">
        <f t="shared" ca="1" si="15"/>
        <v>7</v>
      </c>
      <c r="P1016" t="s">
        <v>589</v>
      </c>
    </row>
    <row r="1017" spans="1:16" ht="12.75" customHeight="1" x14ac:dyDescent="0.2">
      <c r="A1017" t="s">
        <v>604</v>
      </c>
      <c r="B1017" t="s">
        <v>651</v>
      </c>
      <c r="C1017" t="s">
        <v>340</v>
      </c>
      <c r="D1017" t="s">
        <v>1131</v>
      </c>
      <c r="E1017" t="s">
        <v>399</v>
      </c>
      <c r="F1017" s="1">
        <v>44378</v>
      </c>
      <c r="G1017" s="1">
        <v>44392</v>
      </c>
      <c r="H1017" t="s">
        <v>188</v>
      </c>
      <c r="I1017">
        <v>240.79</v>
      </c>
      <c r="J1017">
        <v>240.79</v>
      </c>
      <c r="K1017">
        <v>0</v>
      </c>
      <c r="L1017">
        <v>0</v>
      </c>
      <c r="M1017">
        <v>0</v>
      </c>
      <c r="N1017">
        <v>240.79</v>
      </c>
      <c r="O1017" s="14">
        <f t="shared" ca="1" si="15"/>
        <v>1778</v>
      </c>
      <c r="P1017" t="s">
        <v>1066</v>
      </c>
    </row>
    <row r="1018" spans="1:16" ht="12.75" customHeight="1" x14ac:dyDescent="0.2">
      <c r="A1018" t="s">
        <v>604</v>
      </c>
      <c r="B1018" t="s">
        <v>651</v>
      </c>
      <c r="C1018" t="s">
        <v>340</v>
      </c>
      <c r="D1018" t="s">
        <v>1131</v>
      </c>
      <c r="E1018" t="s">
        <v>399</v>
      </c>
      <c r="F1018" s="1">
        <v>44412</v>
      </c>
      <c r="G1018" s="1">
        <v>44426</v>
      </c>
      <c r="H1018" t="s">
        <v>91</v>
      </c>
      <c r="I1018">
        <v>240.79</v>
      </c>
      <c r="J1018">
        <v>240.79</v>
      </c>
      <c r="K1018">
        <v>0</v>
      </c>
      <c r="L1018">
        <v>0</v>
      </c>
      <c r="M1018">
        <v>0</v>
      </c>
      <c r="N1018">
        <v>240.79</v>
      </c>
      <c r="O1018" s="14">
        <f t="shared" ca="1" si="15"/>
        <v>1744</v>
      </c>
      <c r="P1018" t="s">
        <v>1066</v>
      </c>
    </row>
    <row r="1019" spans="1:16" ht="12.75" customHeight="1" x14ac:dyDescent="0.2">
      <c r="A1019" t="s">
        <v>604</v>
      </c>
      <c r="B1019" t="s">
        <v>651</v>
      </c>
      <c r="C1019" t="s">
        <v>340</v>
      </c>
      <c r="D1019" t="s">
        <v>1131</v>
      </c>
      <c r="E1019" t="s">
        <v>399</v>
      </c>
      <c r="F1019" s="1">
        <v>44448</v>
      </c>
      <c r="G1019" s="1">
        <v>44462</v>
      </c>
      <c r="H1019" t="s">
        <v>1261</v>
      </c>
      <c r="I1019">
        <v>240.79</v>
      </c>
      <c r="J1019">
        <v>240.79</v>
      </c>
      <c r="K1019">
        <v>0</v>
      </c>
      <c r="L1019">
        <v>0</v>
      </c>
      <c r="M1019">
        <v>0</v>
      </c>
      <c r="N1019">
        <v>240.79</v>
      </c>
      <c r="O1019" s="14">
        <f t="shared" ca="1" si="15"/>
        <v>1708</v>
      </c>
      <c r="P1019" t="s">
        <v>1066</v>
      </c>
    </row>
    <row r="1020" spans="1:16" ht="12.75" customHeight="1" x14ac:dyDescent="0.2">
      <c r="A1020" t="s">
        <v>604</v>
      </c>
      <c r="B1020" t="s">
        <v>651</v>
      </c>
      <c r="C1020" t="s">
        <v>340</v>
      </c>
      <c r="D1020" t="s">
        <v>1131</v>
      </c>
      <c r="E1020" t="s">
        <v>399</v>
      </c>
      <c r="F1020" s="1">
        <v>44470</v>
      </c>
      <c r="G1020" s="1">
        <v>44484</v>
      </c>
      <c r="H1020" t="s">
        <v>1135</v>
      </c>
      <c r="I1020">
        <v>240.79</v>
      </c>
      <c r="J1020">
        <v>240.79</v>
      </c>
      <c r="K1020">
        <v>0</v>
      </c>
      <c r="L1020">
        <v>0</v>
      </c>
      <c r="M1020">
        <v>0</v>
      </c>
      <c r="N1020">
        <v>240.79</v>
      </c>
      <c r="O1020" s="14">
        <f t="shared" ca="1" si="15"/>
        <v>1686</v>
      </c>
      <c r="P1020" t="s">
        <v>1066</v>
      </c>
    </row>
    <row r="1021" spans="1:16" ht="12.75" customHeight="1" x14ac:dyDescent="0.2">
      <c r="A1021" t="s">
        <v>604</v>
      </c>
      <c r="B1021" t="s">
        <v>651</v>
      </c>
      <c r="C1021" t="s">
        <v>340</v>
      </c>
      <c r="D1021" t="s">
        <v>1131</v>
      </c>
      <c r="E1021" t="s">
        <v>399</v>
      </c>
      <c r="F1021" s="1">
        <v>44503</v>
      </c>
      <c r="G1021" s="1">
        <v>44517</v>
      </c>
      <c r="H1021" t="s">
        <v>1294</v>
      </c>
      <c r="I1021">
        <v>240.79</v>
      </c>
      <c r="J1021">
        <v>240.79</v>
      </c>
      <c r="K1021">
        <v>0</v>
      </c>
      <c r="L1021">
        <v>0</v>
      </c>
      <c r="M1021">
        <v>0</v>
      </c>
      <c r="N1021">
        <v>240.79</v>
      </c>
      <c r="O1021" s="14">
        <f t="shared" ca="1" si="15"/>
        <v>1653</v>
      </c>
      <c r="P1021" t="s">
        <v>1066</v>
      </c>
    </row>
    <row r="1022" spans="1:16" ht="12.75" customHeight="1" x14ac:dyDescent="0.2">
      <c r="A1022" t="s">
        <v>604</v>
      </c>
      <c r="B1022" t="s">
        <v>651</v>
      </c>
      <c r="C1022" t="s">
        <v>340</v>
      </c>
      <c r="D1022" t="s">
        <v>1131</v>
      </c>
      <c r="E1022" t="s">
        <v>399</v>
      </c>
      <c r="F1022" s="1">
        <v>44532</v>
      </c>
      <c r="G1022" s="1">
        <v>44546</v>
      </c>
      <c r="H1022" t="s">
        <v>1251</v>
      </c>
      <c r="I1022">
        <v>240.79</v>
      </c>
      <c r="J1022">
        <v>240.79</v>
      </c>
      <c r="K1022">
        <v>0</v>
      </c>
      <c r="L1022">
        <v>0</v>
      </c>
      <c r="M1022">
        <v>0</v>
      </c>
      <c r="N1022">
        <v>240.79</v>
      </c>
      <c r="O1022" s="14">
        <f t="shared" ca="1" si="15"/>
        <v>1624</v>
      </c>
      <c r="P1022" t="s">
        <v>1066</v>
      </c>
    </row>
    <row r="1023" spans="1:16" ht="12.75" customHeight="1" x14ac:dyDescent="0.2">
      <c r="A1023" t="s">
        <v>604</v>
      </c>
      <c r="B1023" t="s">
        <v>651</v>
      </c>
      <c r="C1023" t="s">
        <v>340</v>
      </c>
      <c r="D1023" t="s">
        <v>1131</v>
      </c>
      <c r="E1023" t="s">
        <v>399</v>
      </c>
      <c r="F1023" s="1">
        <v>44573</v>
      </c>
      <c r="G1023" s="1">
        <v>44587</v>
      </c>
      <c r="H1023" t="s">
        <v>936</v>
      </c>
      <c r="I1023">
        <v>240.79</v>
      </c>
      <c r="J1023">
        <v>240.79</v>
      </c>
      <c r="K1023">
        <v>0</v>
      </c>
      <c r="L1023">
        <v>0</v>
      </c>
      <c r="M1023">
        <v>0</v>
      </c>
      <c r="N1023">
        <v>240.79</v>
      </c>
      <c r="O1023" s="14">
        <f t="shared" ca="1" si="15"/>
        <v>1583</v>
      </c>
      <c r="P1023" t="s">
        <v>1066</v>
      </c>
    </row>
    <row r="1024" spans="1:16" ht="12.75" customHeight="1" x14ac:dyDescent="0.2">
      <c r="A1024" t="s">
        <v>604</v>
      </c>
      <c r="B1024" t="s">
        <v>651</v>
      </c>
      <c r="C1024" t="s">
        <v>340</v>
      </c>
      <c r="D1024" t="s">
        <v>1131</v>
      </c>
      <c r="E1024" t="s">
        <v>399</v>
      </c>
      <c r="F1024" s="1">
        <v>44596</v>
      </c>
      <c r="G1024" s="1">
        <v>44610</v>
      </c>
      <c r="H1024" t="s">
        <v>623</v>
      </c>
      <c r="I1024">
        <v>240.79</v>
      </c>
      <c r="J1024">
        <v>240.79</v>
      </c>
      <c r="K1024">
        <v>0</v>
      </c>
      <c r="L1024">
        <v>0</v>
      </c>
      <c r="M1024">
        <v>0</v>
      </c>
      <c r="N1024">
        <v>240.79</v>
      </c>
      <c r="O1024" s="14">
        <f t="shared" ca="1" si="15"/>
        <v>1560</v>
      </c>
      <c r="P1024" t="s">
        <v>1066</v>
      </c>
    </row>
    <row r="1025" spans="1:16" ht="12.75" customHeight="1" x14ac:dyDescent="0.2">
      <c r="A1025" t="s">
        <v>604</v>
      </c>
      <c r="B1025" t="s">
        <v>651</v>
      </c>
      <c r="C1025" t="s">
        <v>340</v>
      </c>
      <c r="D1025" t="s">
        <v>1131</v>
      </c>
      <c r="E1025" t="s">
        <v>399</v>
      </c>
      <c r="F1025" s="1">
        <v>44628</v>
      </c>
      <c r="G1025" s="1">
        <v>44642</v>
      </c>
      <c r="H1025" t="s">
        <v>81</v>
      </c>
      <c r="I1025">
        <v>240.79</v>
      </c>
      <c r="J1025">
        <v>240.79</v>
      </c>
      <c r="K1025">
        <v>0</v>
      </c>
      <c r="L1025">
        <v>0</v>
      </c>
      <c r="M1025">
        <v>0</v>
      </c>
      <c r="N1025">
        <v>240.79</v>
      </c>
      <c r="O1025" s="14">
        <f t="shared" ca="1" si="15"/>
        <v>1528</v>
      </c>
      <c r="P1025" t="s">
        <v>1066</v>
      </c>
    </row>
    <row r="1026" spans="1:16" ht="12.75" customHeight="1" x14ac:dyDescent="0.2">
      <c r="A1026" t="s">
        <v>604</v>
      </c>
      <c r="B1026" t="s">
        <v>651</v>
      </c>
      <c r="C1026" t="s">
        <v>340</v>
      </c>
      <c r="D1026" t="s">
        <v>1131</v>
      </c>
      <c r="E1026" t="s">
        <v>399</v>
      </c>
      <c r="F1026" s="1">
        <v>44658</v>
      </c>
      <c r="G1026" s="1">
        <v>44672</v>
      </c>
      <c r="H1026" t="s">
        <v>55</v>
      </c>
      <c r="I1026">
        <v>240.79</v>
      </c>
      <c r="J1026">
        <v>240.79</v>
      </c>
      <c r="K1026">
        <v>0</v>
      </c>
      <c r="L1026">
        <v>0</v>
      </c>
      <c r="M1026">
        <v>0</v>
      </c>
      <c r="N1026">
        <v>240.79</v>
      </c>
      <c r="O1026" s="14">
        <f t="shared" ca="1" si="15"/>
        <v>1498</v>
      </c>
      <c r="P1026" t="s">
        <v>1066</v>
      </c>
    </row>
    <row r="1027" spans="1:16" ht="12.75" customHeight="1" x14ac:dyDescent="0.2">
      <c r="A1027" t="s">
        <v>604</v>
      </c>
      <c r="B1027" t="s">
        <v>651</v>
      </c>
      <c r="C1027" t="s">
        <v>340</v>
      </c>
      <c r="D1027" t="s">
        <v>1131</v>
      </c>
      <c r="E1027" t="s">
        <v>399</v>
      </c>
      <c r="F1027" s="1">
        <v>44684</v>
      </c>
      <c r="G1027" s="1">
        <v>44698</v>
      </c>
      <c r="H1027" t="s">
        <v>966</v>
      </c>
      <c r="I1027">
        <v>240.79</v>
      </c>
      <c r="J1027">
        <v>240.79</v>
      </c>
      <c r="K1027">
        <v>0</v>
      </c>
      <c r="L1027">
        <v>0</v>
      </c>
      <c r="M1027">
        <v>0</v>
      </c>
      <c r="N1027">
        <v>240.79</v>
      </c>
      <c r="O1027" s="14">
        <f t="shared" ref="O1027:O1074" ca="1" si="16">TODAY()-G1027</f>
        <v>1472</v>
      </c>
      <c r="P1027" t="s">
        <v>1066</v>
      </c>
    </row>
    <row r="1028" spans="1:16" ht="12.75" customHeight="1" x14ac:dyDescent="0.2">
      <c r="A1028" t="s">
        <v>604</v>
      </c>
      <c r="B1028" t="s">
        <v>651</v>
      </c>
      <c r="C1028" t="s">
        <v>340</v>
      </c>
      <c r="D1028" t="s">
        <v>1131</v>
      </c>
      <c r="E1028" t="s">
        <v>399</v>
      </c>
      <c r="F1028" s="1">
        <v>44714</v>
      </c>
      <c r="G1028" s="1">
        <v>44728</v>
      </c>
      <c r="H1028" t="s">
        <v>1003</v>
      </c>
      <c r="I1028">
        <v>240.79</v>
      </c>
      <c r="J1028">
        <v>240.79</v>
      </c>
      <c r="K1028">
        <v>0</v>
      </c>
      <c r="L1028">
        <v>0</v>
      </c>
      <c r="M1028">
        <v>0</v>
      </c>
      <c r="N1028">
        <v>240.79</v>
      </c>
      <c r="O1028" s="14">
        <f t="shared" ca="1" si="16"/>
        <v>1442</v>
      </c>
      <c r="P1028" t="s">
        <v>1066</v>
      </c>
    </row>
    <row r="1029" spans="1:16" ht="12.75" customHeight="1" x14ac:dyDescent="0.2">
      <c r="A1029" t="s">
        <v>604</v>
      </c>
      <c r="B1029" t="s">
        <v>651</v>
      </c>
      <c r="C1029" t="s">
        <v>340</v>
      </c>
      <c r="D1029" t="s">
        <v>1131</v>
      </c>
      <c r="E1029" t="s">
        <v>399</v>
      </c>
      <c r="F1029" s="1">
        <v>44754</v>
      </c>
      <c r="G1029" s="1">
        <v>44768</v>
      </c>
      <c r="H1029" t="s">
        <v>275</v>
      </c>
      <c r="I1029">
        <v>240.79</v>
      </c>
      <c r="J1029">
        <v>240.79</v>
      </c>
      <c r="K1029">
        <v>0</v>
      </c>
      <c r="L1029">
        <v>0</v>
      </c>
      <c r="M1029">
        <v>0</v>
      </c>
      <c r="N1029">
        <v>240.79</v>
      </c>
      <c r="O1029" s="14">
        <f t="shared" ca="1" si="16"/>
        <v>1402</v>
      </c>
      <c r="P1029" t="s">
        <v>1066</v>
      </c>
    </row>
    <row r="1030" spans="1:16" ht="12.75" customHeight="1" x14ac:dyDescent="0.2">
      <c r="A1030" t="s">
        <v>604</v>
      </c>
      <c r="B1030" t="s">
        <v>651</v>
      </c>
      <c r="C1030" t="s">
        <v>340</v>
      </c>
      <c r="D1030" t="s">
        <v>1131</v>
      </c>
      <c r="E1030" t="s">
        <v>399</v>
      </c>
      <c r="F1030" s="1">
        <v>44777</v>
      </c>
      <c r="G1030" s="1">
        <v>44791</v>
      </c>
      <c r="H1030" t="s">
        <v>645</v>
      </c>
      <c r="I1030">
        <v>240.79</v>
      </c>
      <c r="J1030">
        <v>240.79</v>
      </c>
      <c r="K1030">
        <v>0</v>
      </c>
      <c r="L1030">
        <v>0</v>
      </c>
      <c r="M1030">
        <v>0</v>
      </c>
      <c r="N1030">
        <v>240.79</v>
      </c>
      <c r="O1030" s="14">
        <f t="shared" ca="1" si="16"/>
        <v>1379</v>
      </c>
      <c r="P1030" t="s">
        <v>1066</v>
      </c>
    </row>
    <row r="1031" spans="1:16" ht="12.75" customHeight="1" x14ac:dyDescent="0.2">
      <c r="A1031" t="s">
        <v>604</v>
      </c>
      <c r="B1031" t="s">
        <v>651</v>
      </c>
      <c r="C1031" t="s">
        <v>340</v>
      </c>
      <c r="D1031" t="s">
        <v>1131</v>
      </c>
      <c r="E1031" t="s">
        <v>399</v>
      </c>
      <c r="F1031" s="1">
        <v>44812</v>
      </c>
      <c r="G1031" s="1">
        <v>44826</v>
      </c>
      <c r="H1031" t="s">
        <v>382</v>
      </c>
      <c r="I1031">
        <v>240.79</v>
      </c>
      <c r="J1031">
        <v>240.79</v>
      </c>
      <c r="K1031">
        <v>0</v>
      </c>
      <c r="L1031">
        <v>0</v>
      </c>
      <c r="M1031">
        <v>0</v>
      </c>
      <c r="N1031">
        <v>240.79</v>
      </c>
      <c r="O1031" s="14">
        <f t="shared" ca="1" si="16"/>
        <v>1344</v>
      </c>
      <c r="P1031" t="s">
        <v>1066</v>
      </c>
    </row>
    <row r="1032" spans="1:16" ht="12.75" customHeight="1" x14ac:dyDescent="0.2">
      <c r="A1032" t="s">
        <v>604</v>
      </c>
      <c r="B1032" t="s">
        <v>651</v>
      </c>
      <c r="C1032" t="s">
        <v>340</v>
      </c>
      <c r="D1032" t="s">
        <v>1131</v>
      </c>
      <c r="E1032" t="s">
        <v>399</v>
      </c>
      <c r="F1032" s="1">
        <v>44837</v>
      </c>
      <c r="G1032" s="1">
        <v>44851</v>
      </c>
      <c r="H1032" t="s">
        <v>161</v>
      </c>
      <c r="I1032">
        <v>240.79</v>
      </c>
      <c r="J1032">
        <v>240.79</v>
      </c>
      <c r="K1032">
        <v>0</v>
      </c>
      <c r="L1032">
        <v>0</v>
      </c>
      <c r="M1032">
        <v>0</v>
      </c>
      <c r="N1032">
        <v>240.79</v>
      </c>
      <c r="O1032" s="14">
        <f t="shared" ca="1" si="16"/>
        <v>1319</v>
      </c>
      <c r="P1032" t="s">
        <v>1066</v>
      </c>
    </row>
    <row r="1033" spans="1:16" ht="12.75" customHeight="1" x14ac:dyDescent="0.2">
      <c r="A1033" t="s">
        <v>604</v>
      </c>
      <c r="B1033" t="s">
        <v>651</v>
      </c>
      <c r="C1033" t="s">
        <v>340</v>
      </c>
      <c r="D1033" t="s">
        <v>1131</v>
      </c>
      <c r="E1033" t="s">
        <v>399</v>
      </c>
      <c r="F1033" s="1">
        <v>44868</v>
      </c>
      <c r="G1033" s="1">
        <v>44882</v>
      </c>
      <c r="H1033" t="s">
        <v>1112</v>
      </c>
      <c r="I1033">
        <v>240.79</v>
      </c>
      <c r="J1033">
        <v>240.79</v>
      </c>
      <c r="K1033">
        <v>0</v>
      </c>
      <c r="L1033">
        <v>0</v>
      </c>
      <c r="M1033">
        <v>0</v>
      </c>
      <c r="N1033">
        <v>240.79</v>
      </c>
      <c r="O1033" s="14">
        <f t="shared" ca="1" si="16"/>
        <v>1288</v>
      </c>
      <c r="P1033" t="s">
        <v>1066</v>
      </c>
    </row>
    <row r="1034" spans="1:16" ht="12.75" customHeight="1" x14ac:dyDescent="0.2">
      <c r="A1034" t="s">
        <v>604</v>
      </c>
      <c r="B1034" t="s">
        <v>651</v>
      </c>
      <c r="C1034" t="s">
        <v>340</v>
      </c>
      <c r="D1034" t="s">
        <v>1131</v>
      </c>
      <c r="E1034" t="s">
        <v>399</v>
      </c>
      <c r="F1034" s="1">
        <v>44896</v>
      </c>
      <c r="G1034" s="1">
        <v>44910</v>
      </c>
      <c r="H1034" t="s">
        <v>1108</v>
      </c>
      <c r="I1034">
        <v>240.79</v>
      </c>
      <c r="J1034">
        <v>240.79</v>
      </c>
      <c r="K1034">
        <v>0</v>
      </c>
      <c r="L1034">
        <v>0</v>
      </c>
      <c r="M1034">
        <v>0</v>
      </c>
      <c r="N1034">
        <v>240.79</v>
      </c>
      <c r="O1034" s="14">
        <f t="shared" ca="1" si="16"/>
        <v>1260</v>
      </c>
      <c r="P1034" t="s">
        <v>1066</v>
      </c>
    </row>
    <row r="1035" spans="1:16" ht="12.75" customHeight="1" x14ac:dyDescent="0.2">
      <c r="A1035" t="s">
        <v>604</v>
      </c>
      <c r="B1035" t="s">
        <v>651</v>
      </c>
      <c r="C1035" t="s">
        <v>340</v>
      </c>
      <c r="D1035" t="s">
        <v>1131</v>
      </c>
      <c r="E1035" t="s">
        <v>399</v>
      </c>
      <c r="F1035" s="1">
        <v>44942</v>
      </c>
      <c r="G1035" s="1">
        <v>44956</v>
      </c>
      <c r="H1035" t="s">
        <v>1050</v>
      </c>
      <c r="I1035">
        <v>240.79</v>
      </c>
      <c r="J1035">
        <v>240.79</v>
      </c>
      <c r="K1035">
        <v>0</v>
      </c>
      <c r="L1035">
        <v>0</v>
      </c>
      <c r="M1035">
        <v>0</v>
      </c>
      <c r="N1035">
        <v>240.79</v>
      </c>
      <c r="O1035" s="14">
        <f t="shared" ca="1" si="16"/>
        <v>1214</v>
      </c>
      <c r="P1035" t="s">
        <v>1066</v>
      </c>
    </row>
    <row r="1036" spans="1:16" ht="12.75" customHeight="1" x14ac:dyDescent="0.2">
      <c r="A1036" t="s">
        <v>604</v>
      </c>
      <c r="B1036" t="s">
        <v>651</v>
      </c>
      <c r="C1036" t="s">
        <v>340</v>
      </c>
      <c r="D1036" t="s">
        <v>1131</v>
      </c>
      <c r="E1036" t="s">
        <v>399</v>
      </c>
      <c r="F1036" s="1">
        <v>44965</v>
      </c>
      <c r="G1036" s="1">
        <v>44979</v>
      </c>
      <c r="H1036" t="s">
        <v>130</v>
      </c>
      <c r="I1036">
        <v>240.79</v>
      </c>
      <c r="J1036">
        <v>240.79</v>
      </c>
      <c r="K1036">
        <v>0</v>
      </c>
      <c r="L1036">
        <v>0</v>
      </c>
      <c r="M1036">
        <v>0</v>
      </c>
      <c r="N1036">
        <v>240.79</v>
      </c>
      <c r="O1036" s="14">
        <f t="shared" ca="1" si="16"/>
        <v>1191</v>
      </c>
      <c r="P1036" t="s">
        <v>1066</v>
      </c>
    </row>
    <row r="1037" spans="1:16" ht="12.75" customHeight="1" x14ac:dyDescent="0.2">
      <c r="A1037" t="s">
        <v>604</v>
      </c>
      <c r="B1037" t="s">
        <v>651</v>
      </c>
      <c r="C1037" t="s">
        <v>340</v>
      </c>
      <c r="D1037" t="s">
        <v>1131</v>
      </c>
      <c r="E1037" t="s">
        <v>399</v>
      </c>
      <c r="F1037" s="1">
        <v>44972</v>
      </c>
      <c r="G1037" s="1">
        <v>44986</v>
      </c>
      <c r="H1037" t="s">
        <v>618</v>
      </c>
      <c r="I1037">
        <v>646.08000000000004</v>
      </c>
      <c r="J1037">
        <v>646.08000000000004</v>
      </c>
      <c r="K1037">
        <v>0</v>
      </c>
      <c r="L1037">
        <v>0</v>
      </c>
      <c r="M1037">
        <v>0</v>
      </c>
      <c r="N1037">
        <v>646.08000000000004</v>
      </c>
      <c r="O1037" s="14">
        <f t="shared" ca="1" si="16"/>
        <v>1184</v>
      </c>
      <c r="P1037" t="s">
        <v>1066</v>
      </c>
    </row>
    <row r="1038" spans="1:16" ht="12.75" customHeight="1" x14ac:dyDescent="0.2">
      <c r="A1038" t="s">
        <v>604</v>
      </c>
      <c r="B1038" t="s">
        <v>651</v>
      </c>
      <c r="C1038" t="s">
        <v>340</v>
      </c>
      <c r="D1038" t="s">
        <v>1131</v>
      </c>
      <c r="E1038" t="s">
        <v>399</v>
      </c>
      <c r="F1038" s="1">
        <v>44991</v>
      </c>
      <c r="G1038" s="1">
        <v>45005</v>
      </c>
      <c r="H1038" t="s">
        <v>12</v>
      </c>
      <c r="I1038">
        <v>240.79</v>
      </c>
      <c r="J1038">
        <v>240.79</v>
      </c>
      <c r="K1038">
        <v>0</v>
      </c>
      <c r="L1038">
        <v>0</v>
      </c>
      <c r="M1038">
        <v>0</v>
      </c>
      <c r="N1038">
        <v>240.79</v>
      </c>
      <c r="O1038" s="14">
        <f t="shared" ca="1" si="16"/>
        <v>1165</v>
      </c>
      <c r="P1038" t="s">
        <v>1066</v>
      </c>
    </row>
    <row r="1039" spans="1:16" ht="12.75" customHeight="1" x14ac:dyDescent="0.2">
      <c r="A1039" t="s">
        <v>604</v>
      </c>
      <c r="B1039" t="s">
        <v>651</v>
      </c>
      <c r="C1039" t="s">
        <v>340</v>
      </c>
      <c r="D1039" t="s">
        <v>1131</v>
      </c>
      <c r="E1039" t="s">
        <v>399</v>
      </c>
      <c r="F1039" s="1">
        <v>45013</v>
      </c>
      <c r="G1039" s="1">
        <v>45027</v>
      </c>
      <c r="H1039" t="s">
        <v>356</v>
      </c>
      <c r="I1039">
        <v>1346.13</v>
      </c>
      <c r="J1039">
        <v>1346.13</v>
      </c>
      <c r="K1039">
        <v>0</v>
      </c>
      <c r="L1039">
        <v>0</v>
      </c>
      <c r="M1039">
        <v>0</v>
      </c>
      <c r="N1039">
        <v>1346.13</v>
      </c>
      <c r="O1039" s="14">
        <f t="shared" ca="1" si="16"/>
        <v>1143</v>
      </c>
      <c r="P1039" t="s">
        <v>1066</v>
      </c>
    </row>
    <row r="1040" spans="1:16" ht="12.75" customHeight="1" x14ac:dyDescent="0.2">
      <c r="A1040" t="s">
        <v>604</v>
      </c>
      <c r="B1040" t="s">
        <v>651</v>
      </c>
      <c r="C1040" t="s">
        <v>340</v>
      </c>
      <c r="D1040" t="s">
        <v>1131</v>
      </c>
      <c r="E1040" t="s">
        <v>399</v>
      </c>
      <c r="F1040" s="1">
        <v>45020</v>
      </c>
      <c r="G1040" s="1">
        <v>45034</v>
      </c>
      <c r="H1040" t="s">
        <v>75</v>
      </c>
      <c r="I1040">
        <v>240.79</v>
      </c>
      <c r="J1040">
        <v>240.79</v>
      </c>
      <c r="K1040">
        <v>0</v>
      </c>
      <c r="L1040">
        <v>0</v>
      </c>
      <c r="M1040">
        <v>0</v>
      </c>
      <c r="N1040">
        <v>240.79</v>
      </c>
      <c r="O1040" s="14">
        <f t="shared" ca="1" si="16"/>
        <v>1136</v>
      </c>
      <c r="P1040" t="s">
        <v>1066</v>
      </c>
    </row>
    <row r="1041" spans="1:16" ht="12.75" customHeight="1" x14ac:dyDescent="0.2">
      <c r="A1041" t="s">
        <v>604</v>
      </c>
      <c r="B1041" t="s">
        <v>651</v>
      </c>
      <c r="C1041" t="s">
        <v>340</v>
      </c>
      <c r="D1041" t="s">
        <v>1131</v>
      </c>
      <c r="E1041" t="s">
        <v>399</v>
      </c>
      <c r="F1041" s="1">
        <v>45048</v>
      </c>
      <c r="G1041" s="1">
        <v>45062</v>
      </c>
      <c r="H1041" t="s">
        <v>1184</v>
      </c>
      <c r="I1041">
        <v>240.79</v>
      </c>
      <c r="J1041">
        <v>240.79</v>
      </c>
      <c r="K1041">
        <v>0</v>
      </c>
      <c r="L1041">
        <v>0</v>
      </c>
      <c r="M1041">
        <v>0</v>
      </c>
      <c r="N1041">
        <v>240.79</v>
      </c>
      <c r="O1041" s="14">
        <f t="shared" ca="1" si="16"/>
        <v>1108</v>
      </c>
      <c r="P1041" t="s">
        <v>1066</v>
      </c>
    </row>
    <row r="1042" spans="1:16" ht="12.75" customHeight="1" x14ac:dyDescent="0.2">
      <c r="A1042" t="s">
        <v>604</v>
      </c>
      <c r="B1042" t="s">
        <v>651</v>
      </c>
      <c r="C1042" t="s">
        <v>340</v>
      </c>
      <c r="D1042" t="s">
        <v>1131</v>
      </c>
      <c r="E1042" t="s">
        <v>399</v>
      </c>
      <c r="F1042" s="1">
        <v>45082</v>
      </c>
      <c r="G1042" s="1">
        <v>45096</v>
      </c>
      <c r="H1042" t="s">
        <v>727</v>
      </c>
      <c r="I1042">
        <v>240.79</v>
      </c>
      <c r="J1042">
        <v>240.79</v>
      </c>
      <c r="K1042">
        <v>0</v>
      </c>
      <c r="L1042">
        <v>0</v>
      </c>
      <c r="M1042">
        <v>0</v>
      </c>
      <c r="N1042">
        <v>240.79</v>
      </c>
      <c r="O1042" s="14">
        <f t="shared" ca="1" si="16"/>
        <v>1074</v>
      </c>
      <c r="P1042" t="s">
        <v>1066</v>
      </c>
    </row>
    <row r="1043" spans="1:16" ht="12.75" customHeight="1" x14ac:dyDescent="0.2">
      <c r="A1043" t="s">
        <v>604</v>
      </c>
      <c r="B1043" t="s">
        <v>651</v>
      </c>
      <c r="C1043" t="s">
        <v>340</v>
      </c>
      <c r="D1043" t="s">
        <v>1131</v>
      </c>
      <c r="E1043" t="s">
        <v>399</v>
      </c>
      <c r="F1043" s="1">
        <v>45110</v>
      </c>
      <c r="G1043" s="1">
        <v>45124</v>
      </c>
      <c r="H1043" t="s">
        <v>208</v>
      </c>
      <c r="I1043">
        <v>240.79</v>
      </c>
      <c r="J1043">
        <v>240.79</v>
      </c>
      <c r="K1043">
        <v>0</v>
      </c>
      <c r="L1043">
        <v>0</v>
      </c>
      <c r="M1043">
        <v>0</v>
      </c>
      <c r="N1043">
        <v>240.79</v>
      </c>
      <c r="O1043" s="14">
        <f t="shared" ca="1" si="16"/>
        <v>1046</v>
      </c>
      <c r="P1043" t="s">
        <v>1066</v>
      </c>
    </row>
    <row r="1044" spans="1:16" ht="12.75" customHeight="1" x14ac:dyDescent="0.2">
      <c r="A1044" t="s">
        <v>604</v>
      </c>
      <c r="B1044" t="s">
        <v>651</v>
      </c>
      <c r="C1044" t="s">
        <v>340</v>
      </c>
      <c r="D1044" t="s">
        <v>1131</v>
      </c>
      <c r="E1044" t="s">
        <v>399</v>
      </c>
      <c r="F1044" s="1">
        <v>45141</v>
      </c>
      <c r="G1044" s="1">
        <v>45155</v>
      </c>
      <c r="H1044" t="s">
        <v>82</v>
      </c>
      <c r="I1044">
        <v>240.79</v>
      </c>
      <c r="J1044">
        <v>240.79</v>
      </c>
      <c r="K1044">
        <v>0</v>
      </c>
      <c r="L1044">
        <v>0</v>
      </c>
      <c r="M1044">
        <v>0</v>
      </c>
      <c r="N1044">
        <v>240.79</v>
      </c>
      <c r="O1044" s="14">
        <f t="shared" ca="1" si="16"/>
        <v>1015</v>
      </c>
      <c r="P1044" t="s">
        <v>1066</v>
      </c>
    </row>
    <row r="1045" spans="1:16" ht="12.75" customHeight="1" x14ac:dyDescent="0.2">
      <c r="A1045" t="s">
        <v>604</v>
      </c>
      <c r="B1045" t="s">
        <v>651</v>
      </c>
      <c r="C1045" t="s">
        <v>340</v>
      </c>
      <c r="D1045" t="s">
        <v>1131</v>
      </c>
      <c r="E1045" t="s">
        <v>399</v>
      </c>
      <c r="F1045" s="1">
        <v>45174</v>
      </c>
      <c r="G1045" s="1">
        <v>45188</v>
      </c>
      <c r="H1045" t="s">
        <v>133</v>
      </c>
      <c r="I1045">
        <v>240.79</v>
      </c>
      <c r="J1045">
        <v>240.79</v>
      </c>
      <c r="K1045">
        <v>0</v>
      </c>
      <c r="L1045">
        <v>0</v>
      </c>
      <c r="M1045">
        <v>0</v>
      </c>
      <c r="N1045">
        <v>240.79</v>
      </c>
      <c r="O1045" s="14">
        <f t="shared" ca="1" si="16"/>
        <v>982</v>
      </c>
      <c r="P1045" t="s">
        <v>1066</v>
      </c>
    </row>
    <row r="1046" spans="1:16" ht="12.75" customHeight="1" x14ac:dyDescent="0.2">
      <c r="A1046" t="s">
        <v>604</v>
      </c>
      <c r="B1046" t="s">
        <v>651</v>
      </c>
      <c r="C1046" t="s">
        <v>340</v>
      </c>
      <c r="D1046" t="s">
        <v>1131</v>
      </c>
      <c r="E1046" t="s">
        <v>399</v>
      </c>
      <c r="F1046" s="1">
        <v>45187</v>
      </c>
      <c r="G1046" s="1">
        <v>45201</v>
      </c>
      <c r="H1046" t="s">
        <v>31</v>
      </c>
      <c r="I1046">
        <v>1886.09</v>
      </c>
      <c r="J1046">
        <v>1886.09</v>
      </c>
      <c r="K1046">
        <v>0</v>
      </c>
      <c r="L1046">
        <v>0</v>
      </c>
      <c r="M1046">
        <v>0</v>
      </c>
      <c r="N1046">
        <v>1886.09</v>
      </c>
      <c r="O1046" s="14">
        <f t="shared" ca="1" si="16"/>
        <v>969</v>
      </c>
      <c r="P1046" t="s">
        <v>1066</v>
      </c>
    </row>
    <row r="1047" spans="1:16" ht="12.75" customHeight="1" x14ac:dyDescent="0.2">
      <c r="A1047" t="s">
        <v>604</v>
      </c>
      <c r="B1047" t="s">
        <v>651</v>
      </c>
      <c r="C1047" t="s">
        <v>340</v>
      </c>
      <c r="D1047" t="s">
        <v>1131</v>
      </c>
      <c r="E1047" t="s">
        <v>399</v>
      </c>
      <c r="F1047" s="1">
        <v>45202</v>
      </c>
      <c r="G1047" s="1">
        <v>45216</v>
      </c>
      <c r="H1047" t="s">
        <v>145</v>
      </c>
      <c r="I1047">
        <v>240.79</v>
      </c>
      <c r="J1047">
        <v>240.79</v>
      </c>
      <c r="K1047">
        <v>0</v>
      </c>
      <c r="L1047">
        <v>0</v>
      </c>
      <c r="M1047">
        <v>0</v>
      </c>
      <c r="N1047">
        <v>240.79</v>
      </c>
      <c r="O1047" s="14">
        <f t="shared" ca="1" si="16"/>
        <v>954</v>
      </c>
      <c r="P1047" t="s">
        <v>1066</v>
      </c>
    </row>
    <row r="1048" spans="1:16" ht="12.75" customHeight="1" x14ac:dyDescent="0.2">
      <c r="A1048" t="s">
        <v>604</v>
      </c>
      <c r="B1048" t="s">
        <v>651</v>
      </c>
      <c r="C1048" t="s">
        <v>340</v>
      </c>
      <c r="D1048" t="s">
        <v>1131</v>
      </c>
      <c r="E1048" t="s">
        <v>399</v>
      </c>
      <c r="F1048" s="1">
        <v>45237</v>
      </c>
      <c r="G1048" s="1">
        <v>45251</v>
      </c>
      <c r="H1048" t="s">
        <v>338</v>
      </c>
      <c r="I1048">
        <v>240.79</v>
      </c>
      <c r="J1048">
        <v>240.79</v>
      </c>
      <c r="K1048">
        <v>0</v>
      </c>
      <c r="L1048">
        <v>0</v>
      </c>
      <c r="M1048">
        <v>0</v>
      </c>
      <c r="N1048">
        <v>240.79</v>
      </c>
      <c r="O1048" s="14">
        <f t="shared" ca="1" si="16"/>
        <v>919</v>
      </c>
      <c r="P1048" t="s">
        <v>1066</v>
      </c>
    </row>
    <row r="1049" spans="1:16" ht="12.75" customHeight="1" x14ac:dyDescent="0.2">
      <c r="A1049" t="s">
        <v>604</v>
      </c>
      <c r="B1049" t="s">
        <v>651</v>
      </c>
      <c r="C1049" t="s">
        <v>340</v>
      </c>
      <c r="D1049" t="s">
        <v>1131</v>
      </c>
      <c r="E1049" t="s">
        <v>399</v>
      </c>
      <c r="F1049" s="1">
        <v>45265</v>
      </c>
      <c r="G1049" s="1">
        <v>45279</v>
      </c>
      <c r="H1049" t="s">
        <v>1245</v>
      </c>
      <c r="I1049">
        <v>240.79</v>
      </c>
      <c r="J1049">
        <v>240.79</v>
      </c>
      <c r="K1049">
        <v>0</v>
      </c>
      <c r="L1049">
        <v>0</v>
      </c>
      <c r="M1049">
        <v>0</v>
      </c>
      <c r="N1049">
        <v>240.79</v>
      </c>
      <c r="O1049" s="14">
        <f t="shared" ca="1" si="16"/>
        <v>891</v>
      </c>
      <c r="P1049" t="s">
        <v>1066</v>
      </c>
    </row>
    <row r="1050" spans="1:16" ht="12.75" customHeight="1" x14ac:dyDescent="0.2">
      <c r="A1050" t="s">
        <v>604</v>
      </c>
      <c r="B1050" t="s">
        <v>651</v>
      </c>
      <c r="C1050" t="s">
        <v>340</v>
      </c>
      <c r="D1050" t="s">
        <v>1131</v>
      </c>
      <c r="E1050" t="s">
        <v>399</v>
      </c>
      <c r="F1050" s="1">
        <v>45393</v>
      </c>
      <c r="G1050" s="1">
        <v>45407</v>
      </c>
      <c r="H1050" t="s">
        <v>137</v>
      </c>
      <c r="I1050">
        <v>127.17</v>
      </c>
      <c r="J1050">
        <v>127.17</v>
      </c>
      <c r="K1050">
        <v>0</v>
      </c>
      <c r="L1050">
        <v>0</v>
      </c>
      <c r="M1050">
        <v>0</v>
      </c>
      <c r="N1050">
        <v>127.17</v>
      </c>
      <c r="O1050" s="14">
        <f t="shared" ca="1" si="16"/>
        <v>763</v>
      </c>
      <c r="P1050" t="s">
        <v>589</v>
      </c>
    </row>
    <row r="1051" spans="1:16" ht="12.75" customHeight="1" x14ac:dyDescent="0.2">
      <c r="A1051" t="s">
        <v>604</v>
      </c>
      <c r="B1051" t="s">
        <v>651</v>
      </c>
      <c r="C1051" t="s">
        <v>340</v>
      </c>
      <c r="D1051" t="s">
        <v>1131</v>
      </c>
      <c r="E1051" t="s">
        <v>399</v>
      </c>
      <c r="F1051" s="1">
        <v>45393</v>
      </c>
      <c r="G1051" s="1">
        <v>45407</v>
      </c>
      <c r="H1051" t="s">
        <v>459</v>
      </c>
      <c r="I1051">
        <v>784.99</v>
      </c>
      <c r="J1051">
        <v>784.99</v>
      </c>
      <c r="K1051">
        <v>0</v>
      </c>
      <c r="L1051">
        <v>0</v>
      </c>
      <c r="M1051">
        <v>0</v>
      </c>
      <c r="N1051">
        <v>784.99</v>
      </c>
      <c r="O1051" s="14">
        <f t="shared" ca="1" si="16"/>
        <v>763</v>
      </c>
      <c r="P1051" t="s">
        <v>589</v>
      </c>
    </row>
    <row r="1052" spans="1:16" ht="12.75" customHeight="1" x14ac:dyDescent="0.2">
      <c r="A1052" t="s">
        <v>604</v>
      </c>
      <c r="B1052" t="s">
        <v>651</v>
      </c>
      <c r="C1052" t="s">
        <v>1268</v>
      </c>
      <c r="D1052" t="s">
        <v>220</v>
      </c>
      <c r="E1052" t="s">
        <v>399</v>
      </c>
      <c r="F1052" s="1">
        <v>45511</v>
      </c>
      <c r="G1052" s="1">
        <v>45541</v>
      </c>
      <c r="H1052" t="s">
        <v>999</v>
      </c>
      <c r="I1052">
        <v>249.56</v>
      </c>
      <c r="J1052">
        <v>249.56</v>
      </c>
      <c r="K1052">
        <v>0</v>
      </c>
      <c r="L1052">
        <v>0</v>
      </c>
      <c r="M1052">
        <v>0</v>
      </c>
      <c r="N1052">
        <v>249.56</v>
      </c>
      <c r="O1052" s="14">
        <f t="shared" ca="1" si="16"/>
        <v>629</v>
      </c>
      <c r="P1052" t="s">
        <v>589</v>
      </c>
    </row>
    <row r="1053" spans="1:16" ht="12.75" customHeight="1" x14ac:dyDescent="0.2">
      <c r="A1053" t="s">
        <v>604</v>
      </c>
      <c r="B1053" t="s">
        <v>651</v>
      </c>
      <c r="C1053" t="s">
        <v>79</v>
      </c>
      <c r="D1053" t="s">
        <v>138</v>
      </c>
      <c r="E1053" t="s">
        <v>399</v>
      </c>
      <c r="F1053" s="1">
        <v>46051</v>
      </c>
      <c r="G1053" s="1">
        <v>46065</v>
      </c>
      <c r="H1053" t="s">
        <v>64</v>
      </c>
      <c r="I1053">
        <v>464.64</v>
      </c>
      <c r="J1053">
        <v>464.64</v>
      </c>
      <c r="K1053">
        <v>0</v>
      </c>
      <c r="L1053">
        <v>0</v>
      </c>
      <c r="M1053">
        <v>0</v>
      </c>
      <c r="N1053">
        <v>464.64</v>
      </c>
      <c r="O1053" s="14">
        <f t="shared" ca="1" si="16"/>
        <v>105</v>
      </c>
      <c r="P1053" t="s">
        <v>589</v>
      </c>
    </row>
    <row r="1054" spans="1:16" ht="12.75" customHeight="1" x14ac:dyDescent="0.2">
      <c r="A1054" t="s">
        <v>604</v>
      </c>
      <c r="B1054" t="s">
        <v>651</v>
      </c>
      <c r="C1054" t="s">
        <v>79</v>
      </c>
      <c r="D1054" t="s">
        <v>138</v>
      </c>
      <c r="E1054" t="s">
        <v>399</v>
      </c>
      <c r="F1054" s="1">
        <v>46052</v>
      </c>
      <c r="G1054" s="1">
        <v>46066</v>
      </c>
      <c r="H1054" t="s">
        <v>932</v>
      </c>
      <c r="I1054">
        <v>464.64</v>
      </c>
      <c r="J1054">
        <v>464.64</v>
      </c>
      <c r="K1054">
        <v>0</v>
      </c>
      <c r="L1054">
        <v>0</v>
      </c>
      <c r="M1054">
        <v>0</v>
      </c>
      <c r="N1054">
        <v>464.64</v>
      </c>
      <c r="O1054" s="14">
        <f t="shared" ca="1" si="16"/>
        <v>104</v>
      </c>
      <c r="P1054" t="s">
        <v>589</v>
      </c>
    </row>
    <row r="1055" spans="1:16" ht="12.75" customHeight="1" x14ac:dyDescent="0.2">
      <c r="A1055" t="s">
        <v>604</v>
      </c>
      <c r="B1055" t="s">
        <v>651</v>
      </c>
      <c r="C1055" t="s">
        <v>79</v>
      </c>
      <c r="D1055" t="s">
        <v>138</v>
      </c>
      <c r="E1055" t="s">
        <v>399</v>
      </c>
      <c r="F1055" s="1">
        <v>46055</v>
      </c>
      <c r="G1055" s="1">
        <v>46085</v>
      </c>
      <c r="H1055" t="s">
        <v>649</v>
      </c>
      <c r="I1055">
        <v>319.44</v>
      </c>
      <c r="J1055">
        <v>319.44</v>
      </c>
      <c r="K1055">
        <v>0</v>
      </c>
      <c r="L1055">
        <v>0</v>
      </c>
      <c r="M1055">
        <v>319.44</v>
      </c>
      <c r="N1055">
        <v>0</v>
      </c>
      <c r="O1055" s="14">
        <f t="shared" ca="1" si="16"/>
        <v>85</v>
      </c>
      <c r="P1055" t="s">
        <v>589</v>
      </c>
    </row>
    <row r="1056" spans="1:16" ht="12.75" customHeight="1" x14ac:dyDescent="0.2">
      <c r="A1056" t="s">
        <v>604</v>
      </c>
      <c r="B1056" t="s">
        <v>651</v>
      </c>
      <c r="C1056" t="s">
        <v>79</v>
      </c>
      <c r="D1056" t="s">
        <v>138</v>
      </c>
      <c r="E1056" t="s">
        <v>399</v>
      </c>
      <c r="F1056" s="1">
        <v>46055</v>
      </c>
      <c r="G1056" s="1">
        <v>46069</v>
      </c>
      <c r="H1056" t="s">
        <v>592</v>
      </c>
      <c r="I1056">
        <v>232.32</v>
      </c>
      <c r="J1056">
        <v>232.32</v>
      </c>
      <c r="K1056">
        <v>0</v>
      </c>
      <c r="L1056">
        <v>0</v>
      </c>
      <c r="M1056">
        <v>0</v>
      </c>
      <c r="N1056">
        <v>232.32</v>
      </c>
      <c r="O1056" s="14">
        <f t="shared" ca="1" si="16"/>
        <v>101</v>
      </c>
      <c r="P1056" t="s">
        <v>589</v>
      </c>
    </row>
    <row r="1057" spans="1:16" ht="12.75" customHeight="1" x14ac:dyDescent="0.2">
      <c r="A1057" t="s">
        <v>604</v>
      </c>
      <c r="B1057" t="s">
        <v>651</v>
      </c>
      <c r="C1057" t="s">
        <v>79</v>
      </c>
      <c r="D1057" t="s">
        <v>138</v>
      </c>
      <c r="E1057" t="s">
        <v>399</v>
      </c>
      <c r="F1057" s="1">
        <v>46065</v>
      </c>
      <c r="G1057" s="1">
        <v>46095</v>
      </c>
      <c r="H1057" t="s">
        <v>485</v>
      </c>
      <c r="I1057">
        <v>-319.44</v>
      </c>
      <c r="J1057">
        <v>-319.44</v>
      </c>
      <c r="K1057">
        <v>0</v>
      </c>
      <c r="L1057">
        <v>0</v>
      </c>
      <c r="M1057">
        <v>-319.44</v>
      </c>
      <c r="N1057">
        <v>0</v>
      </c>
      <c r="O1057" s="14">
        <f t="shared" ca="1" si="16"/>
        <v>75</v>
      </c>
      <c r="P1057" t="s">
        <v>589</v>
      </c>
    </row>
    <row r="1058" spans="1:16" ht="12.75" customHeight="1" x14ac:dyDescent="0.2">
      <c r="A1058" t="s">
        <v>604</v>
      </c>
      <c r="B1058" t="s">
        <v>651</v>
      </c>
      <c r="C1058" t="s">
        <v>79</v>
      </c>
      <c r="D1058" t="s">
        <v>138</v>
      </c>
      <c r="E1058" t="s">
        <v>399</v>
      </c>
      <c r="F1058" s="1">
        <v>46065</v>
      </c>
      <c r="G1058" s="1">
        <v>46079</v>
      </c>
      <c r="H1058" t="s">
        <v>490</v>
      </c>
      <c r="I1058">
        <v>-232.32</v>
      </c>
      <c r="J1058">
        <v>-232.32</v>
      </c>
      <c r="K1058">
        <v>0</v>
      </c>
      <c r="L1058">
        <v>0</v>
      </c>
      <c r="M1058">
        <v>0</v>
      </c>
      <c r="N1058">
        <v>-232.32</v>
      </c>
      <c r="O1058" s="14">
        <f t="shared" ca="1" si="16"/>
        <v>91</v>
      </c>
      <c r="P1058" t="s">
        <v>589</v>
      </c>
    </row>
    <row r="1059" spans="1:16" ht="12.75" customHeight="1" x14ac:dyDescent="0.2">
      <c r="A1059" t="s">
        <v>604</v>
      </c>
      <c r="B1059" t="s">
        <v>651</v>
      </c>
      <c r="C1059" t="s">
        <v>79</v>
      </c>
      <c r="D1059" t="s">
        <v>138</v>
      </c>
      <c r="E1059" t="s">
        <v>399</v>
      </c>
      <c r="F1059" s="1">
        <v>46065</v>
      </c>
      <c r="G1059" s="1">
        <v>46079</v>
      </c>
      <c r="H1059" t="s">
        <v>938</v>
      </c>
      <c r="I1059">
        <v>-464.64</v>
      </c>
      <c r="J1059">
        <v>-464.64</v>
      </c>
      <c r="K1059">
        <v>0</v>
      </c>
      <c r="L1059">
        <v>0</v>
      </c>
      <c r="M1059">
        <v>0</v>
      </c>
      <c r="N1059">
        <v>-464.64</v>
      </c>
      <c r="O1059" s="14">
        <f t="shared" ca="1" si="16"/>
        <v>91</v>
      </c>
      <c r="P1059" t="s">
        <v>589</v>
      </c>
    </row>
    <row r="1060" spans="1:16" ht="12.75" customHeight="1" x14ac:dyDescent="0.2">
      <c r="A1060" t="s">
        <v>604</v>
      </c>
      <c r="B1060" t="s">
        <v>651</v>
      </c>
      <c r="C1060" t="s">
        <v>79</v>
      </c>
      <c r="D1060" t="s">
        <v>138</v>
      </c>
      <c r="E1060" t="s">
        <v>399</v>
      </c>
      <c r="F1060" s="1">
        <v>46065</v>
      </c>
      <c r="G1060" s="1">
        <v>46079</v>
      </c>
      <c r="H1060" t="s">
        <v>1065</v>
      </c>
      <c r="I1060">
        <v>-464.64</v>
      </c>
      <c r="J1060">
        <v>-464.64</v>
      </c>
      <c r="K1060">
        <v>0</v>
      </c>
      <c r="L1060">
        <v>0</v>
      </c>
      <c r="M1060">
        <v>0</v>
      </c>
      <c r="N1060">
        <v>-464.64</v>
      </c>
      <c r="O1060" s="14">
        <f t="shared" ca="1" si="16"/>
        <v>91</v>
      </c>
      <c r="P1060" t="s">
        <v>589</v>
      </c>
    </row>
    <row r="1061" spans="1:16" ht="12.75" customHeight="1" x14ac:dyDescent="0.2">
      <c r="A1061" t="s">
        <v>604</v>
      </c>
      <c r="B1061" t="s">
        <v>651</v>
      </c>
      <c r="C1061" t="s">
        <v>394</v>
      </c>
      <c r="D1061" t="s">
        <v>1053</v>
      </c>
      <c r="E1061" t="s">
        <v>399</v>
      </c>
      <c r="F1061" s="1">
        <v>46072</v>
      </c>
      <c r="G1061" s="1">
        <v>46102</v>
      </c>
      <c r="H1061" t="s">
        <v>1031</v>
      </c>
      <c r="I1061">
        <v>-525</v>
      </c>
      <c r="J1061">
        <v>-525</v>
      </c>
      <c r="K1061">
        <v>0</v>
      </c>
      <c r="L1061">
        <v>0</v>
      </c>
      <c r="M1061">
        <v>-525</v>
      </c>
      <c r="N1061">
        <v>0</v>
      </c>
      <c r="O1061" s="14">
        <f t="shared" ca="1" si="16"/>
        <v>68</v>
      </c>
      <c r="P1061" t="s">
        <v>589</v>
      </c>
    </row>
    <row r="1062" spans="1:16" ht="12.75" customHeight="1" x14ac:dyDescent="0.2">
      <c r="A1062" t="s">
        <v>604</v>
      </c>
      <c r="B1062" t="s">
        <v>651</v>
      </c>
      <c r="C1062" t="s">
        <v>394</v>
      </c>
      <c r="D1062" t="s">
        <v>1053</v>
      </c>
      <c r="E1062" t="s">
        <v>399</v>
      </c>
      <c r="F1062" s="1">
        <v>46072</v>
      </c>
      <c r="G1062" s="1">
        <v>46102</v>
      </c>
      <c r="H1062" t="s">
        <v>1111</v>
      </c>
      <c r="I1062">
        <v>525</v>
      </c>
      <c r="J1062">
        <v>525</v>
      </c>
      <c r="K1062">
        <v>0</v>
      </c>
      <c r="L1062">
        <v>0</v>
      </c>
      <c r="M1062">
        <v>525</v>
      </c>
      <c r="N1062">
        <v>0</v>
      </c>
      <c r="O1062" s="14">
        <f t="shared" ca="1" si="16"/>
        <v>68</v>
      </c>
      <c r="P1062" t="s">
        <v>589</v>
      </c>
    </row>
    <row r="1063" spans="1:16" ht="12.75" customHeight="1" x14ac:dyDescent="0.2">
      <c r="A1063" t="s">
        <v>604</v>
      </c>
      <c r="B1063" t="s">
        <v>651</v>
      </c>
      <c r="C1063" t="s">
        <v>394</v>
      </c>
      <c r="D1063" t="s">
        <v>1053</v>
      </c>
      <c r="E1063" t="s">
        <v>399</v>
      </c>
      <c r="F1063" s="1">
        <v>46072</v>
      </c>
      <c r="G1063" s="1">
        <v>46102</v>
      </c>
      <c r="H1063" t="s">
        <v>1224</v>
      </c>
      <c r="I1063">
        <v>-525</v>
      </c>
      <c r="J1063">
        <v>-525</v>
      </c>
      <c r="K1063">
        <v>0</v>
      </c>
      <c r="L1063">
        <v>0</v>
      </c>
      <c r="M1063">
        <v>-525</v>
      </c>
      <c r="N1063">
        <v>0</v>
      </c>
      <c r="O1063" s="14">
        <f t="shared" ca="1" si="16"/>
        <v>68</v>
      </c>
      <c r="P1063" t="s">
        <v>589</v>
      </c>
    </row>
    <row r="1064" spans="1:16" ht="12.75" customHeight="1" x14ac:dyDescent="0.2">
      <c r="A1064" t="s">
        <v>604</v>
      </c>
      <c r="B1064" t="s">
        <v>651</v>
      </c>
      <c r="C1064" t="s">
        <v>394</v>
      </c>
      <c r="D1064" t="s">
        <v>1053</v>
      </c>
      <c r="E1064" t="s">
        <v>399</v>
      </c>
      <c r="F1064" s="1">
        <v>46072</v>
      </c>
      <c r="G1064" s="1">
        <v>46102</v>
      </c>
      <c r="H1064" t="s">
        <v>1225</v>
      </c>
      <c r="I1064">
        <v>525</v>
      </c>
      <c r="J1064">
        <v>525</v>
      </c>
      <c r="K1064">
        <v>0</v>
      </c>
      <c r="L1064">
        <v>0</v>
      </c>
      <c r="M1064">
        <v>525</v>
      </c>
      <c r="N1064">
        <v>0</v>
      </c>
      <c r="O1064" s="14">
        <f t="shared" ca="1" si="16"/>
        <v>68</v>
      </c>
      <c r="P1064" t="s">
        <v>589</v>
      </c>
    </row>
    <row r="1065" spans="1:16" ht="12.75" customHeight="1" x14ac:dyDescent="0.2">
      <c r="A1065" t="s">
        <v>604</v>
      </c>
      <c r="B1065" t="s">
        <v>651</v>
      </c>
      <c r="C1065" t="s">
        <v>394</v>
      </c>
      <c r="D1065" t="s">
        <v>1053</v>
      </c>
      <c r="E1065" t="s">
        <v>399</v>
      </c>
      <c r="F1065" s="1">
        <v>46072</v>
      </c>
      <c r="G1065" s="1">
        <v>46102</v>
      </c>
      <c r="H1065" t="s">
        <v>418</v>
      </c>
      <c r="I1065">
        <v>-525</v>
      </c>
      <c r="J1065">
        <v>-525</v>
      </c>
      <c r="K1065">
        <v>0</v>
      </c>
      <c r="L1065">
        <v>0</v>
      </c>
      <c r="M1065">
        <v>-525</v>
      </c>
      <c r="N1065">
        <v>0</v>
      </c>
      <c r="O1065" s="14">
        <f t="shared" ca="1" si="16"/>
        <v>68</v>
      </c>
      <c r="P1065" t="s">
        <v>589</v>
      </c>
    </row>
    <row r="1066" spans="1:16" ht="12.75" customHeight="1" x14ac:dyDescent="0.2">
      <c r="A1066" t="s">
        <v>604</v>
      </c>
      <c r="B1066" t="s">
        <v>651</v>
      </c>
      <c r="C1066" t="s">
        <v>394</v>
      </c>
      <c r="D1066" t="s">
        <v>1053</v>
      </c>
      <c r="E1066" t="s">
        <v>399</v>
      </c>
      <c r="F1066" s="1">
        <v>46072</v>
      </c>
      <c r="G1066" s="1">
        <v>46102</v>
      </c>
      <c r="H1066" t="s">
        <v>144</v>
      </c>
      <c r="I1066">
        <v>525</v>
      </c>
      <c r="J1066">
        <v>525</v>
      </c>
      <c r="K1066">
        <v>0</v>
      </c>
      <c r="L1066">
        <v>0</v>
      </c>
      <c r="M1066">
        <v>525</v>
      </c>
      <c r="N1066">
        <v>0</v>
      </c>
      <c r="O1066" s="14">
        <f t="shared" ca="1" si="16"/>
        <v>68</v>
      </c>
      <c r="P1066" t="s">
        <v>589</v>
      </c>
    </row>
    <row r="1067" spans="1:16" ht="12.75" customHeight="1" x14ac:dyDescent="0.2">
      <c r="A1067" t="s">
        <v>604</v>
      </c>
      <c r="B1067" t="s">
        <v>651</v>
      </c>
      <c r="C1067" t="s">
        <v>461</v>
      </c>
      <c r="D1067" t="s">
        <v>212</v>
      </c>
      <c r="E1067" t="s">
        <v>399</v>
      </c>
      <c r="F1067" s="1">
        <v>45657</v>
      </c>
      <c r="G1067" s="1">
        <v>45687</v>
      </c>
      <c r="H1067" t="s">
        <v>553</v>
      </c>
      <c r="I1067">
        <v>550.04</v>
      </c>
      <c r="J1067">
        <v>550.04</v>
      </c>
      <c r="K1067">
        <v>0</v>
      </c>
      <c r="L1067">
        <v>0</v>
      </c>
      <c r="M1067">
        <v>0</v>
      </c>
      <c r="N1067">
        <v>550.04</v>
      </c>
      <c r="O1067" s="14">
        <f t="shared" ca="1" si="16"/>
        <v>483</v>
      </c>
      <c r="P1067" t="s">
        <v>589</v>
      </c>
    </row>
    <row r="1068" spans="1:16" ht="12.75" customHeight="1" x14ac:dyDescent="0.2">
      <c r="A1068" t="s">
        <v>604</v>
      </c>
      <c r="B1068" t="s">
        <v>651</v>
      </c>
      <c r="C1068" t="s">
        <v>461</v>
      </c>
      <c r="D1068" t="s">
        <v>212</v>
      </c>
      <c r="E1068" t="s">
        <v>399</v>
      </c>
      <c r="F1068" s="1">
        <v>45663</v>
      </c>
      <c r="G1068" s="1">
        <v>45693</v>
      </c>
      <c r="H1068" t="s">
        <v>797</v>
      </c>
      <c r="I1068">
        <v>-550.04</v>
      </c>
      <c r="J1068">
        <v>-550.04</v>
      </c>
      <c r="K1068">
        <v>0</v>
      </c>
      <c r="L1068">
        <v>0</v>
      </c>
      <c r="M1068">
        <v>0</v>
      </c>
      <c r="N1068">
        <v>-550.04</v>
      </c>
      <c r="O1068" s="14">
        <f t="shared" ca="1" si="16"/>
        <v>477</v>
      </c>
      <c r="P1068" t="s">
        <v>589</v>
      </c>
    </row>
    <row r="1069" spans="1:16" ht="12.75" customHeight="1" x14ac:dyDescent="0.2">
      <c r="A1069" t="s">
        <v>604</v>
      </c>
      <c r="B1069" t="s">
        <v>651</v>
      </c>
      <c r="C1069" t="s">
        <v>461</v>
      </c>
      <c r="D1069" t="s">
        <v>212</v>
      </c>
      <c r="E1069" t="s">
        <v>399</v>
      </c>
      <c r="F1069" s="1">
        <v>46030</v>
      </c>
      <c r="G1069" s="1">
        <v>46060</v>
      </c>
      <c r="H1069" t="s">
        <v>631</v>
      </c>
      <c r="I1069">
        <v>574.75</v>
      </c>
      <c r="J1069">
        <v>574.75</v>
      </c>
      <c r="K1069">
        <v>0</v>
      </c>
      <c r="L1069">
        <v>0</v>
      </c>
      <c r="M1069">
        <v>0</v>
      </c>
      <c r="N1069">
        <v>574.75</v>
      </c>
      <c r="O1069" s="14">
        <f t="shared" ca="1" si="16"/>
        <v>110</v>
      </c>
      <c r="P1069" t="s">
        <v>589</v>
      </c>
    </row>
    <row r="1070" spans="1:16" ht="12.75" customHeight="1" x14ac:dyDescent="0.2">
      <c r="A1070" t="s">
        <v>604</v>
      </c>
      <c r="B1070" t="s">
        <v>651</v>
      </c>
      <c r="C1070" t="s">
        <v>461</v>
      </c>
      <c r="D1070" t="s">
        <v>212</v>
      </c>
      <c r="E1070" t="s">
        <v>399</v>
      </c>
      <c r="F1070" s="1">
        <v>46034</v>
      </c>
      <c r="G1070" s="1">
        <v>46064</v>
      </c>
      <c r="H1070" t="s">
        <v>627</v>
      </c>
      <c r="I1070">
        <v>-574.75</v>
      </c>
      <c r="J1070">
        <v>-574.75</v>
      </c>
      <c r="K1070">
        <v>0</v>
      </c>
      <c r="L1070">
        <v>0</v>
      </c>
      <c r="M1070">
        <v>0</v>
      </c>
      <c r="N1070">
        <v>-574.75</v>
      </c>
      <c r="O1070" s="14">
        <f t="shared" ca="1" si="16"/>
        <v>106</v>
      </c>
      <c r="P1070" t="s">
        <v>589</v>
      </c>
    </row>
    <row r="1071" spans="1:16" ht="12.75" customHeight="1" x14ac:dyDescent="0.2">
      <c r="A1071" t="s">
        <v>604</v>
      </c>
      <c r="B1071" t="s">
        <v>651</v>
      </c>
      <c r="C1071" t="s">
        <v>198</v>
      </c>
      <c r="D1071" t="s">
        <v>957</v>
      </c>
      <c r="E1071" t="s">
        <v>399</v>
      </c>
      <c r="F1071" s="1">
        <v>45411</v>
      </c>
      <c r="G1071" s="1">
        <v>45441</v>
      </c>
      <c r="H1071" t="s">
        <v>706</v>
      </c>
      <c r="I1071">
        <v>2467.39</v>
      </c>
      <c r="J1071">
        <v>2467.39</v>
      </c>
      <c r="K1071">
        <v>0</v>
      </c>
      <c r="L1071">
        <v>0</v>
      </c>
      <c r="M1071">
        <v>0</v>
      </c>
      <c r="N1071">
        <v>2467.39</v>
      </c>
      <c r="O1071" s="14">
        <f t="shared" ca="1" si="16"/>
        <v>729</v>
      </c>
      <c r="P1071" t="s">
        <v>589</v>
      </c>
    </row>
    <row r="1072" spans="1:16" ht="12.75" customHeight="1" x14ac:dyDescent="0.2">
      <c r="A1072" t="s">
        <v>604</v>
      </c>
      <c r="B1072" t="s">
        <v>651</v>
      </c>
      <c r="C1072" t="s">
        <v>198</v>
      </c>
      <c r="D1072" t="s">
        <v>957</v>
      </c>
      <c r="E1072" t="s">
        <v>399</v>
      </c>
      <c r="F1072" s="1">
        <v>45440</v>
      </c>
      <c r="G1072" s="1">
        <v>45470</v>
      </c>
      <c r="H1072" t="s">
        <v>236</v>
      </c>
      <c r="I1072">
        <v>671.04</v>
      </c>
      <c r="J1072">
        <v>671.04</v>
      </c>
      <c r="K1072">
        <v>0</v>
      </c>
      <c r="L1072">
        <v>0</v>
      </c>
      <c r="M1072">
        <v>0</v>
      </c>
      <c r="N1072">
        <v>671.04</v>
      </c>
      <c r="O1072" s="14">
        <f t="shared" ca="1" si="16"/>
        <v>700</v>
      </c>
      <c r="P1072" t="s">
        <v>589</v>
      </c>
    </row>
    <row r="1073" spans="1:16" ht="12.75" customHeight="1" x14ac:dyDescent="0.2">
      <c r="A1073" t="s">
        <v>604</v>
      </c>
      <c r="B1073" t="s">
        <v>651</v>
      </c>
      <c r="C1073" t="s">
        <v>1061</v>
      </c>
      <c r="D1073" t="s">
        <v>50</v>
      </c>
      <c r="E1073" t="s">
        <v>399</v>
      </c>
      <c r="F1073" s="1">
        <v>44886</v>
      </c>
      <c r="G1073" s="1">
        <v>44916</v>
      </c>
      <c r="H1073" t="s">
        <v>665</v>
      </c>
      <c r="I1073">
        <v>4537.5</v>
      </c>
      <c r="J1073">
        <v>4537.5</v>
      </c>
      <c r="K1073">
        <v>0</v>
      </c>
      <c r="L1073">
        <v>0</v>
      </c>
      <c r="M1073">
        <v>0</v>
      </c>
      <c r="N1073">
        <v>4537.5</v>
      </c>
      <c r="O1073" s="14">
        <f t="shared" ca="1" si="16"/>
        <v>1254</v>
      </c>
      <c r="P1073" t="s">
        <v>1066</v>
      </c>
    </row>
    <row r="1074" spans="1:16" ht="12.75" customHeight="1" x14ac:dyDescent="0.2">
      <c r="A1074" t="s">
        <v>604</v>
      </c>
      <c r="B1074" t="s">
        <v>651</v>
      </c>
      <c r="C1074" t="s">
        <v>380</v>
      </c>
      <c r="D1074" t="s">
        <v>1067</v>
      </c>
      <c r="E1074" t="s">
        <v>399</v>
      </c>
      <c r="F1074" s="1">
        <v>44537</v>
      </c>
      <c r="G1074" s="1">
        <v>44567</v>
      </c>
      <c r="H1074" t="s">
        <v>361</v>
      </c>
      <c r="I1074">
        <v>9075</v>
      </c>
      <c r="J1074">
        <v>9075</v>
      </c>
      <c r="K1074">
        <v>0</v>
      </c>
      <c r="L1074">
        <v>0</v>
      </c>
      <c r="M1074">
        <v>0</v>
      </c>
      <c r="N1074">
        <v>9075</v>
      </c>
      <c r="O1074" s="14">
        <f t="shared" ca="1" si="16"/>
        <v>1603</v>
      </c>
      <c r="P1074" t="s">
        <v>1066</v>
      </c>
    </row>
    <row r="1075" spans="1:16" ht="12.75" customHeight="1" x14ac:dyDescent="0.2">
      <c r="I1075">
        <f>SUM(I2:I1074)</f>
        <v>4443626.9500000058</v>
      </c>
      <c r="J1075">
        <f>SUM(J2:J1074)</f>
        <v>4381621.7800000077</v>
      </c>
    </row>
  </sheetData>
  <pageMargins left="0.75" right="0.75" top="1" bottom="1" header="0.5" footer="0.5"/>
  <pageSetup paperSize="9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6361-0AD7-46FE-967B-29F6CF04BE95}">
  <dimension ref="A1:I1194"/>
  <sheetViews>
    <sheetView tabSelected="1" workbookViewId="0">
      <selection activeCell="K23" sqref="K23"/>
    </sheetView>
  </sheetViews>
  <sheetFormatPr defaultRowHeight="12.75" x14ac:dyDescent="0.2"/>
  <cols>
    <col min="1" max="1" width="71.85546875" bestFit="1" customWidth="1"/>
    <col min="2" max="2" width="17.85546875" bestFit="1" customWidth="1"/>
    <col min="3" max="3" width="14.85546875" bestFit="1" customWidth="1"/>
    <col min="4" max="4" width="12.5703125" bestFit="1" customWidth="1"/>
    <col min="5" max="5" width="14.42578125" style="45" bestFit="1" customWidth="1"/>
    <col min="6" max="6" width="16.85546875" style="45" bestFit="1" customWidth="1"/>
    <col min="7" max="8" width="18" style="45" bestFit="1" customWidth="1"/>
    <col min="9" max="9" width="15.85546875" style="45" bestFit="1" customWidth="1"/>
    <col min="10" max="11" width="14.5703125" bestFit="1" customWidth="1"/>
  </cols>
  <sheetData>
    <row r="1" spans="1:9" x14ac:dyDescent="0.2">
      <c r="A1" s="2"/>
      <c r="B1" s="3"/>
      <c r="C1" s="3"/>
      <c r="D1" s="3"/>
      <c r="E1" s="29" t="s">
        <v>1313</v>
      </c>
      <c r="F1" s="30"/>
      <c r="G1" s="30"/>
      <c r="H1" s="30"/>
      <c r="I1" s="31"/>
    </row>
    <row r="2" spans="1:9" s="6" customFormat="1" x14ac:dyDescent="0.2">
      <c r="A2" s="16" t="s">
        <v>381</v>
      </c>
      <c r="B2" s="16" t="s">
        <v>320</v>
      </c>
      <c r="C2" s="16" t="s">
        <v>415</v>
      </c>
      <c r="D2" s="16" t="s">
        <v>373</v>
      </c>
      <c r="E2" s="32" t="s">
        <v>1312</v>
      </c>
      <c r="F2" s="33" t="s">
        <v>1314</v>
      </c>
      <c r="G2" s="33" t="s">
        <v>1315</v>
      </c>
      <c r="H2" s="33" t="s">
        <v>1316</v>
      </c>
      <c r="I2" s="34" t="s">
        <v>1317</v>
      </c>
    </row>
    <row r="3" spans="1:9" x14ac:dyDescent="0.2">
      <c r="A3" s="2" t="s">
        <v>1249</v>
      </c>
      <c r="B3" s="2" t="s">
        <v>1257</v>
      </c>
      <c r="C3" s="13">
        <v>45742</v>
      </c>
      <c r="D3" s="2">
        <v>428</v>
      </c>
      <c r="E3" s="35">
        <v>3646.64</v>
      </c>
      <c r="F3" s="36">
        <v>0</v>
      </c>
      <c r="G3" s="36">
        <v>0</v>
      </c>
      <c r="H3" s="36">
        <v>0</v>
      </c>
      <c r="I3" s="37">
        <v>3646.64</v>
      </c>
    </row>
    <row r="4" spans="1:9" x14ac:dyDescent="0.2">
      <c r="A4" s="11" t="s">
        <v>1325</v>
      </c>
      <c r="B4" s="12"/>
      <c r="C4" s="12"/>
      <c r="D4" s="12"/>
      <c r="E4" s="38">
        <v>3646.64</v>
      </c>
      <c r="F4" s="39">
        <v>0</v>
      </c>
      <c r="G4" s="39">
        <v>0</v>
      </c>
      <c r="H4" s="39">
        <v>0</v>
      </c>
      <c r="I4" s="40">
        <v>3646.64</v>
      </c>
    </row>
    <row r="5" spans="1:9" x14ac:dyDescent="0.2">
      <c r="A5" s="2" t="s">
        <v>570</v>
      </c>
      <c r="B5" s="2" t="s">
        <v>840</v>
      </c>
      <c r="C5" s="13">
        <v>46118</v>
      </c>
      <c r="D5" s="2">
        <v>52</v>
      </c>
      <c r="E5" s="35">
        <v>605</v>
      </c>
      <c r="F5" s="36">
        <v>0</v>
      </c>
      <c r="G5" s="36">
        <v>605</v>
      </c>
      <c r="H5" s="36">
        <v>0</v>
      </c>
      <c r="I5" s="37">
        <v>0</v>
      </c>
    </row>
    <row r="6" spans="1:9" x14ac:dyDescent="0.2">
      <c r="A6" s="9"/>
      <c r="B6" s="2" t="s">
        <v>675</v>
      </c>
      <c r="C6" s="13">
        <v>46132</v>
      </c>
      <c r="D6" s="2">
        <v>38</v>
      </c>
      <c r="E6" s="35">
        <v>272.25</v>
      </c>
      <c r="F6" s="36">
        <v>0</v>
      </c>
      <c r="G6" s="36">
        <v>272.25</v>
      </c>
      <c r="H6" s="36">
        <v>0</v>
      </c>
      <c r="I6" s="37">
        <v>0</v>
      </c>
    </row>
    <row r="7" spans="1:9" x14ac:dyDescent="0.2">
      <c r="A7" s="9"/>
      <c r="B7" s="2" t="s">
        <v>397</v>
      </c>
      <c r="C7" s="13">
        <v>46162</v>
      </c>
      <c r="D7" s="2">
        <v>8</v>
      </c>
      <c r="E7" s="35">
        <v>272.25</v>
      </c>
      <c r="F7" s="36">
        <v>272.25</v>
      </c>
      <c r="G7" s="36">
        <v>0</v>
      </c>
      <c r="H7" s="36">
        <v>0</v>
      </c>
      <c r="I7" s="37">
        <v>0</v>
      </c>
    </row>
    <row r="8" spans="1:9" x14ac:dyDescent="0.2">
      <c r="A8" s="9"/>
      <c r="B8" s="2" t="s">
        <v>1016</v>
      </c>
      <c r="C8" s="13">
        <v>45369</v>
      </c>
      <c r="D8" s="2">
        <v>801</v>
      </c>
      <c r="E8" s="35">
        <v>666.12</v>
      </c>
      <c r="F8" s="36">
        <v>0</v>
      </c>
      <c r="G8" s="36">
        <v>0</v>
      </c>
      <c r="H8" s="36">
        <v>0</v>
      </c>
      <c r="I8" s="37">
        <v>666.12</v>
      </c>
    </row>
    <row r="9" spans="1:9" x14ac:dyDescent="0.2">
      <c r="A9" s="9"/>
      <c r="B9" s="2" t="s">
        <v>574</v>
      </c>
      <c r="C9" s="13">
        <v>45740</v>
      </c>
      <c r="D9" s="2">
        <v>430</v>
      </c>
      <c r="E9" s="35">
        <v>2964.26</v>
      </c>
      <c r="F9" s="36">
        <v>0</v>
      </c>
      <c r="G9" s="36">
        <v>0</v>
      </c>
      <c r="H9" s="36">
        <v>0</v>
      </c>
      <c r="I9" s="37">
        <v>2964.26</v>
      </c>
    </row>
    <row r="10" spans="1:9" x14ac:dyDescent="0.2">
      <c r="A10" s="11" t="s">
        <v>1326</v>
      </c>
      <c r="B10" s="12"/>
      <c r="C10" s="12"/>
      <c r="D10" s="12"/>
      <c r="E10" s="38">
        <v>4779.88</v>
      </c>
      <c r="F10" s="39">
        <v>272.25</v>
      </c>
      <c r="G10" s="39">
        <v>877.25</v>
      </c>
      <c r="H10" s="39">
        <v>0</v>
      </c>
      <c r="I10" s="40">
        <v>3630.38</v>
      </c>
    </row>
    <row r="11" spans="1:9" x14ac:dyDescent="0.2">
      <c r="A11" s="2" t="s">
        <v>1306</v>
      </c>
      <c r="B11" s="2" t="s">
        <v>741</v>
      </c>
      <c r="C11" s="13">
        <v>43895</v>
      </c>
      <c r="D11" s="2">
        <v>2275</v>
      </c>
      <c r="E11" s="35">
        <v>338.8</v>
      </c>
      <c r="F11" s="36">
        <v>0</v>
      </c>
      <c r="G11" s="36">
        <v>0</v>
      </c>
      <c r="H11" s="36">
        <v>0</v>
      </c>
      <c r="I11" s="37">
        <v>338.8</v>
      </c>
    </row>
    <row r="12" spans="1:9" x14ac:dyDescent="0.2">
      <c r="A12" s="9"/>
      <c r="B12" s="2" t="s">
        <v>191</v>
      </c>
      <c r="C12" s="13">
        <v>43895</v>
      </c>
      <c r="D12" s="2">
        <v>2275</v>
      </c>
      <c r="E12" s="35">
        <v>338.8</v>
      </c>
      <c r="F12" s="36">
        <v>0</v>
      </c>
      <c r="G12" s="36">
        <v>0</v>
      </c>
      <c r="H12" s="36">
        <v>0</v>
      </c>
      <c r="I12" s="37">
        <v>338.8</v>
      </c>
    </row>
    <row r="13" spans="1:9" x14ac:dyDescent="0.2">
      <c r="A13" s="9"/>
      <c r="B13" s="2" t="s">
        <v>202</v>
      </c>
      <c r="C13" s="3"/>
      <c r="D13" s="3"/>
      <c r="E13" s="35">
        <v>338.8</v>
      </c>
      <c r="F13" s="36">
        <v>0</v>
      </c>
      <c r="G13" s="36">
        <v>0</v>
      </c>
      <c r="H13" s="36">
        <v>0</v>
      </c>
      <c r="I13" s="37">
        <v>338.8</v>
      </c>
    </row>
    <row r="14" spans="1:9" x14ac:dyDescent="0.2">
      <c r="A14" s="9"/>
      <c r="B14" s="2" t="s">
        <v>951</v>
      </c>
      <c r="C14" s="13">
        <v>43958</v>
      </c>
      <c r="D14" s="2">
        <v>2212</v>
      </c>
      <c r="E14" s="35">
        <v>338.8</v>
      </c>
      <c r="F14" s="36">
        <v>0</v>
      </c>
      <c r="G14" s="36">
        <v>0</v>
      </c>
      <c r="H14" s="36">
        <v>0</v>
      </c>
      <c r="I14" s="37">
        <v>338.8</v>
      </c>
    </row>
    <row r="15" spans="1:9" x14ac:dyDescent="0.2">
      <c r="A15" s="9"/>
      <c r="B15" s="2" t="s">
        <v>820</v>
      </c>
      <c r="C15" s="13">
        <v>43987</v>
      </c>
      <c r="D15" s="2">
        <v>2183</v>
      </c>
      <c r="E15" s="35">
        <v>338.8</v>
      </c>
      <c r="F15" s="36">
        <v>0</v>
      </c>
      <c r="G15" s="36">
        <v>0</v>
      </c>
      <c r="H15" s="36">
        <v>0</v>
      </c>
      <c r="I15" s="37">
        <v>338.8</v>
      </c>
    </row>
    <row r="16" spans="1:9" x14ac:dyDescent="0.2">
      <c r="A16" s="9"/>
      <c r="B16" s="2" t="s">
        <v>269</v>
      </c>
      <c r="C16" s="13">
        <v>44014</v>
      </c>
      <c r="D16" s="2">
        <v>2156</v>
      </c>
      <c r="E16" s="35">
        <v>338.8</v>
      </c>
      <c r="F16" s="36">
        <v>0</v>
      </c>
      <c r="G16" s="36">
        <v>0</v>
      </c>
      <c r="H16" s="36">
        <v>0</v>
      </c>
      <c r="I16" s="37">
        <v>338.8</v>
      </c>
    </row>
    <row r="17" spans="1:9" x14ac:dyDescent="0.2">
      <c r="A17" s="9"/>
      <c r="B17" s="2" t="s">
        <v>32</v>
      </c>
      <c r="C17" s="13">
        <v>44043</v>
      </c>
      <c r="D17" s="2">
        <v>2127</v>
      </c>
      <c r="E17" s="35">
        <v>338.8</v>
      </c>
      <c r="F17" s="36">
        <v>0</v>
      </c>
      <c r="G17" s="36">
        <v>0</v>
      </c>
      <c r="H17" s="36">
        <v>0</v>
      </c>
      <c r="I17" s="37">
        <v>338.8</v>
      </c>
    </row>
    <row r="18" spans="1:9" x14ac:dyDescent="0.2">
      <c r="A18" s="9"/>
      <c r="B18" s="2" t="s">
        <v>57</v>
      </c>
      <c r="C18" s="13">
        <v>44077</v>
      </c>
      <c r="D18" s="2">
        <v>2093</v>
      </c>
      <c r="E18" s="35">
        <v>338.8</v>
      </c>
      <c r="F18" s="36">
        <v>0</v>
      </c>
      <c r="G18" s="36">
        <v>0</v>
      </c>
      <c r="H18" s="36">
        <v>0</v>
      </c>
      <c r="I18" s="37">
        <v>338.8</v>
      </c>
    </row>
    <row r="19" spans="1:9" x14ac:dyDescent="0.2">
      <c r="A19" s="9"/>
      <c r="B19" s="2" t="s">
        <v>824</v>
      </c>
      <c r="C19" s="13">
        <v>44105</v>
      </c>
      <c r="D19" s="2">
        <v>2065</v>
      </c>
      <c r="E19" s="35">
        <v>338.8</v>
      </c>
      <c r="F19" s="36">
        <v>0</v>
      </c>
      <c r="G19" s="36">
        <v>0</v>
      </c>
      <c r="H19" s="36">
        <v>0</v>
      </c>
      <c r="I19" s="37">
        <v>338.8</v>
      </c>
    </row>
    <row r="20" spans="1:9" x14ac:dyDescent="0.2">
      <c r="A20" s="9"/>
      <c r="B20" s="2" t="s">
        <v>204</v>
      </c>
      <c r="C20" s="13">
        <v>44140</v>
      </c>
      <c r="D20" s="2">
        <v>2030</v>
      </c>
      <c r="E20" s="35">
        <v>338.8</v>
      </c>
      <c r="F20" s="36">
        <v>0</v>
      </c>
      <c r="G20" s="36">
        <v>0</v>
      </c>
      <c r="H20" s="36">
        <v>0</v>
      </c>
      <c r="I20" s="37">
        <v>338.8</v>
      </c>
    </row>
    <row r="21" spans="1:9" x14ac:dyDescent="0.2">
      <c r="A21" s="9"/>
      <c r="B21" s="2" t="s">
        <v>1017</v>
      </c>
      <c r="C21" s="13">
        <v>44168</v>
      </c>
      <c r="D21" s="2">
        <v>2002</v>
      </c>
      <c r="E21" s="35">
        <v>338.8</v>
      </c>
      <c r="F21" s="36">
        <v>0</v>
      </c>
      <c r="G21" s="36">
        <v>0</v>
      </c>
      <c r="H21" s="36">
        <v>0</v>
      </c>
      <c r="I21" s="37">
        <v>338.8</v>
      </c>
    </row>
    <row r="22" spans="1:9" x14ac:dyDescent="0.2">
      <c r="A22" s="9"/>
      <c r="B22" s="2" t="s">
        <v>260</v>
      </c>
      <c r="C22" s="13">
        <v>44196</v>
      </c>
      <c r="D22" s="2">
        <v>1974</v>
      </c>
      <c r="E22" s="35">
        <v>338.8</v>
      </c>
      <c r="F22" s="36">
        <v>0</v>
      </c>
      <c r="G22" s="36">
        <v>0</v>
      </c>
      <c r="H22" s="36">
        <v>0</v>
      </c>
      <c r="I22" s="37">
        <v>338.8</v>
      </c>
    </row>
    <row r="23" spans="1:9" x14ac:dyDescent="0.2">
      <c r="A23" s="9"/>
      <c r="B23" s="2" t="s">
        <v>1023</v>
      </c>
      <c r="C23" s="13">
        <v>44233</v>
      </c>
      <c r="D23" s="2">
        <v>1937</v>
      </c>
      <c r="E23" s="35">
        <v>338.8</v>
      </c>
      <c r="F23" s="36">
        <v>0</v>
      </c>
      <c r="G23" s="36">
        <v>0</v>
      </c>
      <c r="H23" s="36">
        <v>0</v>
      </c>
      <c r="I23" s="37">
        <v>338.8</v>
      </c>
    </row>
    <row r="24" spans="1:9" x14ac:dyDescent="0.2">
      <c r="A24" s="9"/>
      <c r="B24" s="2" t="s">
        <v>1119</v>
      </c>
      <c r="C24" s="13">
        <v>44765</v>
      </c>
      <c r="D24" s="2">
        <v>1405</v>
      </c>
      <c r="E24" s="35">
        <v>3025</v>
      </c>
      <c r="F24" s="36">
        <v>0</v>
      </c>
      <c r="G24" s="36">
        <v>0</v>
      </c>
      <c r="H24" s="36">
        <v>0</v>
      </c>
      <c r="I24" s="37">
        <v>3025</v>
      </c>
    </row>
    <row r="25" spans="1:9" x14ac:dyDescent="0.2">
      <c r="A25" s="9"/>
      <c r="B25" s="2" t="s">
        <v>239</v>
      </c>
      <c r="C25" s="13">
        <v>43497</v>
      </c>
      <c r="D25" s="2">
        <v>2673</v>
      </c>
      <c r="E25" s="35">
        <v>338.8</v>
      </c>
      <c r="F25" s="36">
        <v>0</v>
      </c>
      <c r="G25" s="36">
        <v>0</v>
      </c>
      <c r="H25" s="36">
        <v>0</v>
      </c>
      <c r="I25" s="37">
        <v>338.8</v>
      </c>
    </row>
    <row r="26" spans="1:9" x14ac:dyDescent="0.2">
      <c r="A26" s="9"/>
      <c r="B26" s="2" t="s">
        <v>1099</v>
      </c>
      <c r="C26" s="13">
        <v>43532</v>
      </c>
      <c r="D26" s="2">
        <v>2638</v>
      </c>
      <c r="E26" s="35">
        <v>338.8</v>
      </c>
      <c r="F26" s="36">
        <v>0</v>
      </c>
      <c r="G26" s="36">
        <v>0</v>
      </c>
      <c r="H26" s="36">
        <v>0</v>
      </c>
      <c r="I26" s="37">
        <v>338.8</v>
      </c>
    </row>
    <row r="27" spans="1:9" x14ac:dyDescent="0.2">
      <c r="A27" s="9"/>
      <c r="B27" s="2" t="s">
        <v>1056</v>
      </c>
      <c r="C27" s="13">
        <v>43559</v>
      </c>
      <c r="D27" s="2">
        <v>2611</v>
      </c>
      <c r="E27" s="35">
        <v>338.8</v>
      </c>
      <c r="F27" s="36">
        <v>0</v>
      </c>
      <c r="G27" s="36">
        <v>0</v>
      </c>
      <c r="H27" s="36">
        <v>0</v>
      </c>
      <c r="I27" s="37">
        <v>338.8</v>
      </c>
    </row>
    <row r="28" spans="1:9" x14ac:dyDescent="0.2">
      <c r="A28" s="9"/>
      <c r="B28" s="2" t="s">
        <v>963</v>
      </c>
      <c r="C28" s="13">
        <v>43593</v>
      </c>
      <c r="D28" s="2">
        <v>2577</v>
      </c>
      <c r="E28" s="35">
        <v>338.8</v>
      </c>
      <c r="F28" s="36">
        <v>0</v>
      </c>
      <c r="G28" s="36">
        <v>0</v>
      </c>
      <c r="H28" s="36">
        <v>0</v>
      </c>
      <c r="I28" s="37">
        <v>338.8</v>
      </c>
    </row>
    <row r="29" spans="1:9" x14ac:dyDescent="0.2">
      <c r="A29" s="9"/>
      <c r="B29" s="2" t="s">
        <v>812</v>
      </c>
      <c r="C29" s="13">
        <v>43616</v>
      </c>
      <c r="D29" s="2">
        <v>2554</v>
      </c>
      <c r="E29" s="35">
        <v>338.8</v>
      </c>
      <c r="F29" s="36">
        <v>0</v>
      </c>
      <c r="G29" s="36">
        <v>0</v>
      </c>
      <c r="H29" s="36">
        <v>0</v>
      </c>
      <c r="I29" s="37">
        <v>338.8</v>
      </c>
    </row>
    <row r="30" spans="1:9" x14ac:dyDescent="0.2">
      <c r="A30" s="9"/>
      <c r="B30" s="2" t="s">
        <v>829</v>
      </c>
      <c r="C30" s="13">
        <v>43651</v>
      </c>
      <c r="D30" s="2">
        <v>2519</v>
      </c>
      <c r="E30" s="35">
        <v>338.8</v>
      </c>
      <c r="F30" s="36">
        <v>0</v>
      </c>
      <c r="G30" s="36">
        <v>0</v>
      </c>
      <c r="H30" s="36">
        <v>0</v>
      </c>
      <c r="I30" s="37">
        <v>338.8</v>
      </c>
    </row>
    <row r="31" spans="1:9" x14ac:dyDescent="0.2">
      <c r="A31" s="9"/>
      <c r="B31" s="2" t="s">
        <v>362</v>
      </c>
      <c r="C31" s="13">
        <v>43678</v>
      </c>
      <c r="D31" s="2">
        <v>2492</v>
      </c>
      <c r="E31" s="35">
        <v>338.8</v>
      </c>
      <c r="F31" s="36">
        <v>0</v>
      </c>
      <c r="G31" s="36">
        <v>0</v>
      </c>
      <c r="H31" s="36">
        <v>0</v>
      </c>
      <c r="I31" s="37">
        <v>338.8</v>
      </c>
    </row>
    <row r="32" spans="1:9" x14ac:dyDescent="0.2">
      <c r="A32" s="9"/>
      <c r="B32" s="2" t="s">
        <v>866</v>
      </c>
      <c r="C32" s="13">
        <v>43708</v>
      </c>
      <c r="D32" s="2">
        <v>2462</v>
      </c>
      <c r="E32" s="35">
        <v>338.8</v>
      </c>
      <c r="F32" s="36">
        <v>0</v>
      </c>
      <c r="G32" s="36">
        <v>0</v>
      </c>
      <c r="H32" s="36">
        <v>0</v>
      </c>
      <c r="I32" s="37">
        <v>338.8</v>
      </c>
    </row>
    <row r="33" spans="1:9" x14ac:dyDescent="0.2">
      <c r="A33" s="9"/>
      <c r="B33" s="2" t="s">
        <v>417</v>
      </c>
      <c r="C33" s="13">
        <v>43741</v>
      </c>
      <c r="D33" s="2">
        <v>2429</v>
      </c>
      <c r="E33" s="35">
        <v>338.8</v>
      </c>
      <c r="F33" s="36">
        <v>0</v>
      </c>
      <c r="G33" s="36">
        <v>0</v>
      </c>
      <c r="H33" s="36">
        <v>0</v>
      </c>
      <c r="I33" s="37">
        <v>338.8</v>
      </c>
    </row>
    <row r="34" spans="1:9" x14ac:dyDescent="0.2">
      <c r="A34" s="9"/>
      <c r="B34" s="2" t="s">
        <v>884</v>
      </c>
      <c r="C34" s="13">
        <v>43770</v>
      </c>
      <c r="D34" s="2">
        <v>2400</v>
      </c>
      <c r="E34" s="35">
        <v>338.8</v>
      </c>
      <c r="F34" s="36">
        <v>0</v>
      </c>
      <c r="G34" s="36">
        <v>0</v>
      </c>
      <c r="H34" s="36">
        <v>0</v>
      </c>
      <c r="I34" s="37">
        <v>338.8</v>
      </c>
    </row>
    <row r="35" spans="1:9" x14ac:dyDescent="0.2">
      <c r="A35" s="9"/>
      <c r="B35" s="2" t="s">
        <v>1077</v>
      </c>
      <c r="C35" s="13">
        <v>43804</v>
      </c>
      <c r="D35" s="2">
        <v>2366</v>
      </c>
      <c r="E35" s="35">
        <v>338.8</v>
      </c>
      <c r="F35" s="36">
        <v>0</v>
      </c>
      <c r="G35" s="36">
        <v>0</v>
      </c>
      <c r="H35" s="36">
        <v>0</v>
      </c>
      <c r="I35" s="37">
        <v>338.8</v>
      </c>
    </row>
    <row r="36" spans="1:9" x14ac:dyDescent="0.2">
      <c r="A36" s="9"/>
      <c r="B36" s="2" t="s">
        <v>985</v>
      </c>
      <c r="C36" s="13">
        <v>43832</v>
      </c>
      <c r="D36" s="2">
        <v>2338</v>
      </c>
      <c r="E36" s="35">
        <v>338.8</v>
      </c>
      <c r="F36" s="36">
        <v>0</v>
      </c>
      <c r="G36" s="36">
        <v>0</v>
      </c>
      <c r="H36" s="36">
        <v>0</v>
      </c>
      <c r="I36" s="37">
        <v>338.8</v>
      </c>
    </row>
    <row r="37" spans="1:9" x14ac:dyDescent="0.2">
      <c r="A37" s="11" t="s">
        <v>1327</v>
      </c>
      <c r="B37" s="12"/>
      <c r="C37" s="12"/>
      <c r="D37" s="12"/>
      <c r="E37" s="38">
        <v>11494.999999999995</v>
      </c>
      <c r="F37" s="39">
        <v>0</v>
      </c>
      <c r="G37" s="39">
        <v>0</v>
      </c>
      <c r="H37" s="39">
        <v>0</v>
      </c>
      <c r="I37" s="40">
        <v>11494.999999999995</v>
      </c>
    </row>
    <row r="38" spans="1:9" x14ac:dyDescent="0.2">
      <c r="A38" s="2" t="s">
        <v>1283</v>
      </c>
      <c r="B38" s="2" t="s">
        <v>733</v>
      </c>
      <c r="C38" s="13">
        <v>46140</v>
      </c>
      <c r="D38" s="2">
        <v>30</v>
      </c>
      <c r="E38" s="35">
        <v>5749.21</v>
      </c>
      <c r="F38" s="36">
        <v>5749.21</v>
      </c>
      <c r="G38" s="36">
        <v>0</v>
      </c>
      <c r="H38" s="36">
        <v>0</v>
      </c>
      <c r="I38" s="37">
        <v>0</v>
      </c>
    </row>
    <row r="39" spans="1:9" x14ac:dyDescent="0.2">
      <c r="A39" s="9"/>
      <c r="B39" s="2" t="s">
        <v>723</v>
      </c>
      <c r="C39" s="13">
        <v>45579</v>
      </c>
      <c r="D39" s="2">
        <v>591</v>
      </c>
      <c r="E39" s="35">
        <v>5407.59</v>
      </c>
      <c r="F39" s="36">
        <v>0</v>
      </c>
      <c r="G39" s="36">
        <v>0</v>
      </c>
      <c r="H39" s="36">
        <v>0</v>
      </c>
      <c r="I39" s="37">
        <v>5407.59</v>
      </c>
    </row>
    <row r="40" spans="1:9" x14ac:dyDescent="0.2">
      <c r="A40" s="11" t="s">
        <v>1328</v>
      </c>
      <c r="B40" s="12"/>
      <c r="C40" s="12"/>
      <c r="D40" s="12"/>
      <c r="E40" s="38">
        <v>11156.8</v>
      </c>
      <c r="F40" s="39">
        <v>5749.21</v>
      </c>
      <c r="G40" s="39">
        <v>0</v>
      </c>
      <c r="H40" s="39">
        <v>0</v>
      </c>
      <c r="I40" s="40">
        <v>5407.59</v>
      </c>
    </row>
    <row r="41" spans="1:9" x14ac:dyDescent="0.2">
      <c r="A41" s="2" t="s">
        <v>1026</v>
      </c>
      <c r="B41" s="2" t="s">
        <v>197</v>
      </c>
      <c r="C41" s="13">
        <v>45869</v>
      </c>
      <c r="D41" s="2">
        <v>301</v>
      </c>
      <c r="E41" s="35">
        <v>653.4</v>
      </c>
      <c r="F41" s="36">
        <v>0</v>
      </c>
      <c r="G41" s="36">
        <v>0</v>
      </c>
      <c r="H41" s="36">
        <v>0</v>
      </c>
      <c r="I41" s="37">
        <v>653.4</v>
      </c>
    </row>
    <row r="42" spans="1:9" x14ac:dyDescent="0.2">
      <c r="A42" s="9"/>
      <c r="B42" s="2" t="s">
        <v>559</v>
      </c>
      <c r="C42" s="13">
        <v>45966</v>
      </c>
      <c r="D42" s="2">
        <v>204</v>
      </c>
      <c r="E42" s="35">
        <v>653.4</v>
      </c>
      <c r="F42" s="36">
        <v>0</v>
      </c>
      <c r="G42" s="36">
        <v>0</v>
      </c>
      <c r="H42" s="36">
        <v>0</v>
      </c>
      <c r="I42" s="37">
        <v>653.4</v>
      </c>
    </row>
    <row r="43" spans="1:9" x14ac:dyDescent="0.2">
      <c r="A43" s="9"/>
      <c r="B43" s="2" t="s">
        <v>695</v>
      </c>
      <c r="C43" s="13">
        <v>46060</v>
      </c>
      <c r="D43" s="2">
        <v>110</v>
      </c>
      <c r="E43" s="35">
        <v>653.4</v>
      </c>
      <c r="F43" s="36">
        <v>0</v>
      </c>
      <c r="G43" s="36">
        <v>0</v>
      </c>
      <c r="H43" s="36">
        <v>0</v>
      </c>
      <c r="I43" s="37">
        <v>653.4</v>
      </c>
    </row>
    <row r="44" spans="1:9" x14ac:dyDescent="0.2">
      <c r="A44" s="9"/>
      <c r="B44" s="2" t="s">
        <v>629</v>
      </c>
      <c r="C44" s="13">
        <v>46134</v>
      </c>
      <c r="D44" s="2">
        <v>36</v>
      </c>
      <c r="E44" s="35">
        <v>707.85</v>
      </c>
      <c r="F44" s="36">
        <v>0</v>
      </c>
      <c r="G44" s="36">
        <v>707.85</v>
      </c>
      <c r="H44" s="36">
        <v>0</v>
      </c>
      <c r="I44" s="37">
        <v>0</v>
      </c>
    </row>
    <row r="45" spans="1:9" x14ac:dyDescent="0.2">
      <c r="A45" s="9"/>
      <c r="B45" s="2" t="s">
        <v>1148</v>
      </c>
      <c r="C45" s="13">
        <v>46148</v>
      </c>
      <c r="D45" s="2">
        <v>22</v>
      </c>
      <c r="E45" s="35">
        <v>653.4</v>
      </c>
      <c r="F45" s="36">
        <v>653.4</v>
      </c>
      <c r="G45" s="36">
        <v>0</v>
      </c>
      <c r="H45" s="36">
        <v>0</v>
      </c>
      <c r="I45" s="37">
        <v>0</v>
      </c>
    </row>
    <row r="46" spans="1:9" x14ac:dyDescent="0.2">
      <c r="A46" s="9"/>
      <c r="B46" s="2" t="s">
        <v>61</v>
      </c>
      <c r="C46" s="13">
        <v>45267</v>
      </c>
      <c r="D46" s="2">
        <v>903</v>
      </c>
      <c r="E46" s="35">
        <v>217.8</v>
      </c>
      <c r="F46" s="36">
        <v>0</v>
      </c>
      <c r="G46" s="36">
        <v>0</v>
      </c>
      <c r="H46" s="36">
        <v>0</v>
      </c>
      <c r="I46" s="37">
        <v>217.8</v>
      </c>
    </row>
    <row r="47" spans="1:9" x14ac:dyDescent="0.2">
      <c r="A47" s="9"/>
      <c r="B47" s="2" t="s">
        <v>111</v>
      </c>
      <c r="C47" s="13">
        <v>45295</v>
      </c>
      <c r="D47" s="2">
        <v>875</v>
      </c>
      <c r="E47" s="35">
        <v>217.8</v>
      </c>
      <c r="F47" s="36">
        <v>0</v>
      </c>
      <c r="G47" s="36">
        <v>0</v>
      </c>
      <c r="H47" s="36">
        <v>0</v>
      </c>
      <c r="I47" s="37">
        <v>217.8</v>
      </c>
    </row>
    <row r="48" spans="1:9" x14ac:dyDescent="0.2">
      <c r="A48" s="9"/>
      <c r="B48" s="2" t="s">
        <v>907</v>
      </c>
      <c r="C48" s="13">
        <v>45325</v>
      </c>
      <c r="D48" s="2">
        <v>845</v>
      </c>
      <c r="E48" s="35">
        <v>217.8</v>
      </c>
      <c r="F48" s="36">
        <v>0</v>
      </c>
      <c r="G48" s="36">
        <v>0</v>
      </c>
      <c r="H48" s="36">
        <v>0</v>
      </c>
      <c r="I48" s="37">
        <v>217.8</v>
      </c>
    </row>
    <row r="49" spans="1:9" x14ac:dyDescent="0.2">
      <c r="A49" s="9"/>
      <c r="B49" s="2" t="s">
        <v>1302</v>
      </c>
      <c r="C49" s="13">
        <v>45357</v>
      </c>
      <c r="D49" s="2">
        <v>813</v>
      </c>
      <c r="E49" s="35">
        <v>217.8</v>
      </c>
      <c r="F49" s="36">
        <v>0</v>
      </c>
      <c r="G49" s="36">
        <v>0</v>
      </c>
      <c r="H49" s="36">
        <v>0</v>
      </c>
      <c r="I49" s="37">
        <v>217.8</v>
      </c>
    </row>
    <row r="50" spans="1:9" x14ac:dyDescent="0.2">
      <c r="A50" s="9"/>
      <c r="B50" s="2" t="s">
        <v>416</v>
      </c>
      <c r="C50" s="13">
        <v>45387</v>
      </c>
      <c r="D50" s="2">
        <v>783</v>
      </c>
      <c r="E50" s="35">
        <v>217.8</v>
      </c>
      <c r="F50" s="36">
        <v>0</v>
      </c>
      <c r="G50" s="36">
        <v>0</v>
      </c>
      <c r="H50" s="36">
        <v>0</v>
      </c>
      <c r="I50" s="37">
        <v>217.8</v>
      </c>
    </row>
    <row r="51" spans="1:9" x14ac:dyDescent="0.2">
      <c r="A51" s="9"/>
      <c r="B51" s="2" t="s">
        <v>1260</v>
      </c>
      <c r="C51" s="13">
        <v>45416</v>
      </c>
      <c r="D51" s="2">
        <v>754</v>
      </c>
      <c r="E51" s="35">
        <v>217.8</v>
      </c>
      <c r="F51" s="36">
        <v>0</v>
      </c>
      <c r="G51" s="36">
        <v>0</v>
      </c>
      <c r="H51" s="36">
        <v>0</v>
      </c>
      <c r="I51" s="37">
        <v>217.8</v>
      </c>
    </row>
    <row r="52" spans="1:9" x14ac:dyDescent="0.2">
      <c r="A52" s="9"/>
      <c r="B52" s="2" t="s">
        <v>454</v>
      </c>
      <c r="C52" s="13">
        <v>45448</v>
      </c>
      <c r="D52" s="2">
        <v>722</v>
      </c>
      <c r="E52" s="35">
        <v>217.8</v>
      </c>
      <c r="F52" s="36">
        <v>0</v>
      </c>
      <c r="G52" s="36">
        <v>0</v>
      </c>
      <c r="H52" s="36">
        <v>0</v>
      </c>
      <c r="I52" s="37">
        <v>217.8</v>
      </c>
    </row>
    <row r="53" spans="1:9" x14ac:dyDescent="0.2">
      <c r="A53" s="9"/>
      <c r="B53" s="2" t="s">
        <v>266</v>
      </c>
      <c r="C53" s="13">
        <v>45476</v>
      </c>
      <c r="D53" s="2">
        <v>694</v>
      </c>
      <c r="E53" s="35">
        <v>217.8</v>
      </c>
      <c r="F53" s="36">
        <v>0</v>
      </c>
      <c r="G53" s="36">
        <v>0</v>
      </c>
      <c r="H53" s="36">
        <v>0</v>
      </c>
      <c r="I53" s="37">
        <v>217.8</v>
      </c>
    </row>
    <row r="54" spans="1:9" x14ac:dyDescent="0.2">
      <c r="A54" s="9"/>
      <c r="B54" s="2" t="s">
        <v>406</v>
      </c>
      <c r="C54" s="13">
        <v>45511</v>
      </c>
      <c r="D54" s="2">
        <v>659</v>
      </c>
      <c r="E54" s="35">
        <v>217.8</v>
      </c>
      <c r="F54" s="36">
        <v>0</v>
      </c>
      <c r="G54" s="36">
        <v>0</v>
      </c>
      <c r="H54" s="36">
        <v>0</v>
      </c>
      <c r="I54" s="37">
        <v>217.8</v>
      </c>
    </row>
    <row r="55" spans="1:9" x14ac:dyDescent="0.2">
      <c r="A55" s="9"/>
      <c r="B55" s="2" t="s">
        <v>1232</v>
      </c>
      <c r="C55" s="13">
        <v>45539</v>
      </c>
      <c r="D55" s="2">
        <v>631</v>
      </c>
      <c r="E55" s="35">
        <v>217.8</v>
      </c>
      <c r="F55" s="36">
        <v>0</v>
      </c>
      <c r="G55" s="36">
        <v>0</v>
      </c>
      <c r="H55" s="36">
        <v>0</v>
      </c>
      <c r="I55" s="37">
        <v>217.8</v>
      </c>
    </row>
    <row r="56" spans="1:9" x14ac:dyDescent="0.2">
      <c r="A56" s="9"/>
      <c r="B56" s="2" t="s">
        <v>1167</v>
      </c>
      <c r="C56" s="13">
        <v>45567</v>
      </c>
      <c r="D56" s="2">
        <v>603</v>
      </c>
      <c r="E56" s="35">
        <v>217.8</v>
      </c>
      <c r="F56" s="36">
        <v>0</v>
      </c>
      <c r="G56" s="36">
        <v>0</v>
      </c>
      <c r="H56" s="36">
        <v>0</v>
      </c>
      <c r="I56" s="37">
        <v>217.8</v>
      </c>
    </row>
    <row r="57" spans="1:9" x14ac:dyDescent="0.2">
      <c r="A57" s="9"/>
      <c r="B57" s="2" t="s">
        <v>1300</v>
      </c>
      <c r="C57" s="13">
        <v>45577</v>
      </c>
      <c r="D57" s="2">
        <v>593</v>
      </c>
      <c r="E57" s="35">
        <v>302.5</v>
      </c>
      <c r="F57" s="36">
        <v>0</v>
      </c>
      <c r="G57" s="36">
        <v>0</v>
      </c>
      <c r="H57" s="36">
        <v>0</v>
      </c>
      <c r="I57" s="37">
        <v>302.5</v>
      </c>
    </row>
    <row r="58" spans="1:9" x14ac:dyDescent="0.2">
      <c r="A58" s="9"/>
      <c r="B58" s="2" t="s">
        <v>1129</v>
      </c>
      <c r="C58" s="13">
        <v>45602</v>
      </c>
      <c r="D58" s="2">
        <v>568</v>
      </c>
      <c r="E58" s="35">
        <v>217.8</v>
      </c>
      <c r="F58" s="36">
        <v>0</v>
      </c>
      <c r="G58" s="36">
        <v>0</v>
      </c>
      <c r="H58" s="36">
        <v>0</v>
      </c>
      <c r="I58" s="37">
        <v>217.8</v>
      </c>
    </row>
    <row r="59" spans="1:9" x14ac:dyDescent="0.2">
      <c r="A59" s="9"/>
      <c r="B59" s="2" t="s">
        <v>402</v>
      </c>
      <c r="C59" s="13">
        <v>45630</v>
      </c>
      <c r="D59" s="2">
        <v>540</v>
      </c>
      <c r="E59" s="35">
        <v>217.8</v>
      </c>
      <c r="F59" s="36">
        <v>0</v>
      </c>
      <c r="G59" s="36">
        <v>0</v>
      </c>
      <c r="H59" s="36">
        <v>0</v>
      </c>
      <c r="I59" s="37">
        <v>217.8</v>
      </c>
    </row>
    <row r="60" spans="1:9" x14ac:dyDescent="0.2">
      <c r="A60" s="9"/>
      <c r="B60" s="2" t="s">
        <v>1271</v>
      </c>
      <c r="C60" s="13">
        <v>45658</v>
      </c>
      <c r="D60" s="2">
        <v>512</v>
      </c>
      <c r="E60" s="35">
        <v>217.8</v>
      </c>
      <c r="F60" s="36">
        <v>0</v>
      </c>
      <c r="G60" s="36">
        <v>0</v>
      </c>
      <c r="H60" s="36">
        <v>0</v>
      </c>
      <c r="I60" s="37">
        <v>217.8</v>
      </c>
    </row>
    <row r="61" spans="1:9" x14ac:dyDescent="0.2">
      <c r="A61" s="9"/>
      <c r="B61" s="2" t="s">
        <v>151</v>
      </c>
      <c r="C61" s="13">
        <v>45702</v>
      </c>
      <c r="D61" s="2">
        <v>468</v>
      </c>
      <c r="E61" s="35">
        <v>217.8</v>
      </c>
      <c r="F61" s="36">
        <v>0</v>
      </c>
      <c r="G61" s="36">
        <v>0</v>
      </c>
      <c r="H61" s="36">
        <v>0</v>
      </c>
      <c r="I61" s="37">
        <v>217.8</v>
      </c>
    </row>
    <row r="62" spans="1:9" x14ac:dyDescent="0.2">
      <c r="A62" s="9"/>
      <c r="B62" s="2" t="s">
        <v>882</v>
      </c>
      <c r="C62" s="13">
        <v>45721</v>
      </c>
      <c r="D62" s="2">
        <v>449</v>
      </c>
      <c r="E62" s="35">
        <v>217.8</v>
      </c>
      <c r="F62" s="36">
        <v>0</v>
      </c>
      <c r="G62" s="36">
        <v>0</v>
      </c>
      <c r="H62" s="36">
        <v>0</v>
      </c>
      <c r="I62" s="37">
        <v>217.8</v>
      </c>
    </row>
    <row r="63" spans="1:9" x14ac:dyDescent="0.2">
      <c r="A63" s="9"/>
      <c r="B63" s="2" t="s">
        <v>908</v>
      </c>
      <c r="C63" s="13">
        <v>45751</v>
      </c>
      <c r="D63" s="2">
        <v>419</v>
      </c>
      <c r="E63" s="35">
        <v>217.8</v>
      </c>
      <c r="F63" s="36">
        <v>0</v>
      </c>
      <c r="G63" s="36">
        <v>0</v>
      </c>
      <c r="H63" s="36">
        <v>0</v>
      </c>
      <c r="I63" s="37">
        <v>217.8</v>
      </c>
    </row>
    <row r="64" spans="1:9" x14ac:dyDescent="0.2">
      <c r="A64" s="9"/>
      <c r="B64" s="2" t="s">
        <v>738</v>
      </c>
      <c r="C64" s="13">
        <v>45780</v>
      </c>
      <c r="D64" s="2">
        <v>390</v>
      </c>
      <c r="E64" s="35">
        <v>653.4</v>
      </c>
      <c r="F64" s="36">
        <v>0</v>
      </c>
      <c r="G64" s="36">
        <v>0</v>
      </c>
      <c r="H64" s="36">
        <v>0</v>
      </c>
      <c r="I64" s="37">
        <v>653.4</v>
      </c>
    </row>
    <row r="65" spans="1:9" x14ac:dyDescent="0.2">
      <c r="A65" s="11" t="s">
        <v>1329</v>
      </c>
      <c r="B65" s="12"/>
      <c r="C65" s="12"/>
      <c r="D65" s="12"/>
      <c r="E65" s="38">
        <v>7979.9500000000025</v>
      </c>
      <c r="F65" s="39">
        <v>653.4</v>
      </c>
      <c r="G65" s="39">
        <v>707.85</v>
      </c>
      <c r="H65" s="39">
        <v>0</v>
      </c>
      <c r="I65" s="40">
        <v>6618.7000000000025</v>
      </c>
    </row>
    <row r="66" spans="1:9" x14ac:dyDescent="0.2">
      <c r="A66" s="2" t="s">
        <v>703</v>
      </c>
      <c r="B66" s="2" t="s">
        <v>315</v>
      </c>
      <c r="C66" s="13">
        <v>45886</v>
      </c>
      <c r="D66" s="2">
        <v>284</v>
      </c>
      <c r="E66" s="35">
        <v>9075</v>
      </c>
      <c r="F66" s="36">
        <v>0</v>
      </c>
      <c r="G66" s="36">
        <v>0</v>
      </c>
      <c r="H66" s="36">
        <v>0</v>
      </c>
      <c r="I66" s="37">
        <v>9075</v>
      </c>
    </row>
    <row r="67" spans="1:9" x14ac:dyDescent="0.2">
      <c r="A67" s="11" t="s">
        <v>1330</v>
      </c>
      <c r="B67" s="12"/>
      <c r="C67" s="12"/>
      <c r="D67" s="12"/>
      <c r="E67" s="38">
        <v>9075</v>
      </c>
      <c r="F67" s="39">
        <v>0</v>
      </c>
      <c r="G67" s="39">
        <v>0</v>
      </c>
      <c r="H67" s="39">
        <v>0</v>
      </c>
      <c r="I67" s="40">
        <v>9075</v>
      </c>
    </row>
    <row r="68" spans="1:9" x14ac:dyDescent="0.2">
      <c r="A68" s="2" t="s">
        <v>547</v>
      </c>
      <c r="B68" s="2" t="s">
        <v>377</v>
      </c>
      <c r="C68" s="13">
        <v>46134</v>
      </c>
      <c r="D68" s="2">
        <v>36</v>
      </c>
      <c r="E68" s="35">
        <v>9164.18</v>
      </c>
      <c r="F68" s="36">
        <v>0</v>
      </c>
      <c r="G68" s="36">
        <v>9164.18</v>
      </c>
      <c r="H68" s="36">
        <v>0</v>
      </c>
      <c r="I68" s="37">
        <v>0</v>
      </c>
    </row>
    <row r="69" spans="1:9" x14ac:dyDescent="0.2">
      <c r="A69" s="9"/>
      <c r="B69" s="2" t="s">
        <v>124</v>
      </c>
      <c r="C69" s="13">
        <v>46143</v>
      </c>
      <c r="D69" s="2">
        <v>27</v>
      </c>
      <c r="E69" s="35">
        <v>2998.38</v>
      </c>
      <c r="F69" s="36">
        <v>2998.38</v>
      </c>
      <c r="G69" s="36">
        <v>0</v>
      </c>
      <c r="H69" s="36">
        <v>0</v>
      </c>
      <c r="I69" s="37">
        <v>0</v>
      </c>
    </row>
    <row r="70" spans="1:9" x14ac:dyDescent="0.2">
      <c r="A70" s="11" t="s">
        <v>1331</v>
      </c>
      <c r="B70" s="12"/>
      <c r="C70" s="12"/>
      <c r="D70" s="12"/>
      <c r="E70" s="38">
        <v>12162.560000000001</v>
      </c>
      <c r="F70" s="39">
        <v>2998.38</v>
      </c>
      <c r="G70" s="39">
        <v>9164.18</v>
      </c>
      <c r="H70" s="39">
        <v>0</v>
      </c>
      <c r="I70" s="40">
        <v>0</v>
      </c>
    </row>
    <row r="71" spans="1:9" x14ac:dyDescent="0.2">
      <c r="A71" s="2" t="s">
        <v>726</v>
      </c>
      <c r="B71" s="2" t="s">
        <v>680</v>
      </c>
      <c r="C71" s="13">
        <v>45183</v>
      </c>
      <c r="D71" s="2">
        <v>987</v>
      </c>
      <c r="E71" s="35">
        <v>187.76</v>
      </c>
      <c r="F71" s="36">
        <v>0</v>
      </c>
      <c r="G71" s="36">
        <v>0</v>
      </c>
      <c r="H71" s="36">
        <v>0</v>
      </c>
      <c r="I71" s="37">
        <v>187.76</v>
      </c>
    </row>
    <row r="72" spans="1:9" x14ac:dyDescent="0.2">
      <c r="A72" s="9"/>
      <c r="B72" s="2" t="s">
        <v>679</v>
      </c>
      <c r="C72" s="13">
        <v>45183</v>
      </c>
      <c r="D72" s="2">
        <v>987</v>
      </c>
      <c r="E72" s="35">
        <v>2330.7600000000002</v>
      </c>
      <c r="F72" s="36">
        <v>0</v>
      </c>
      <c r="G72" s="36">
        <v>0</v>
      </c>
      <c r="H72" s="36">
        <v>0</v>
      </c>
      <c r="I72" s="37">
        <v>2330.7600000000002</v>
      </c>
    </row>
    <row r="73" spans="1:9" x14ac:dyDescent="0.2">
      <c r="A73" s="11" t="s">
        <v>1332</v>
      </c>
      <c r="B73" s="12"/>
      <c r="C73" s="12"/>
      <c r="D73" s="12"/>
      <c r="E73" s="38">
        <v>2518.5200000000004</v>
      </c>
      <c r="F73" s="39">
        <v>0</v>
      </c>
      <c r="G73" s="39">
        <v>0</v>
      </c>
      <c r="H73" s="39">
        <v>0</v>
      </c>
      <c r="I73" s="40">
        <v>2518.5200000000004</v>
      </c>
    </row>
    <row r="74" spans="1:9" x14ac:dyDescent="0.2">
      <c r="A74" s="2" t="s">
        <v>349</v>
      </c>
      <c r="B74" s="2" t="s">
        <v>407</v>
      </c>
      <c r="C74" s="13">
        <v>45705</v>
      </c>
      <c r="D74" s="2">
        <v>465</v>
      </c>
      <c r="E74" s="35">
        <v>363</v>
      </c>
      <c r="F74" s="36">
        <v>0</v>
      </c>
      <c r="G74" s="36">
        <v>0</v>
      </c>
      <c r="H74" s="36">
        <v>0</v>
      </c>
      <c r="I74" s="37">
        <v>363</v>
      </c>
    </row>
    <row r="75" spans="1:9" x14ac:dyDescent="0.2">
      <c r="A75" s="11" t="s">
        <v>1333</v>
      </c>
      <c r="B75" s="12"/>
      <c r="C75" s="12"/>
      <c r="D75" s="12"/>
      <c r="E75" s="38">
        <v>363</v>
      </c>
      <c r="F75" s="39">
        <v>0</v>
      </c>
      <c r="G75" s="39">
        <v>0</v>
      </c>
      <c r="H75" s="39">
        <v>0</v>
      </c>
      <c r="I75" s="40">
        <v>363</v>
      </c>
    </row>
    <row r="76" spans="1:9" x14ac:dyDescent="0.2">
      <c r="A76" s="2" t="s">
        <v>612</v>
      </c>
      <c r="B76" s="2" t="s">
        <v>251</v>
      </c>
      <c r="C76" s="13">
        <v>43879</v>
      </c>
      <c r="D76" s="2">
        <v>2291</v>
      </c>
      <c r="E76" s="35">
        <v>240.79</v>
      </c>
      <c r="F76" s="36">
        <v>0</v>
      </c>
      <c r="G76" s="36">
        <v>0</v>
      </c>
      <c r="H76" s="36">
        <v>0</v>
      </c>
      <c r="I76" s="37">
        <v>240.79</v>
      </c>
    </row>
    <row r="77" spans="1:9" x14ac:dyDescent="0.2">
      <c r="A77" s="9"/>
      <c r="B77" s="2" t="s">
        <v>185</v>
      </c>
      <c r="C77" s="13">
        <v>43879</v>
      </c>
      <c r="D77" s="2">
        <v>2291</v>
      </c>
      <c r="E77" s="35">
        <v>240.79</v>
      </c>
      <c r="F77" s="36">
        <v>0</v>
      </c>
      <c r="G77" s="36">
        <v>0</v>
      </c>
      <c r="H77" s="36">
        <v>0</v>
      </c>
      <c r="I77" s="37">
        <v>240.79</v>
      </c>
    </row>
    <row r="78" spans="1:9" x14ac:dyDescent="0.2">
      <c r="A78" s="9"/>
      <c r="B78" s="2" t="s">
        <v>568</v>
      </c>
      <c r="C78" s="13">
        <v>43913</v>
      </c>
      <c r="D78" s="2">
        <v>2257</v>
      </c>
      <c r="E78" s="35">
        <v>30.25</v>
      </c>
      <c r="F78" s="36">
        <v>0</v>
      </c>
      <c r="G78" s="36">
        <v>0</v>
      </c>
      <c r="H78" s="36">
        <v>0</v>
      </c>
      <c r="I78" s="37">
        <v>30.25</v>
      </c>
    </row>
    <row r="79" spans="1:9" x14ac:dyDescent="0.2">
      <c r="A79" s="9"/>
      <c r="B79" s="2" t="s">
        <v>1008</v>
      </c>
      <c r="C79" s="13">
        <v>43936</v>
      </c>
      <c r="D79" s="2">
        <v>2234</v>
      </c>
      <c r="E79" s="35">
        <v>30.25</v>
      </c>
      <c r="F79" s="36">
        <v>0</v>
      </c>
      <c r="G79" s="36">
        <v>0</v>
      </c>
      <c r="H79" s="36">
        <v>0</v>
      </c>
      <c r="I79" s="37">
        <v>30.25</v>
      </c>
    </row>
    <row r="80" spans="1:9" x14ac:dyDescent="0.2">
      <c r="A80" s="9"/>
      <c r="B80" s="2" t="s">
        <v>167</v>
      </c>
      <c r="C80" s="13">
        <v>43963</v>
      </c>
      <c r="D80" s="2">
        <v>2207</v>
      </c>
      <c r="E80" s="35">
        <v>30.25</v>
      </c>
      <c r="F80" s="36">
        <v>0</v>
      </c>
      <c r="G80" s="36">
        <v>0</v>
      </c>
      <c r="H80" s="36">
        <v>0</v>
      </c>
      <c r="I80" s="37">
        <v>30.25</v>
      </c>
    </row>
    <row r="81" spans="1:9" x14ac:dyDescent="0.2">
      <c r="A81" s="9"/>
      <c r="B81" s="2" t="s">
        <v>125</v>
      </c>
      <c r="C81" s="13">
        <v>44180</v>
      </c>
      <c r="D81" s="2">
        <v>1990</v>
      </c>
      <c r="E81" s="35">
        <v>30.25</v>
      </c>
      <c r="F81" s="36">
        <v>0</v>
      </c>
      <c r="G81" s="36">
        <v>0</v>
      </c>
      <c r="H81" s="36">
        <v>0</v>
      </c>
      <c r="I81" s="37">
        <v>30.25</v>
      </c>
    </row>
    <row r="82" spans="1:9" x14ac:dyDescent="0.2">
      <c r="A82" s="9"/>
      <c r="B82" s="2" t="s">
        <v>1073</v>
      </c>
      <c r="C82" s="13">
        <v>44271</v>
      </c>
      <c r="D82" s="2">
        <v>1899</v>
      </c>
      <c r="E82" s="35">
        <v>30.25</v>
      </c>
      <c r="F82" s="36">
        <v>0</v>
      </c>
      <c r="G82" s="36">
        <v>0</v>
      </c>
      <c r="H82" s="36">
        <v>0</v>
      </c>
      <c r="I82" s="37">
        <v>30.25</v>
      </c>
    </row>
    <row r="83" spans="1:9" x14ac:dyDescent="0.2">
      <c r="A83" s="9"/>
      <c r="B83" s="2" t="s">
        <v>162</v>
      </c>
      <c r="C83" s="13">
        <v>43860</v>
      </c>
      <c r="D83" s="2">
        <v>2310</v>
      </c>
      <c r="E83" s="35">
        <v>644.04</v>
      </c>
      <c r="F83" s="36">
        <v>0</v>
      </c>
      <c r="G83" s="36">
        <v>0</v>
      </c>
      <c r="H83" s="36">
        <v>0</v>
      </c>
      <c r="I83" s="37">
        <v>644.04</v>
      </c>
    </row>
    <row r="84" spans="1:9" x14ac:dyDescent="0.2">
      <c r="A84" s="11" t="s">
        <v>1334</v>
      </c>
      <c r="B84" s="12"/>
      <c r="C84" s="12"/>
      <c r="D84" s="12"/>
      <c r="E84" s="38">
        <v>1276.8699999999999</v>
      </c>
      <c r="F84" s="39">
        <v>0</v>
      </c>
      <c r="G84" s="39">
        <v>0</v>
      </c>
      <c r="H84" s="39">
        <v>0</v>
      </c>
      <c r="I84" s="40">
        <v>1276.8699999999999</v>
      </c>
    </row>
    <row r="85" spans="1:9" x14ac:dyDescent="0.2">
      <c r="A85" s="2" t="s">
        <v>187</v>
      </c>
      <c r="B85" s="2" t="s">
        <v>1074</v>
      </c>
      <c r="C85" s="13">
        <v>45096</v>
      </c>
      <c r="D85" s="2">
        <v>1074</v>
      </c>
      <c r="E85" s="35">
        <v>350.9</v>
      </c>
      <c r="F85" s="36">
        <v>0</v>
      </c>
      <c r="G85" s="36">
        <v>0</v>
      </c>
      <c r="H85" s="36">
        <v>0</v>
      </c>
      <c r="I85" s="37">
        <v>350.9</v>
      </c>
    </row>
    <row r="86" spans="1:9" x14ac:dyDescent="0.2">
      <c r="A86" s="9"/>
      <c r="B86" s="2" t="s">
        <v>378</v>
      </c>
      <c r="C86" s="13">
        <v>45124</v>
      </c>
      <c r="D86" s="2">
        <v>1046</v>
      </c>
      <c r="E86" s="35">
        <v>350.9</v>
      </c>
      <c r="F86" s="36">
        <v>0</v>
      </c>
      <c r="G86" s="36">
        <v>0</v>
      </c>
      <c r="H86" s="36">
        <v>0</v>
      </c>
      <c r="I86" s="37">
        <v>350.9</v>
      </c>
    </row>
    <row r="87" spans="1:9" x14ac:dyDescent="0.2">
      <c r="A87" s="9"/>
      <c r="B87" s="2" t="s">
        <v>1304</v>
      </c>
      <c r="C87" s="13">
        <v>45152</v>
      </c>
      <c r="D87" s="2">
        <v>1018</v>
      </c>
      <c r="E87" s="35">
        <v>30.25</v>
      </c>
      <c r="F87" s="36">
        <v>0</v>
      </c>
      <c r="G87" s="36">
        <v>0</v>
      </c>
      <c r="H87" s="36">
        <v>0</v>
      </c>
      <c r="I87" s="37">
        <v>30.25</v>
      </c>
    </row>
    <row r="88" spans="1:9" x14ac:dyDescent="0.2">
      <c r="A88" s="9"/>
      <c r="B88" s="2" t="s">
        <v>731</v>
      </c>
      <c r="C88" s="13">
        <v>45155</v>
      </c>
      <c r="D88" s="2">
        <v>1015</v>
      </c>
      <c r="E88" s="35">
        <v>24.2</v>
      </c>
      <c r="F88" s="36">
        <v>0</v>
      </c>
      <c r="G88" s="36">
        <v>0</v>
      </c>
      <c r="H88" s="36">
        <v>0</v>
      </c>
      <c r="I88" s="37">
        <v>24.2</v>
      </c>
    </row>
    <row r="89" spans="1:9" x14ac:dyDescent="0.2">
      <c r="A89" s="11" t="s">
        <v>1335</v>
      </c>
      <c r="B89" s="12"/>
      <c r="C89" s="12"/>
      <c r="D89" s="12"/>
      <c r="E89" s="38">
        <v>756.25</v>
      </c>
      <c r="F89" s="39">
        <v>0</v>
      </c>
      <c r="G89" s="39">
        <v>0</v>
      </c>
      <c r="H89" s="39">
        <v>0</v>
      </c>
      <c r="I89" s="40">
        <v>756.25</v>
      </c>
    </row>
    <row r="90" spans="1:9" x14ac:dyDescent="0.2">
      <c r="A90" s="2" t="s">
        <v>598</v>
      </c>
      <c r="B90" s="2" t="s">
        <v>489</v>
      </c>
      <c r="C90" s="13">
        <v>43895</v>
      </c>
      <c r="D90" s="2">
        <v>2275</v>
      </c>
      <c r="E90" s="35">
        <v>180.29</v>
      </c>
      <c r="F90" s="36">
        <v>0</v>
      </c>
      <c r="G90" s="36">
        <v>0</v>
      </c>
      <c r="H90" s="36">
        <v>0</v>
      </c>
      <c r="I90" s="37">
        <v>180.29</v>
      </c>
    </row>
    <row r="91" spans="1:9" x14ac:dyDescent="0.2">
      <c r="A91" s="9"/>
      <c r="B91" s="2" t="s">
        <v>971</v>
      </c>
      <c r="C91" s="13">
        <v>43895</v>
      </c>
      <c r="D91" s="2">
        <v>2275</v>
      </c>
      <c r="E91" s="35">
        <v>180.29</v>
      </c>
      <c r="F91" s="36">
        <v>0</v>
      </c>
      <c r="G91" s="36">
        <v>0</v>
      </c>
      <c r="H91" s="36">
        <v>0</v>
      </c>
      <c r="I91" s="37">
        <v>180.29</v>
      </c>
    </row>
    <row r="92" spans="1:9" x14ac:dyDescent="0.2">
      <c r="A92" s="9"/>
      <c r="B92" s="2" t="s">
        <v>855</v>
      </c>
      <c r="C92" s="13">
        <v>43920</v>
      </c>
      <c r="D92" s="2">
        <v>2250</v>
      </c>
      <c r="E92" s="35">
        <v>180.29</v>
      </c>
      <c r="F92" s="36">
        <v>0</v>
      </c>
      <c r="G92" s="36">
        <v>0</v>
      </c>
      <c r="H92" s="36">
        <v>0</v>
      </c>
      <c r="I92" s="37">
        <v>180.29</v>
      </c>
    </row>
    <row r="93" spans="1:9" x14ac:dyDescent="0.2">
      <c r="A93" s="9"/>
      <c r="B93" s="2" t="s">
        <v>1269</v>
      </c>
      <c r="C93" s="13">
        <v>43435</v>
      </c>
      <c r="D93" s="2">
        <v>2735</v>
      </c>
      <c r="E93" s="35">
        <v>180.29</v>
      </c>
      <c r="F93" s="36">
        <v>0</v>
      </c>
      <c r="G93" s="36">
        <v>0</v>
      </c>
      <c r="H93" s="36">
        <v>0</v>
      </c>
      <c r="I93" s="37">
        <v>180.29</v>
      </c>
    </row>
    <row r="94" spans="1:9" x14ac:dyDescent="0.2">
      <c r="A94" s="9"/>
      <c r="B94" s="2" t="s">
        <v>1263</v>
      </c>
      <c r="C94" s="13">
        <v>43469</v>
      </c>
      <c r="D94" s="2">
        <v>2701</v>
      </c>
      <c r="E94" s="35">
        <v>180.29</v>
      </c>
      <c r="F94" s="36">
        <v>0</v>
      </c>
      <c r="G94" s="36">
        <v>0</v>
      </c>
      <c r="H94" s="36">
        <v>0</v>
      </c>
      <c r="I94" s="37">
        <v>180.29</v>
      </c>
    </row>
    <row r="95" spans="1:9" x14ac:dyDescent="0.2">
      <c r="A95" s="9"/>
      <c r="B95" s="2" t="s">
        <v>775</v>
      </c>
      <c r="C95" s="13">
        <v>43497</v>
      </c>
      <c r="D95" s="2">
        <v>2673</v>
      </c>
      <c r="E95" s="35">
        <v>180.29</v>
      </c>
      <c r="F95" s="36">
        <v>0</v>
      </c>
      <c r="G95" s="36">
        <v>0</v>
      </c>
      <c r="H95" s="36">
        <v>0</v>
      </c>
      <c r="I95" s="37">
        <v>180.29</v>
      </c>
    </row>
    <row r="96" spans="1:9" x14ac:dyDescent="0.2">
      <c r="A96" s="9"/>
      <c r="B96" s="2" t="s">
        <v>420</v>
      </c>
      <c r="C96" s="13">
        <v>43532</v>
      </c>
      <c r="D96" s="2">
        <v>2638</v>
      </c>
      <c r="E96" s="35">
        <v>180.29</v>
      </c>
      <c r="F96" s="36">
        <v>0</v>
      </c>
      <c r="G96" s="36">
        <v>0</v>
      </c>
      <c r="H96" s="36">
        <v>0</v>
      </c>
      <c r="I96" s="37">
        <v>180.29</v>
      </c>
    </row>
    <row r="97" spans="1:9" x14ac:dyDescent="0.2">
      <c r="A97" s="9"/>
      <c r="B97" s="2" t="s">
        <v>934</v>
      </c>
      <c r="C97" s="13">
        <v>43559</v>
      </c>
      <c r="D97" s="2">
        <v>2611</v>
      </c>
      <c r="E97" s="35">
        <v>180.29</v>
      </c>
      <c r="F97" s="36">
        <v>0</v>
      </c>
      <c r="G97" s="36">
        <v>0</v>
      </c>
      <c r="H97" s="36">
        <v>0</v>
      </c>
      <c r="I97" s="37">
        <v>180.29</v>
      </c>
    </row>
    <row r="98" spans="1:9" x14ac:dyDescent="0.2">
      <c r="A98" s="9"/>
      <c r="B98" s="2" t="s">
        <v>472</v>
      </c>
      <c r="C98" s="13">
        <v>43593</v>
      </c>
      <c r="D98" s="2">
        <v>2577</v>
      </c>
      <c r="E98" s="35">
        <v>180.29</v>
      </c>
      <c r="F98" s="36">
        <v>0</v>
      </c>
      <c r="G98" s="36">
        <v>0</v>
      </c>
      <c r="H98" s="36">
        <v>0</v>
      </c>
      <c r="I98" s="37">
        <v>180.29</v>
      </c>
    </row>
    <row r="99" spans="1:9" x14ac:dyDescent="0.2">
      <c r="A99" s="9"/>
      <c r="B99" s="2" t="s">
        <v>324</v>
      </c>
      <c r="C99" s="13">
        <v>43616</v>
      </c>
      <c r="D99" s="2">
        <v>2554</v>
      </c>
      <c r="E99" s="35">
        <v>180.29</v>
      </c>
      <c r="F99" s="36">
        <v>0</v>
      </c>
      <c r="G99" s="36">
        <v>0</v>
      </c>
      <c r="H99" s="36">
        <v>0</v>
      </c>
      <c r="I99" s="37">
        <v>180.29</v>
      </c>
    </row>
    <row r="100" spans="1:9" x14ac:dyDescent="0.2">
      <c r="A100" s="9"/>
      <c r="B100" s="2" t="s">
        <v>348</v>
      </c>
      <c r="C100" s="13">
        <v>43651</v>
      </c>
      <c r="D100" s="2">
        <v>2519</v>
      </c>
      <c r="E100" s="35">
        <v>180.29</v>
      </c>
      <c r="F100" s="36">
        <v>0</v>
      </c>
      <c r="G100" s="36">
        <v>0</v>
      </c>
      <c r="H100" s="36">
        <v>0</v>
      </c>
      <c r="I100" s="37">
        <v>180.29</v>
      </c>
    </row>
    <row r="101" spans="1:9" x14ac:dyDescent="0.2">
      <c r="A101" s="9"/>
      <c r="B101" s="2" t="s">
        <v>844</v>
      </c>
      <c r="C101" s="13">
        <v>43678</v>
      </c>
      <c r="D101" s="2">
        <v>2492</v>
      </c>
      <c r="E101" s="35">
        <v>180.29</v>
      </c>
      <c r="F101" s="36">
        <v>0</v>
      </c>
      <c r="G101" s="36">
        <v>0</v>
      </c>
      <c r="H101" s="36">
        <v>0</v>
      </c>
      <c r="I101" s="37">
        <v>180.29</v>
      </c>
    </row>
    <row r="102" spans="1:9" x14ac:dyDescent="0.2">
      <c r="A102" s="9"/>
      <c r="B102" s="2" t="s">
        <v>390</v>
      </c>
      <c r="C102" s="13">
        <v>43708</v>
      </c>
      <c r="D102" s="2">
        <v>2462</v>
      </c>
      <c r="E102" s="35">
        <v>180.29</v>
      </c>
      <c r="F102" s="36">
        <v>0</v>
      </c>
      <c r="G102" s="36">
        <v>0</v>
      </c>
      <c r="H102" s="36">
        <v>0</v>
      </c>
      <c r="I102" s="37">
        <v>180.29</v>
      </c>
    </row>
    <row r="103" spans="1:9" x14ac:dyDescent="0.2">
      <c r="A103" s="9"/>
      <c r="B103" s="2" t="s">
        <v>897</v>
      </c>
      <c r="C103" s="13">
        <v>43741</v>
      </c>
      <c r="D103" s="2">
        <v>2429</v>
      </c>
      <c r="E103" s="35">
        <v>180.29</v>
      </c>
      <c r="F103" s="36">
        <v>0</v>
      </c>
      <c r="G103" s="36">
        <v>0</v>
      </c>
      <c r="H103" s="36">
        <v>0</v>
      </c>
      <c r="I103" s="37">
        <v>180.29</v>
      </c>
    </row>
    <row r="104" spans="1:9" x14ac:dyDescent="0.2">
      <c r="A104" s="9"/>
      <c r="B104" s="2" t="s">
        <v>246</v>
      </c>
      <c r="C104" s="13">
        <v>43770</v>
      </c>
      <c r="D104" s="2">
        <v>2400</v>
      </c>
      <c r="E104" s="35">
        <v>180.29</v>
      </c>
      <c r="F104" s="36">
        <v>0</v>
      </c>
      <c r="G104" s="36">
        <v>0</v>
      </c>
      <c r="H104" s="36">
        <v>0</v>
      </c>
      <c r="I104" s="37">
        <v>180.29</v>
      </c>
    </row>
    <row r="105" spans="1:9" x14ac:dyDescent="0.2">
      <c r="A105" s="9"/>
      <c r="B105" s="2" t="s">
        <v>449</v>
      </c>
      <c r="C105" s="13">
        <v>43804</v>
      </c>
      <c r="D105" s="2">
        <v>2366</v>
      </c>
      <c r="E105" s="35">
        <v>180.29</v>
      </c>
      <c r="F105" s="36">
        <v>0</v>
      </c>
      <c r="G105" s="36">
        <v>0</v>
      </c>
      <c r="H105" s="36">
        <v>0</v>
      </c>
      <c r="I105" s="37">
        <v>180.29</v>
      </c>
    </row>
    <row r="106" spans="1:9" x14ac:dyDescent="0.2">
      <c r="A106" s="9"/>
      <c r="B106" s="2" t="s">
        <v>983</v>
      </c>
      <c r="C106" s="13">
        <v>43832</v>
      </c>
      <c r="D106" s="2">
        <v>2338</v>
      </c>
      <c r="E106" s="35">
        <v>180.29</v>
      </c>
      <c r="F106" s="36">
        <v>0</v>
      </c>
      <c r="G106" s="36">
        <v>0</v>
      </c>
      <c r="H106" s="36">
        <v>0</v>
      </c>
      <c r="I106" s="37">
        <v>180.29</v>
      </c>
    </row>
    <row r="107" spans="1:9" x14ac:dyDescent="0.2">
      <c r="A107" s="11" t="s">
        <v>1336</v>
      </c>
      <c r="B107" s="12"/>
      <c r="C107" s="12"/>
      <c r="D107" s="12"/>
      <c r="E107" s="38">
        <v>3064.93</v>
      </c>
      <c r="F107" s="39">
        <v>0</v>
      </c>
      <c r="G107" s="39">
        <v>0</v>
      </c>
      <c r="H107" s="39">
        <v>0</v>
      </c>
      <c r="I107" s="40">
        <v>3064.93</v>
      </c>
    </row>
    <row r="108" spans="1:9" x14ac:dyDescent="0.2">
      <c r="A108" s="2" t="s">
        <v>678</v>
      </c>
      <c r="B108" s="2" t="s">
        <v>1291</v>
      </c>
      <c r="C108" s="13">
        <v>44751</v>
      </c>
      <c r="D108" s="2">
        <v>1419</v>
      </c>
      <c r="E108" s="35">
        <v>261.66000000000003</v>
      </c>
      <c r="F108" s="36">
        <v>0</v>
      </c>
      <c r="G108" s="36">
        <v>0</v>
      </c>
      <c r="H108" s="36">
        <v>0</v>
      </c>
      <c r="I108" s="37">
        <v>261.66000000000003</v>
      </c>
    </row>
    <row r="109" spans="1:9" x14ac:dyDescent="0.2">
      <c r="A109" s="11" t="s">
        <v>1337</v>
      </c>
      <c r="B109" s="12"/>
      <c r="C109" s="12"/>
      <c r="D109" s="12"/>
      <c r="E109" s="38">
        <v>261.66000000000003</v>
      </c>
      <c r="F109" s="39">
        <v>0</v>
      </c>
      <c r="G109" s="39">
        <v>0</v>
      </c>
      <c r="H109" s="39">
        <v>0</v>
      </c>
      <c r="I109" s="40">
        <v>261.66000000000003</v>
      </c>
    </row>
    <row r="110" spans="1:9" x14ac:dyDescent="0.2">
      <c r="A110" s="2" t="s">
        <v>433</v>
      </c>
      <c r="B110" s="2" t="s">
        <v>900</v>
      </c>
      <c r="C110" s="13">
        <v>45325</v>
      </c>
      <c r="D110" s="2">
        <v>845</v>
      </c>
      <c r="E110" s="35">
        <v>-514.25</v>
      </c>
      <c r="F110" s="36">
        <v>0</v>
      </c>
      <c r="G110" s="36">
        <v>0</v>
      </c>
      <c r="H110" s="36">
        <v>0</v>
      </c>
      <c r="I110" s="37">
        <v>-514.25</v>
      </c>
    </row>
    <row r="111" spans="1:9" x14ac:dyDescent="0.2">
      <c r="A111" s="9"/>
      <c r="B111" s="9"/>
      <c r="C111" s="13">
        <v>45366</v>
      </c>
      <c r="D111" s="2">
        <v>804</v>
      </c>
      <c r="E111" s="35">
        <v>-514.25</v>
      </c>
      <c r="F111" s="36">
        <v>0</v>
      </c>
      <c r="G111" s="36">
        <v>0</v>
      </c>
      <c r="H111" s="36">
        <v>0</v>
      </c>
      <c r="I111" s="37">
        <v>-514.25</v>
      </c>
    </row>
    <row r="112" spans="1:9" x14ac:dyDescent="0.2">
      <c r="A112" s="11" t="s">
        <v>1338</v>
      </c>
      <c r="B112" s="12"/>
      <c r="C112" s="12"/>
      <c r="D112" s="12"/>
      <c r="E112" s="38">
        <v>-1028.5</v>
      </c>
      <c r="F112" s="39">
        <v>0</v>
      </c>
      <c r="G112" s="39">
        <v>0</v>
      </c>
      <c r="H112" s="39">
        <v>0</v>
      </c>
      <c r="I112" s="40">
        <v>-1028.5</v>
      </c>
    </row>
    <row r="113" spans="1:9" x14ac:dyDescent="0.2">
      <c r="A113" s="2" t="s">
        <v>234</v>
      </c>
      <c r="B113" s="2" t="s">
        <v>1296</v>
      </c>
      <c r="C113" s="13">
        <v>45819</v>
      </c>
      <c r="D113" s="2">
        <v>351</v>
      </c>
      <c r="E113" s="35">
        <v>4962.01</v>
      </c>
      <c r="F113" s="36">
        <v>0</v>
      </c>
      <c r="G113" s="36">
        <v>0</v>
      </c>
      <c r="H113" s="36">
        <v>0</v>
      </c>
      <c r="I113" s="37">
        <v>4962.01</v>
      </c>
    </row>
    <row r="114" spans="1:9" x14ac:dyDescent="0.2">
      <c r="A114" s="11" t="s">
        <v>1339</v>
      </c>
      <c r="B114" s="12"/>
      <c r="C114" s="12"/>
      <c r="D114" s="12"/>
      <c r="E114" s="38">
        <v>4962.01</v>
      </c>
      <c r="F114" s="39">
        <v>0</v>
      </c>
      <c r="G114" s="39">
        <v>0</v>
      </c>
      <c r="H114" s="39">
        <v>0</v>
      </c>
      <c r="I114" s="40">
        <v>4962.01</v>
      </c>
    </row>
    <row r="115" spans="1:9" x14ac:dyDescent="0.2">
      <c r="A115" s="2" t="s">
        <v>533</v>
      </c>
      <c r="B115" s="2" t="s">
        <v>87</v>
      </c>
      <c r="C115" s="13">
        <v>43532</v>
      </c>
      <c r="D115" s="2">
        <v>2638</v>
      </c>
      <c r="E115" s="35">
        <v>338.8</v>
      </c>
      <c r="F115" s="36">
        <v>0</v>
      </c>
      <c r="G115" s="36">
        <v>0</v>
      </c>
      <c r="H115" s="36">
        <v>0</v>
      </c>
      <c r="I115" s="37">
        <v>338.8</v>
      </c>
    </row>
    <row r="116" spans="1:9" x14ac:dyDescent="0.2">
      <c r="A116" s="11" t="s">
        <v>1340</v>
      </c>
      <c r="B116" s="12"/>
      <c r="C116" s="12"/>
      <c r="D116" s="12"/>
      <c r="E116" s="38">
        <v>338.8</v>
      </c>
      <c r="F116" s="39">
        <v>0</v>
      </c>
      <c r="G116" s="39">
        <v>0</v>
      </c>
      <c r="H116" s="39">
        <v>0</v>
      </c>
      <c r="I116" s="40">
        <v>338.8</v>
      </c>
    </row>
    <row r="117" spans="1:9" x14ac:dyDescent="0.2">
      <c r="A117" s="2" t="s">
        <v>500</v>
      </c>
      <c r="B117" s="2" t="s">
        <v>209</v>
      </c>
      <c r="C117" s="13">
        <v>45812</v>
      </c>
      <c r="D117" s="2">
        <v>358</v>
      </c>
      <c r="E117" s="35">
        <v>242</v>
      </c>
      <c r="F117" s="36">
        <v>0</v>
      </c>
      <c r="G117" s="36">
        <v>0</v>
      </c>
      <c r="H117" s="36">
        <v>0</v>
      </c>
      <c r="I117" s="37">
        <v>242</v>
      </c>
    </row>
    <row r="118" spans="1:9" x14ac:dyDescent="0.2">
      <c r="A118" s="9"/>
      <c r="B118" s="2" t="s">
        <v>538</v>
      </c>
      <c r="C118" s="13">
        <v>45840</v>
      </c>
      <c r="D118" s="2">
        <v>330</v>
      </c>
      <c r="E118" s="35">
        <v>242</v>
      </c>
      <c r="F118" s="36">
        <v>0</v>
      </c>
      <c r="G118" s="36">
        <v>0</v>
      </c>
      <c r="H118" s="36">
        <v>0</v>
      </c>
      <c r="I118" s="37">
        <v>242</v>
      </c>
    </row>
    <row r="119" spans="1:9" x14ac:dyDescent="0.2">
      <c r="A119" s="9"/>
      <c r="B119" s="2" t="s">
        <v>463</v>
      </c>
      <c r="C119" s="13">
        <v>45869</v>
      </c>
      <c r="D119" s="2">
        <v>301</v>
      </c>
      <c r="E119" s="35">
        <v>242</v>
      </c>
      <c r="F119" s="36">
        <v>0</v>
      </c>
      <c r="G119" s="36">
        <v>0</v>
      </c>
      <c r="H119" s="36">
        <v>0</v>
      </c>
      <c r="I119" s="37">
        <v>242</v>
      </c>
    </row>
    <row r="120" spans="1:9" x14ac:dyDescent="0.2">
      <c r="A120" s="9"/>
      <c r="B120" s="2" t="s">
        <v>1229</v>
      </c>
      <c r="C120" s="13">
        <v>45903</v>
      </c>
      <c r="D120" s="2">
        <v>267</v>
      </c>
      <c r="E120" s="35">
        <v>242</v>
      </c>
      <c r="F120" s="36">
        <v>0</v>
      </c>
      <c r="G120" s="36">
        <v>0</v>
      </c>
      <c r="H120" s="36">
        <v>0</v>
      </c>
      <c r="I120" s="37">
        <v>242</v>
      </c>
    </row>
    <row r="121" spans="1:9" x14ac:dyDescent="0.2">
      <c r="A121" s="9"/>
      <c r="B121" s="2" t="s">
        <v>573</v>
      </c>
      <c r="C121" s="13">
        <v>45931</v>
      </c>
      <c r="D121" s="2">
        <v>239</v>
      </c>
      <c r="E121" s="35">
        <v>242</v>
      </c>
      <c r="F121" s="36">
        <v>0</v>
      </c>
      <c r="G121" s="36">
        <v>0</v>
      </c>
      <c r="H121" s="36">
        <v>0</v>
      </c>
      <c r="I121" s="37">
        <v>242</v>
      </c>
    </row>
    <row r="122" spans="1:9" x14ac:dyDescent="0.2">
      <c r="A122" s="9"/>
      <c r="B122" s="2" t="s">
        <v>1285</v>
      </c>
      <c r="C122" s="13">
        <v>45966</v>
      </c>
      <c r="D122" s="2">
        <v>204</v>
      </c>
      <c r="E122" s="35">
        <v>242</v>
      </c>
      <c r="F122" s="36">
        <v>0</v>
      </c>
      <c r="G122" s="36">
        <v>0</v>
      </c>
      <c r="H122" s="36">
        <v>0</v>
      </c>
      <c r="I122" s="37">
        <v>242</v>
      </c>
    </row>
    <row r="123" spans="1:9" x14ac:dyDescent="0.2">
      <c r="A123" s="9"/>
      <c r="B123" s="2" t="s">
        <v>815</v>
      </c>
      <c r="C123" s="13">
        <v>45996</v>
      </c>
      <c r="D123" s="2">
        <v>174</v>
      </c>
      <c r="E123" s="35">
        <v>242</v>
      </c>
      <c r="F123" s="36">
        <v>0</v>
      </c>
      <c r="G123" s="36">
        <v>0</v>
      </c>
      <c r="H123" s="36">
        <v>0</v>
      </c>
      <c r="I123" s="37">
        <v>242</v>
      </c>
    </row>
    <row r="124" spans="1:9" x14ac:dyDescent="0.2">
      <c r="A124" s="9"/>
      <c r="B124" s="2" t="s">
        <v>486</v>
      </c>
      <c r="C124" s="13">
        <v>46023</v>
      </c>
      <c r="D124" s="2">
        <v>147</v>
      </c>
      <c r="E124" s="35">
        <v>242</v>
      </c>
      <c r="F124" s="36">
        <v>0</v>
      </c>
      <c r="G124" s="36">
        <v>0</v>
      </c>
      <c r="H124" s="36">
        <v>0</v>
      </c>
      <c r="I124" s="37">
        <v>242</v>
      </c>
    </row>
    <row r="125" spans="1:9" x14ac:dyDescent="0.2">
      <c r="A125" s="9"/>
      <c r="B125" s="2" t="s">
        <v>534</v>
      </c>
      <c r="C125" s="13">
        <v>46060</v>
      </c>
      <c r="D125" s="2">
        <v>110</v>
      </c>
      <c r="E125" s="35">
        <v>242</v>
      </c>
      <c r="F125" s="36">
        <v>0</v>
      </c>
      <c r="G125" s="36">
        <v>0</v>
      </c>
      <c r="H125" s="36">
        <v>0</v>
      </c>
      <c r="I125" s="37">
        <v>242</v>
      </c>
    </row>
    <row r="126" spans="1:9" x14ac:dyDescent="0.2">
      <c r="A126" s="9"/>
      <c r="B126" s="2" t="s">
        <v>1494</v>
      </c>
      <c r="C126" s="13">
        <v>46069</v>
      </c>
      <c r="D126" s="2">
        <v>101</v>
      </c>
      <c r="E126" s="35">
        <v>242</v>
      </c>
      <c r="F126" s="36">
        <v>0</v>
      </c>
      <c r="G126" s="36">
        <v>0</v>
      </c>
      <c r="H126" s="36">
        <v>0</v>
      </c>
      <c r="I126" s="37">
        <v>242</v>
      </c>
    </row>
    <row r="127" spans="1:9" x14ac:dyDescent="0.2">
      <c r="A127" s="9"/>
      <c r="B127" s="2" t="s">
        <v>1495</v>
      </c>
      <c r="C127" s="13">
        <v>46099</v>
      </c>
      <c r="D127" s="2">
        <v>71</v>
      </c>
      <c r="E127" s="35">
        <v>242</v>
      </c>
      <c r="F127" s="36">
        <v>0</v>
      </c>
      <c r="G127" s="36">
        <v>0</v>
      </c>
      <c r="H127" s="36">
        <v>242</v>
      </c>
      <c r="I127" s="37">
        <v>0</v>
      </c>
    </row>
    <row r="128" spans="1:9" x14ac:dyDescent="0.2">
      <c r="A128" s="9"/>
      <c r="B128" s="2" t="s">
        <v>1496</v>
      </c>
      <c r="C128" s="13">
        <v>46118</v>
      </c>
      <c r="D128" s="2">
        <v>52</v>
      </c>
      <c r="E128" s="35">
        <v>789.53</v>
      </c>
      <c r="F128" s="36">
        <v>0</v>
      </c>
      <c r="G128" s="36">
        <v>789.53</v>
      </c>
      <c r="H128" s="36">
        <v>0</v>
      </c>
      <c r="I128" s="37">
        <v>0</v>
      </c>
    </row>
    <row r="129" spans="1:9" x14ac:dyDescent="0.2">
      <c r="A129" s="9"/>
      <c r="B129" s="2" t="s">
        <v>1497</v>
      </c>
      <c r="C129" s="13">
        <v>46132</v>
      </c>
      <c r="D129" s="2">
        <v>38</v>
      </c>
      <c r="E129" s="35">
        <v>242</v>
      </c>
      <c r="F129" s="36">
        <v>0</v>
      </c>
      <c r="G129" s="36">
        <v>242</v>
      </c>
      <c r="H129" s="36">
        <v>0</v>
      </c>
      <c r="I129" s="37">
        <v>0</v>
      </c>
    </row>
    <row r="130" spans="1:9" x14ac:dyDescent="0.2">
      <c r="A130" s="9"/>
      <c r="B130" s="2" t="s">
        <v>1498</v>
      </c>
      <c r="C130" s="13">
        <v>46162</v>
      </c>
      <c r="D130" s="2">
        <v>8</v>
      </c>
      <c r="E130" s="35">
        <v>242</v>
      </c>
      <c r="F130" s="36">
        <v>242</v>
      </c>
      <c r="G130" s="36">
        <v>0</v>
      </c>
      <c r="H130" s="36">
        <v>0</v>
      </c>
      <c r="I130" s="37">
        <v>0</v>
      </c>
    </row>
    <row r="131" spans="1:9" x14ac:dyDescent="0.2">
      <c r="A131" s="11" t="s">
        <v>1341</v>
      </c>
      <c r="B131" s="12"/>
      <c r="C131" s="12"/>
      <c r="D131" s="12"/>
      <c r="E131" s="38">
        <v>3935.5299999999997</v>
      </c>
      <c r="F131" s="39">
        <v>242</v>
      </c>
      <c r="G131" s="39">
        <v>1031.53</v>
      </c>
      <c r="H131" s="39">
        <v>242</v>
      </c>
      <c r="I131" s="40">
        <v>2420</v>
      </c>
    </row>
    <row r="132" spans="1:9" x14ac:dyDescent="0.2">
      <c r="A132" s="2" t="s">
        <v>164</v>
      </c>
      <c r="B132" s="2" t="s">
        <v>1255</v>
      </c>
      <c r="C132" s="13">
        <v>45812</v>
      </c>
      <c r="D132" s="2">
        <v>358</v>
      </c>
      <c r="E132" s="35">
        <v>544.5</v>
      </c>
      <c r="F132" s="36">
        <v>0</v>
      </c>
      <c r="G132" s="36">
        <v>0</v>
      </c>
      <c r="H132" s="36">
        <v>0</v>
      </c>
      <c r="I132" s="37">
        <v>544.5</v>
      </c>
    </row>
    <row r="133" spans="1:9" x14ac:dyDescent="0.2">
      <c r="A133" s="9"/>
      <c r="B133" s="2" t="s">
        <v>325</v>
      </c>
      <c r="C133" s="13">
        <v>45840</v>
      </c>
      <c r="D133" s="2">
        <v>330</v>
      </c>
      <c r="E133" s="35">
        <v>544.5</v>
      </c>
      <c r="F133" s="36">
        <v>0</v>
      </c>
      <c r="G133" s="36">
        <v>0</v>
      </c>
      <c r="H133" s="36">
        <v>0</v>
      </c>
      <c r="I133" s="37">
        <v>544.5</v>
      </c>
    </row>
    <row r="134" spans="1:9" x14ac:dyDescent="0.2">
      <c r="A134" s="9"/>
      <c r="B134" s="2" t="s">
        <v>200</v>
      </c>
      <c r="C134" s="13">
        <v>45869</v>
      </c>
      <c r="D134" s="2">
        <v>301</v>
      </c>
      <c r="E134" s="35">
        <v>544.5</v>
      </c>
      <c r="F134" s="36">
        <v>0</v>
      </c>
      <c r="G134" s="36">
        <v>0</v>
      </c>
      <c r="H134" s="36">
        <v>0</v>
      </c>
      <c r="I134" s="37">
        <v>544.5</v>
      </c>
    </row>
    <row r="135" spans="1:9" x14ac:dyDescent="0.2">
      <c r="A135" s="9"/>
      <c r="B135" s="2" t="s">
        <v>1115</v>
      </c>
      <c r="C135" s="13">
        <v>45903</v>
      </c>
      <c r="D135" s="2">
        <v>267</v>
      </c>
      <c r="E135" s="35">
        <v>544.5</v>
      </c>
      <c r="F135" s="36">
        <v>0</v>
      </c>
      <c r="G135" s="36">
        <v>0</v>
      </c>
      <c r="H135" s="36">
        <v>0</v>
      </c>
      <c r="I135" s="37">
        <v>544.5</v>
      </c>
    </row>
    <row r="136" spans="1:9" x14ac:dyDescent="0.2">
      <c r="A136" s="9"/>
      <c r="B136" s="2" t="s">
        <v>641</v>
      </c>
      <c r="C136" s="13">
        <v>45931</v>
      </c>
      <c r="D136" s="2">
        <v>239</v>
      </c>
      <c r="E136" s="35">
        <v>544.5</v>
      </c>
      <c r="F136" s="36">
        <v>0</v>
      </c>
      <c r="G136" s="36">
        <v>0</v>
      </c>
      <c r="H136" s="36">
        <v>0</v>
      </c>
      <c r="I136" s="37">
        <v>544.5</v>
      </c>
    </row>
    <row r="137" spans="1:9" x14ac:dyDescent="0.2">
      <c r="A137" s="9"/>
      <c r="B137" s="2" t="s">
        <v>29</v>
      </c>
      <c r="C137" s="13">
        <v>45966</v>
      </c>
      <c r="D137" s="2">
        <v>204</v>
      </c>
      <c r="E137" s="35">
        <v>544.5</v>
      </c>
      <c r="F137" s="36">
        <v>0</v>
      </c>
      <c r="G137" s="36">
        <v>0</v>
      </c>
      <c r="H137" s="36">
        <v>0</v>
      </c>
      <c r="I137" s="37">
        <v>544.5</v>
      </c>
    </row>
    <row r="138" spans="1:9" x14ac:dyDescent="0.2">
      <c r="A138" s="9"/>
      <c r="B138" s="2" t="s">
        <v>593</v>
      </c>
      <c r="C138" s="13">
        <v>45996</v>
      </c>
      <c r="D138" s="2">
        <v>174</v>
      </c>
      <c r="E138" s="35">
        <v>544.5</v>
      </c>
      <c r="F138" s="36">
        <v>0</v>
      </c>
      <c r="G138" s="36">
        <v>0</v>
      </c>
      <c r="H138" s="36">
        <v>0</v>
      </c>
      <c r="I138" s="37">
        <v>544.5</v>
      </c>
    </row>
    <row r="139" spans="1:9" x14ac:dyDescent="0.2">
      <c r="A139" s="9"/>
      <c r="B139" s="2" t="s">
        <v>301</v>
      </c>
      <c r="C139" s="13">
        <v>46023</v>
      </c>
      <c r="D139" s="2">
        <v>147</v>
      </c>
      <c r="E139" s="35">
        <v>544.5</v>
      </c>
      <c r="F139" s="36">
        <v>0</v>
      </c>
      <c r="G139" s="36">
        <v>0</v>
      </c>
      <c r="H139" s="36">
        <v>0</v>
      </c>
      <c r="I139" s="37">
        <v>544.5</v>
      </c>
    </row>
    <row r="140" spans="1:9" x14ac:dyDescent="0.2">
      <c r="A140" s="9"/>
      <c r="B140" s="2" t="s">
        <v>389</v>
      </c>
      <c r="C140" s="13">
        <v>46060</v>
      </c>
      <c r="D140" s="2">
        <v>110</v>
      </c>
      <c r="E140" s="35">
        <v>544.5</v>
      </c>
      <c r="F140" s="36">
        <v>0</v>
      </c>
      <c r="G140" s="36">
        <v>0</v>
      </c>
      <c r="H140" s="36">
        <v>0</v>
      </c>
      <c r="I140" s="37">
        <v>544.5</v>
      </c>
    </row>
    <row r="141" spans="1:9" x14ac:dyDescent="0.2">
      <c r="A141" s="11" t="s">
        <v>1342</v>
      </c>
      <c r="B141" s="12"/>
      <c r="C141" s="12"/>
      <c r="D141" s="12"/>
      <c r="E141" s="38">
        <v>4900.5</v>
      </c>
      <c r="F141" s="39">
        <v>0</v>
      </c>
      <c r="G141" s="39">
        <v>0</v>
      </c>
      <c r="H141" s="39">
        <v>0</v>
      </c>
      <c r="I141" s="40">
        <v>4900.5</v>
      </c>
    </row>
    <row r="142" spans="1:9" x14ac:dyDescent="0.2">
      <c r="A142" s="2" t="s">
        <v>575</v>
      </c>
      <c r="B142" s="2" t="s">
        <v>432</v>
      </c>
      <c r="C142" s="13">
        <v>45809</v>
      </c>
      <c r="D142" s="2">
        <v>361</v>
      </c>
      <c r="E142" s="35">
        <v>1724.25</v>
      </c>
      <c r="F142" s="36">
        <v>0</v>
      </c>
      <c r="G142" s="36">
        <v>0</v>
      </c>
      <c r="H142" s="36">
        <v>0</v>
      </c>
      <c r="I142" s="37">
        <v>1724.25</v>
      </c>
    </row>
    <row r="143" spans="1:9" x14ac:dyDescent="0.2">
      <c r="A143" s="11" t="s">
        <v>1343</v>
      </c>
      <c r="B143" s="12"/>
      <c r="C143" s="12"/>
      <c r="D143" s="12"/>
      <c r="E143" s="38">
        <v>1724.25</v>
      </c>
      <c r="F143" s="39">
        <v>0</v>
      </c>
      <c r="G143" s="39">
        <v>0</v>
      </c>
      <c r="H143" s="39">
        <v>0</v>
      </c>
      <c r="I143" s="40">
        <v>1724.25</v>
      </c>
    </row>
    <row r="144" spans="1:9" x14ac:dyDescent="0.2">
      <c r="A144" s="2" t="s">
        <v>1174</v>
      </c>
      <c r="B144" s="2" t="s">
        <v>900</v>
      </c>
      <c r="C144" s="13">
        <v>45687</v>
      </c>
      <c r="D144" s="2">
        <v>483</v>
      </c>
      <c r="E144" s="35">
        <v>-3710.5</v>
      </c>
      <c r="F144" s="36">
        <v>0</v>
      </c>
      <c r="G144" s="36">
        <v>0</v>
      </c>
      <c r="H144" s="36">
        <v>0</v>
      </c>
      <c r="I144" s="37">
        <v>-3710.5</v>
      </c>
    </row>
    <row r="145" spans="1:9" x14ac:dyDescent="0.2">
      <c r="A145" s="9"/>
      <c r="B145" s="9"/>
      <c r="C145" s="13">
        <v>46052</v>
      </c>
      <c r="D145" s="2">
        <v>118</v>
      </c>
      <c r="E145" s="35">
        <v>-539.5</v>
      </c>
      <c r="F145" s="36">
        <v>0</v>
      </c>
      <c r="G145" s="36">
        <v>0</v>
      </c>
      <c r="H145" s="36">
        <v>0</v>
      </c>
      <c r="I145" s="37">
        <v>-539.5</v>
      </c>
    </row>
    <row r="146" spans="1:9" x14ac:dyDescent="0.2">
      <c r="A146" s="11" t="s">
        <v>1344</v>
      </c>
      <c r="B146" s="12"/>
      <c r="C146" s="12"/>
      <c r="D146" s="12"/>
      <c r="E146" s="38">
        <v>-4250</v>
      </c>
      <c r="F146" s="39">
        <v>0</v>
      </c>
      <c r="G146" s="39">
        <v>0</v>
      </c>
      <c r="H146" s="39">
        <v>0</v>
      </c>
      <c r="I146" s="40">
        <v>-4250</v>
      </c>
    </row>
    <row r="147" spans="1:9" x14ac:dyDescent="0.2">
      <c r="A147" s="2" t="s">
        <v>796</v>
      </c>
      <c r="B147" s="2" t="s">
        <v>1190</v>
      </c>
      <c r="C147" s="13">
        <v>45856</v>
      </c>
      <c r="D147" s="3"/>
      <c r="E147" s="35">
        <v>-241.76</v>
      </c>
      <c r="F147" s="36">
        <v>0</v>
      </c>
      <c r="G147" s="36">
        <v>0</v>
      </c>
      <c r="H147" s="36">
        <v>0</v>
      </c>
      <c r="I147" s="37">
        <v>-241.76</v>
      </c>
    </row>
    <row r="148" spans="1:9" x14ac:dyDescent="0.2">
      <c r="A148" s="9"/>
      <c r="B148" s="2" t="s">
        <v>1014</v>
      </c>
      <c r="C148" s="13">
        <v>46134</v>
      </c>
      <c r="D148" s="2">
        <v>36</v>
      </c>
      <c r="E148" s="35">
        <v>9825.56</v>
      </c>
      <c r="F148" s="36">
        <v>0</v>
      </c>
      <c r="G148" s="36">
        <v>9825.56</v>
      </c>
      <c r="H148" s="36">
        <v>0</v>
      </c>
      <c r="I148" s="37">
        <v>0</v>
      </c>
    </row>
    <row r="149" spans="1:9" x14ac:dyDescent="0.2">
      <c r="A149" s="9"/>
      <c r="B149" s="2" t="s">
        <v>365</v>
      </c>
      <c r="C149" s="13">
        <v>45756</v>
      </c>
      <c r="D149" s="2">
        <v>414</v>
      </c>
      <c r="E149" s="35">
        <v>9011.7199999999993</v>
      </c>
      <c r="F149" s="36">
        <v>0</v>
      </c>
      <c r="G149" s="36">
        <v>0</v>
      </c>
      <c r="H149" s="36">
        <v>0</v>
      </c>
      <c r="I149" s="37">
        <v>9011.7199999999993</v>
      </c>
    </row>
    <row r="150" spans="1:9" x14ac:dyDescent="0.2">
      <c r="A150" s="11" t="s">
        <v>1345</v>
      </c>
      <c r="B150" s="12"/>
      <c r="C150" s="12"/>
      <c r="D150" s="12"/>
      <c r="E150" s="38">
        <v>18595.519999999997</v>
      </c>
      <c r="F150" s="39">
        <v>0</v>
      </c>
      <c r="G150" s="39">
        <v>9825.56</v>
      </c>
      <c r="H150" s="39">
        <v>0</v>
      </c>
      <c r="I150" s="40">
        <v>8769.9599999999991</v>
      </c>
    </row>
    <row r="151" spans="1:9" x14ac:dyDescent="0.2">
      <c r="A151" s="2" t="s">
        <v>74</v>
      </c>
      <c r="B151" s="2" t="s">
        <v>532</v>
      </c>
      <c r="C151" s="13">
        <v>46120</v>
      </c>
      <c r="D151" s="2">
        <v>50</v>
      </c>
      <c r="E151" s="35">
        <v>121</v>
      </c>
      <c r="F151" s="36">
        <v>0</v>
      </c>
      <c r="G151" s="36">
        <v>121</v>
      </c>
      <c r="H151" s="36">
        <v>0</v>
      </c>
      <c r="I151" s="37">
        <v>0</v>
      </c>
    </row>
    <row r="152" spans="1:9" x14ac:dyDescent="0.2">
      <c r="A152" s="11" t="s">
        <v>1346</v>
      </c>
      <c r="B152" s="12"/>
      <c r="C152" s="12"/>
      <c r="D152" s="12"/>
      <c r="E152" s="38">
        <v>121</v>
      </c>
      <c r="F152" s="39">
        <v>0</v>
      </c>
      <c r="G152" s="39">
        <v>121</v>
      </c>
      <c r="H152" s="39">
        <v>0</v>
      </c>
      <c r="I152" s="40">
        <v>0</v>
      </c>
    </row>
    <row r="153" spans="1:9" x14ac:dyDescent="0.2">
      <c r="A153" s="2" t="s">
        <v>192</v>
      </c>
      <c r="B153" s="2" t="s">
        <v>26</v>
      </c>
      <c r="C153" s="13">
        <v>46026</v>
      </c>
      <c r="D153" s="2">
        <v>144</v>
      </c>
      <c r="E153" s="35">
        <v>242</v>
      </c>
      <c r="F153" s="36">
        <v>0</v>
      </c>
      <c r="G153" s="36">
        <v>0</v>
      </c>
      <c r="H153" s="36">
        <v>0</v>
      </c>
      <c r="I153" s="37">
        <v>242</v>
      </c>
    </row>
    <row r="154" spans="1:9" x14ac:dyDescent="0.2">
      <c r="A154" s="9"/>
      <c r="B154" s="2" t="s">
        <v>542</v>
      </c>
      <c r="C154" s="13">
        <v>46120</v>
      </c>
      <c r="D154" s="2">
        <v>50</v>
      </c>
      <c r="E154" s="35">
        <v>242</v>
      </c>
      <c r="F154" s="36">
        <v>0</v>
      </c>
      <c r="G154" s="36">
        <v>242</v>
      </c>
      <c r="H154" s="36">
        <v>0</v>
      </c>
      <c r="I154" s="37">
        <v>0</v>
      </c>
    </row>
    <row r="155" spans="1:9" x14ac:dyDescent="0.2">
      <c r="A155" s="11" t="s">
        <v>1347</v>
      </c>
      <c r="B155" s="12"/>
      <c r="C155" s="12"/>
      <c r="D155" s="12"/>
      <c r="E155" s="38">
        <v>484</v>
      </c>
      <c r="F155" s="39">
        <v>0</v>
      </c>
      <c r="G155" s="39">
        <v>242</v>
      </c>
      <c r="H155" s="39">
        <v>0</v>
      </c>
      <c r="I155" s="40">
        <v>242</v>
      </c>
    </row>
    <row r="156" spans="1:9" x14ac:dyDescent="0.2">
      <c r="A156" s="2" t="s">
        <v>566</v>
      </c>
      <c r="B156" s="2" t="s">
        <v>947</v>
      </c>
      <c r="C156" s="13">
        <v>46039</v>
      </c>
      <c r="D156" s="2">
        <v>131</v>
      </c>
      <c r="E156" s="35">
        <v>-1573</v>
      </c>
      <c r="F156" s="36">
        <v>0</v>
      </c>
      <c r="G156" s="36">
        <v>0</v>
      </c>
      <c r="H156" s="36">
        <v>0</v>
      </c>
      <c r="I156" s="37">
        <v>-1573</v>
      </c>
    </row>
    <row r="157" spans="1:9" x14ac:dyDescent="0.2">
      <c r="A157" s="9"/>
      <c r="B157" s="2" t="s">
        <v>1168</v>
      </c>
      <c r="C157" s="13">
        <v>45518</v>
      </c>
      <c r="D157" s="2">
        <v>652</v>
      </c>
      <c r="E157" s="35">
        <v>1573</v>
      </c>
      <c r="F157" s="36">
        <v>0</v>
      </c>
      <c r="G157" s="36">
        <v>0</v>
      </c>
      <c r="H157" s="36">
        <v>0</v>
      </c>
      <c r="I157" s="37">
        <v>1573</v>
      </c>
    </row>
    <row r="158" spans="1:9" x14ac:dyDescent="0.2">
      <c r="A158" s="11" t="s">
        <v>1348</v>
      </c>
      <c r="B158" s="12"/>
      <c r="C158" s="12"/>
      <c r="D158" s="12"/>
      <c r="E158" s="38">
        <v>0</v>
      </c>
      <c r="F158" s="39">
        <v>0</v>
      </c>
      <c r="G158" s="39">
        <v>0</v>
      </c>
      <c r="H158" s="39">
        <v>0</v>
      </c>
      <c r="I158" s="40">
        <v>0</v>
      </c>
    </row>
    <row r="159" spans="1:9" x14ac:dyDescent="0.2">
      <c r="A159" s="2" t="s">
        <v>960</v>
      </c>
      <c r="B159" s="2" t="s">
        <v>311</v>
      </c>
      <c r="C159" s="13">
        <v>45796</v>
      </c>
      <c r="D159" s="2">
        <v>374</v>
      </c>
      <c r="E159" s="35">
        <v>347.88</v>
      </c>
      <c r="F159" s="36">
        <v>0</v>
      </c>
      <c r="G159" s="36">
        <v>0</v>
      </c>
      <c r="H159" s="36">
        <v>0</v>
      </c>
      <c r="I159" s="37">
        <v>347.88</v>
      </c>
    </row>
    <row r="160" spans="1:9" x14ac:dyDescent="0.2">
      <c r="A160" s="9"/>
      <c r="B160" s="2" t="s">
        <v>230</v>
      </c>
      <c r="C160" s="13">
        <v>45824</v>
      </c>
      <c r="D160" s="2">
        <v>346</v>
      </c>
      <c r="E160" s="35">
        <v>347.88</v>
      </c>
      <c r="F160" s="36">
        <v>0</v>
      </c>
      <c r="G160" s="36">
        <v>0</v>
      </c>
      <c r="H160" s="36">
        <v>0</v>
      </c>
      <c r="I160" s="37">
        <v>347.88</v>
      </c>
    </row>
    <row r="161" spans="1:9" x14ac:dyDescent="0.2">
      <c r="A161" s="9"/>
      <c r="B161" s="2" t="s">
        <v>902</v>
      </c>
      <c r="C161" s="13">
        <v>45853</v>
      </c>
      <c r="D161" s="2">
        <v>317</v>
      </c>
      <c r="E161" s="35">
        <v>347.88</v>
      </c>
      <c r="F161" s="36">
        <v>0</v>
      </c>
      <c r="G161" s="36">
        <v>0</v>
      </c>
      <c r="H161" s="36">
        <v>0</v>
      </c>
      <c r="I161" s="37">
        <v>347.88</v>
      </c>
    </row>
    <row r="162" spans="1:9" x14ac:dyDescent="0.2">
      <c r="A162" s="9"/>
      <c r="B162" s="2" t="s">
        <v>1114</v>
      </c>
      <c r="C162" s="13">
        <v>45887</v>
      </c>
      <c r="D162" s="2">
        <v>283</v>
      </c>
      <c r="E162" s="35">
        <v>347.88</v>
      </c>
      <c r="F162" s="36">
        <v>0</v>
      </c>
      <c r="G162" s="36">
        <v>0</v>
      </c>
      <c r="H162" s="36">
        <v>0</v>
      </c>
      <c r="I162" s="37">
        <v>347.88</v>
      </c>
    </row>
    <row r="163" spans="1:9" x14ac:dyDescent="0.2">
      <c r="A163" s="9"/>
      <c r="B163" s="2" t="s">
        <v>693</v>
      </c>
      <c r="C163" s="13">
        <v>45915</v>
      </c>
      <c r="D163" s="2">
        <v>255</v>
      </c>
      <c r="E163" s="35">
        <v>347.88</v>
      </c>
      <c r="F163" s="36">
        <v>0</v>
      </c>
      <c r="G163" s="36">
        <v>0</v>
      </c>
      <c r="H163" s="36">
        <v>0</v>
      </c>
      <c r="I163" s="37">
        <v>347.88</v>
      </c>
    </row>
    <row r="164" spans="1:9" x14ac:dyDescent="0.2">
      <c r="A164" s="9"/>
      <c r="B164" s="2" t="s">
        <v>809</v>
      </c>
      <c r="C164" s="13">
        <v>45950</v>
      </c>
      <c r="D164" s="2">
        <v>220</v>
      </c>
      <c r="E164" s="35">
        <v>347.88</v>
      </c>
      <c r="F164" s="36">
        <v>0</v>
      </c>
      <c r="G164" s="36">
        <v>0</v>
      </c>
      <c r="H164" s="36">
        <v>0</v>
      </c>
      <c r="I164" s="37">
        <v>347.88</v>
      </c>
    </row>
    <row r="165" spans="1:9" x14ac:dyDescent="0.2">
      <c r="A165" s="9"/>
      <c r="B165" s="2" t="s">
        <v>419</v>
      </c>
      <c r="C165" s="13">
        <v>45980</v>
      </c>
      <c r="D165" s="2">
        <v>190</v>
      </c>
      <c r="E165" s="35">
        <v>347.88</v>
      </c>
      <c r="F165" s="36">
        <v>0</v>
      </c>
      <c r="G165" s="36">
        <v>0</v>
      </c>
      <c r="H165" s="36">
        <v>0</v>
      </c>
      <c r="I165" s="37">
        <v>347.88</v>
      </c>
    </row>
    <row r="166" spans="1:9" x14ac:dyDescent="0.2">
      <c r="A166" s="9"/>
      <c r="B166" s="2" t="s">
        <v>281</v>
      </c>
      <c r="C166" s="13">
        <v>46007</v>
      </c>
      <c r="D166" s="2">
        <v>163</v>
      </c>
      <c r="E166" s="35">
        <v>347.88</v>
      </c>
      <c r="F166" s="36">
        <v>0</v>
      </c>
      <c r="G166" s="36">
        <v>0</v>
      </c>
      <c r="H166" s="36">
        <v>0</v>
      </c>
      <c r="I166" s="37">
        <v>347.88</v>
      </c>
    </row>
    <row r="167" spans="1:9" x14ac:dyDescent="0.2">
      <c r="A167" s="9"/>
      <c r="B167" s="2" t="s">
        <v>305</v>
      </c>
      <c r="C167" s="13">
        <v>46044</v>
      </c>
      <c r="D167" s="2">
        <v>126</v>
      </c>
      <c r="E167" s="35">
        <v>347.88</v>
      </c>
      <c r="F167" s="36">
        <v>0</v>
      </c>
      <c r="G167" s="36">
        <v>0</v>
      </c>
      <c r="H167" s="36">
        <v>0</v>
      </c>
      <c r="I167" s="37">
        <v>347.88</v>
      </c>
    </row>
    <row r="168" spans="1:9" x14ac:dyDescent="0.2">
      <c r="A168" s="9"/>
      <c r="B168" s="2" t="s">
        <v>1248</v>
      </c>
      <c r="C168" s="13">
        <v>46069</v>
      </c>
      <c r="D168" s="2">
        <v>101</v>
      </c>
      <c r="E168" s="35">
        <v>347.88</v>
      </c>
      <c r="F168" s="36">
        <v>0</v>
      </c>
      <c r="G168" s="36">
        <v>0</v>
      </c>
      <c r="H168" s="36">
        <v>0</v>
      </c>
      <c r="I168" s="37">
        <v>347.88</v>
      </c>
    </row>
    <row r="169" spans="1:9" x14ac:dyDescent="0.2">
      <c r="A169" s="9"/>
      <c r="B169" s="2" t="s">
        <v>237</v>
      </c>
      <c r="C169" s="13">
        <v>46099</v>
      </c>
      <c r="D169" s="2">
        <v>71</v>
      </c>
      <c r="E169" s="35">
        <v>347.88</v>
      </c>
      <c r="F169" s="36">
        <v>0</v>
      </c>
      <c r="G169" s="36">
        <v>0</v>
      </c>
      <c r="H169" s="36">
        <v>347.88</v>
      </c>
      <c r="I169" s="37">
        <v>0</v>
      </c>
    </row>
    <row r="170" spans="1:9" x14ac:dyDescent="0.2">
      <c r="A170" s="9"/>
      <c r="B170" s="2" t="s">
        <v>1096</v>
      </c>
      <c r="C170" s="13">
        <v>46132</v>
      </c>
      <c r="D170" s="2">
        <v>38</v>
      </c>
      <c r="E170" s="35">
        <v>347.88</v>
      </c>
      <c r="F170" s="36">
        <v>0</v>
      </c>
      <c r="G170" s="36">
        <v>347.88</v>
      </c>
      <c r="H170" s="36">
        <v>0</v>
      </c>
      <c r="I170" s="37">
        <v>0</v>
      </c>
    </row>
    <row r="171" spans="1:9" x14ac:dyDescent="0.2">
      <c r="A171" s="9"/>
      <c r="B171" s="2" t="s">
        <v>1154</v>
      </c>
      <c r="C171" s="13">
        <v>46162</v>
      </c>
      <c r="D171" s="2">
        <v>8</v>
      </c>
      <c r="E171" s="35">
        <v>347.88</v>
      </c>
      <c r="F171" s="36">
        <v>347.88</v>
      </c>
      <c r="G171" s="36">
        <v>0</v>
      </c>
      <c r="H171" s="36">
        <v>0</v>
      </c>
      <c r="I171" s="37">
        <v>0</v>
      </c>
    </row>
    <row r="172" spans="1:9" x14ac:dyDescent="0.2">
      <c r="A172" s="9"/>
      <c r="B172" s="2" t="s">
        <v>80</v>
      </c>
      <c r="C172" s="13">
        <v>45705</v>
      </c>
      <c r="D172" s="2">
        <v>465</v>
      </c>
      <c r="E172" s="35">
        <v>347.88</v>
      </c>
      <c r="F172" s="36">
        <v>0</v>
      </c>
      <c r="G172" s="36">
        <v>0</v>
      </c>
      <c r="H172" s="36">
        <v>0</v>
      </c>
      <c r="I172" s="37">
        <v>347.88</v>
      </c>
    </row>
    <row r="173" spans="1:9" x14ac:dyDescent="0.2">
      <c r="A173" s="9"/>
      <c r="B173" s="2" t="s">
        <v>1258</v>
      </c>
      <c r="C173" s="13">
        <v>45729</v>
      </c>
      <c r="D173" s="2">
        <v>441</v>
      </c>
      <c r="E173" s="35">
        <v>4142.2299999999996</v>
      </c>
      <c r="F173" s="36">
        <v>0</v>
      </c>
      <c r="G173" s="36">
        <v>0</v>
      </c>
      <c r="H173" s="36">
        <v>0</v>
      </c>
      <c r="I173" s="37">
        <v>4142.2299999999996</v>
      </c>
    </row>
    <row r="174" spans="1:9" x14ac:dyDescent="0.2">
      <c r="A174" s="9"/>
      <c r="B174" s="2" t="s">
        <v>1254</v>
      </c>
      <c r="C174" s="13">
        <v>45729</v>
      </c>
      <c r="D174" s="2">
        <v>441</v>
      </c>
      <c r="E174" s="35">
        <v>1391.5</v>
      </c>
      <c r="F174" s="36">
        <v>0</v>
      </c>
      <c r="G174" s="36">
        <v>0</v>
      </c>
      <c r="H174" s="36">
        <v>0</v>
      </c>
      <c r="I174" s="37">
        <v>1391.5</v>
      </c>
    </row>
    <row r="175" spans="1:9" x14ac:dyDescent="0.2">
      <c r="A175" s="9"/>
      <c r="B175" s="2" t="s">
        <v>1253</v>
      </c>
      <c r="C175" s="13">
        <v>45729</v>
      </c>
      <c r="D175" s="2">
        <v>441</v>
      </c>
      <c r="E175" s="35">
        <v>391.5</v>
      </c>
      <c r="F175" s="36">
        <v>0</v>
      </c>
      <c r="G175" s="36">
        <v>0</v>
      </c>
      <c r="H175" s="36">
        <v>0</v>
      </c>
      <c r="I175" s="37">
        <v>391.5</v>
      </c>
    </row>
    <row r="176" spans="1:9" x14ac:dyDescent="0.2">
      <c r="A176" s="9"/>
      <c r="B176" s="2" t="s">
        <v>1069</v>
      </c>
      <c r="C176" s="13">
        <v>45735</v>
      </c>
      <c r="D176" s="2">
        <v>435</v>
      </c>
      <c r="E176" s="35">
        <v>347.88</v>
      </c>
      <c r="F176" s="36">
        <v>0</v>
      </c>
      <c r="G176" s="36">
        <v>0</v>
      </c>
      <c r="H176" s="36">
        <v>0</v>
      </c>
      <c r="I176" s="37">
        <v>347.88</v>
      </c>
    </row>
    <row r="177" spans="1:9" x14ac:dyDescent="0.2">
      <c r="A177" s="9"/>
      <c r="B177" s="2" t="s">
        <v>1018</v>
      </c>
      <c r="C177" s="13">
        <v>45761</v>
      </c>
      <c r="D177" s="2">
        <v>409</v>
      </c>
      <c r="E177" s="35">
        <v>1061.17</v>
      </c>
      <c r="F177" s="36">
        <v>0</v>
      </c>
      <c r="G177" s="36">
        <v>0</v>
      </c>
      <c r="H177" s="36">
        <v>0</v>
      </c>
      <c r="I177" s="37">
        <v>1061.17</v>
      </c>
    </row>
    <row r="178" spans="1:9" x14ac:dyDescent="0.2">
      <c r="A178" s="9"/>
      <c r="B178" s="2" t="s">
        <v>715</v>
      </c>
      <c r="C178" s="13">
        <v>45764</v>
      </c>
      <c r="D178" s="2">
        <v>406</v>
      </c>
      <c r="E178" s="35">
        <v>347.88</v>
      </c>
      <c r="F178" s="36">
        <v>0</v>
      </c>
      <c r="G178" s="36">
        <v>0</v>
      </c>
      <c r="H178" s="36">
        <v>0</v>
      </c>
      <c r="I178" s="37">
        <v>347.88</v>
      </c>
    </row>
    <row r="179" spans="1:9" x14ac:dyDescent="0.2">
      <c r="A179" s="11" t="s">
        <v>1349</v>
      </c>
      <c r="B179" s="12"/>
      <c r="C179" s="12"/>
      <c r="D179" s="12"/>
      <c r="E179" s="38">
        <v>12552.479999999998</v>
      </c>
      <c r="F179" s="39">
        <v>347.88</v>
      </c>
      <c r="G179" s="39">
        <v>347.88</v>
      </c>
      <c r="H179" s="39">
        <v>347.88</v>
      </c>
      <c r="I179" s="40">
        <v>11508.839999999998</v>
      </c>
    </row>
    <row r="180" spans="1:9" x14ac:dyDescent="0.2">
      <c r="A180" s="2" t="s">
        <v>863</v>
      </c>
      <c r="B180" s="2" t="s">
        <v>656</v>
      </c>
      <c r="C180" s="13">
        <v>43470</v>
      </c>
      <c r="D180" s="2">
        <v>2700</v>
      </c>
      <c r="E180" s="35">
        <v>2128.11</v>
      </c>
      <c r="F180" s="36">
        <v>0</v>
      </c>
      <c r="G180" s="36">
        <v>0</v>
      </c>
      <c r="H180" s="36">
        <v>0</v>
      </c>
      <c r="I180" s="37">
        <v>2128.11</v>
      </c>
    </row>
    <row r="181" spans="1:9" x14ac:dyDescent="0.2">
      <c r="A181" s="11" t="s">
        <v>1350</v>
      </c>
      <c r="B181" s="12"/>
      <c r="C181" s="12"/>
      <c r="D181" s="12"/>
      <c r="E181" s="38">
        <v>2128.11</v>
      </c>
      <c r="F181" s="39">
        <v>0</v>
      </c>
      <c r="G181" s="39">
        <v>0</v>
      </c>
      <c r="H181" s="39">
        <v>0</v>
      </c>
      <c r="I181" s="40">
        <v>2128.11</v>
      </c>
    </row>
    <row r="182" spans="1:9" x14ac:dyDescent="0.2">
      <c r="A182" s="2" t="s">
        <v>1053</v>
      </c>
      <c r="B182" s="2" t="s">
        <v>1031</v>
      </c>
      <c r="C182" s="13">
        <v>46102</v>
      </c>
      <c r="D182" s="2">
        <v>68</v>
      </c>
      <c r="E182" s="35">
        <v>-525</v>
      </c>
      <c r="F182" s="36">
        <v>0</v>
      </c>
      <c r="G182" s="36">
        <v>0</v>
      </c>
      <c r="H182" s="36">
        <v>-525</v>
      </c>
      <c r="I182" s="37">
        <v>0</v>
      </c>
    </row>
    <row r="183" spans="1:9" x14ac:dyDescent="0.2">
      <c r="A183" s="9"/>
      <c r="B183" s="2" t="s">
        <v>1111</v>
      </c>
      <c r="C183" s="13">
        <v>46102</v>
      </c>
      <c r="D183" s="2">
        <v>68</v>
      </c>
      <c r="E183" s="35">
        <v>525</v>
      </c>
      <c r="F183" s="36">
        <v>0</v>
      </c>
      <c r="G183" s="36">
        <v>0</v>
      </c>
      <c r="H183" s="36">
        <v>525</v>
      </c>
      <c r="I183" s="37">
        <v>0</v>
      </c>
    </row>
    <row r="184" spans="1:9" x14ac:dyDescent="0.2">
      <c r="A184" s="9"/>
      <c r="B184" s="2" t="s">
        <v>1224</v>
      </c>
      <c r="C184" s="13">
        <v>46102</v>
      </c>
      <c r="D184" s="2">
        <v>68</v>
      </c>
      <c r="E184" s="35">
        <v>-525</v>
      </c>
      <c r="F184" s="36">
        <v>0</v>
      </c>
      <c r="G184" s="36">
        <v>0</v>
      </c>
      <c r="H184" s="36">
        <v>-525</v>
      </c>
      <c r="I184" s="37">
        <v>0</v>
      </c>
    </row>
    <row r="185" spans="1:9" x14ac:dyDescent="0.2">
      <c r="A185" s="9"/>
      <c r="B185" s="2" t="s">
        <v>1225</v>
      </c>
      <c r="C185" s="13">
        <v>46102</v>
      </c>
      <c r="D185" s="2">
        <v>68</v>
      </c>
      <c r="E185" s="35">
        <v>525</v>
      </c>
      <c r="F185" s="36">
        <v>0</v>
      </c>
      <c r="G185" s="36">
        <v>0</v>
      </c>
      <c r="H185" s="36">
        <v>525</v>
      </c>
      <c r="I185" s="37">
        <v>0</v>
      </c>
    </row>
    <row r="186" spans="1:9" x14ac:dyDescent="0.2">
      <c r="A186" s="9"/>
      <c r="B186" s="2" t="s">
        <v>418</v>
      </c>
      <c r="C186" s="13">
        <v>46102</v>
      </c>
      <c r="D186" s="2">
        <v>68</v>
      </c>
      <c r="E186" s="35">
        <v>-525</v>
      </c>
      <c r="F186" s="36">
        <v>0</v>
      </c>
      <c r="G186" s="36">
        <v>0</v>
      </c>
      <c r="H186" s="36">
        <v>-525</v>
      </c>
      <c r="I186" s="37">
        <v>0</v>
      </c>
    </row>
    <row r="187" spans="1:9" x14ac:dyDescent="0.2">
      <c r="A187" s="9"/>
      <c r="B187" s="2" t="s">
        <v>144</v>
      </c>
      <c r="C187" s="13">
        <v>46102</v>
      </c>
      <c r="D187" s="2">
        <v>68</v>
      </c>
      <c r="E187" s="35">
        <v>525</v>
      </c>
      <c r="F187" s="36">
        <v>0</v>
      </c>
      <c r="G187" s="36">
        <v>0</v>
      </c>
      <c r="H187" s="36">
        <v>525</v>
      </c>
      <c r="I187" s="37">
        <v>0</v>
      </c>
    </row>
    <row r="188" spans="1:9" x14ac:dyDescent="0.2">
      <c r="A188" s="11" t="s">
        <v>1351</v>
      </c>
      <c r="B188" s="12"/>
      <c r="C188" s="12"/>
      <c r="D188" s="12"/>
      <c r="E188" s="38">
        <v>0</v>
      </c>
      <c r="F188" s="39">
        <v>0</v>
      </c>
      <c r="G188" s="39">
        <v>0</v>
      </c>
      <c r="H188" s="39">
        <v>0</v>
      </c>
      <c r="I188" s="40">
        <v>0</v>
      </c>
    </row>
    <row r="189" spans="1:9" x14ac:dyDescent="0.2">
      <c r="A189" s="2" t="s">
        <v>1072</v>
      </c>
      <c r="B189" s="2" t="s">
        <v>44</v>
      </c>
      <c r="C189" s="13">
        <v>46060</v>
      </c>
      <c r="D189" s="2">
        <v>110</v>
      </c>
      <c r="E189" s="35">
        <v>302.5</v>
      </c>
      <c r="F189" s="36">
        <v>0</v>
      </c>
      <c r="G189" s="36">
        <v>0</v>
      </c>
      <c r="H189" s="36">
        <v>0</v>
      </c>
      <c r="I189" s="37">
        <v>302.5</v>
      </c>
    </row>
    <row r="190" spans="1:9" x14ac:dyDescent="0.2">
      <c r="A190" s="9"/>
      <c r="B190" s="2" t="s">
        <v>1237</v>
      </c>
      <c r="C190" s="13">
        <v>46085</v>
      </c>
      <c r="D190" s="2">
        <v>85</v>
      </c>
      <c r="E190" s="35">
        <v>302.5</v>
      </c>
      <c r="F190" s="36">
        <v>0</v>
      </c>
      <c r="G190" s="36">
        <v>0</v>
      </c>
      <c r="H190" s="36">
        <v>302.5</v>
      </c>
      <c r="I190" s="37">
        <v>0</v>
      </c>
    </row>
    <row r="191" spans="1:9" x14ac:dyDescent="0.2">
      <c r="A191" s="9"/>
      <c r="B191" s="2" t="s">
        <v>229</v>
      </c>
      <c r="C191" s="13">
        <v>46115</v>
      </c>
      <c r="D191" s="2">
        <v>55</v>
      </c>
      <c r="E191" s="35">
        <v>302.5</v>
      </c>
      <c r="F191" s="36">
        <v>0</v>
      </c>
      <c r="G191" s="36">
        <v>302.5</v>
      </c>
      <c r="H191" s="36">
        <v>0</v>
      </c>
      <c r="I191" s="37">
        <v>0</v>
      </c>
    </row>
    <row r="192" spans="1:9" x14ac:dyDescent="0.2">
      <c r="A192" s="11" t="s">
        <v>1352</v>
      </c>
      <c r="B192" s="12"/>
      <c r="C192" s="12"/>
      <c r="D192" s="12"/>
      <c r="E192" s="38">
        <v>907.5</v>
      </c>
      <c r="F192" s="39">
        <v>0</v>
      </c>
      <c r="G192" s="39">
        <v>302.5</v>
      </c>
      <c r="H192" s="39">
        <v>302.5</v>
      </c>
      <c r="I192" s="40">
        <v>302.5</v>
      </c>
    </row>
    <row r="193" spans="1:9" x14ac:dyDescent="0.2">
      <c r="A193" s="2" t="s">
        <v>766</v>
      </c>
      <c r="B193" s="2" t="s">
        <v>1079</v>
      </c>
      <c r="C193" s="13">
        <v>44140</v>
      </c>
      <c r="D193" s="2">
        <v>2030</v>
      </c>
      <c r="E193" s="35">
        <v>130.07</v>
      </c>
      <c r="F193" s="36">
        <v>0</v>
      </c>
      <c r="G193" s="36">
        <v>0</v>
      </c>
      <c r="H193" s="36">
        <v>0</v>
      </c>
      <c r="I193" s="37">
        <v>130.07</v>
      </c>
    </row>
    <row r="194" spans="1:9" x14ac:dyDescent="0.2">
      <c r="A194" s="9"/>
      <c r="B194" s="2" t="s">
        <v>610</v>
      </c>
      <c r="C194" s="13">
        <v>44168</v>
      </c>
      <c r="D194" s="2">
        <v>2002</v>
      </c>
      <c r="E194" s="35">
        <v>240.79</v>
      </c>
      <c r="F194" s="36">
        <v>0</v>
      </c>
      <c r="G194" s="36">
        <v>0</v>
      </c>
      <c r="H194" s="36">
        <v>0</v>
      </c>
      <c r="I194" s="37">
        <v>240.79</v>
      </c>
    </row>
    <row r="195" spans="1:9" x14ac:dyDescent="0.2">
      <c r="A195" s="9"/>
      <c r="B195" s="2" t="s">
        <v>1090</v>
      </c>
      <c r="C195" s="13">
        <v>44196</v>
      </c>
      <c r="D195" s="2">
        <v>1974</v>
      </c>
      <c r="E195" s="35">
        <v>240.79</v>
      </c>
      <c r="F195" s="36">
        <v>0</v>
      </c>
      <c r="G195" s="36">
        <v>0</v>
      </c>
      <c r="H195" s="36">
        <v>0</v>
      </c>
      <c r="I195" s="37">
        <v>240.79</v>
      </c>
    </row>
    <row r="196" spans="1:9" x14ac:dyDescent="0.2">
      <c r="A196" s="9"/>
      <c r="B196" s="2" t="s">
        <v>182</v>
      </c>
      <c r="C196" s="13">
        <v>44233</v>
      </c>
      <c r="D196" s="2">
        <v>1937</v>
      </c>
      <c r="E196" s="35">
        <v>240.79</v>
      </c>
      <c r="F196" s="36">
        <v>0</v>
      </c>
      <c r="G196" s="36">
        <v>0</v>
      </c>
      <c r="H196" s="36">
        <v>0</v>
      </c>
      <c r="I196" s="37">
        <v>240.79</v>
      </c>
    </row>
    <row r="197" spans="1:9" x14ac:dyDescent="0.2">
      <c r="A197" s="9"/>
      <c r="B197" s="2" t="s">
        <v>105</v>
      </c>
      <c r="C197" s="13">
        <v>44273</v>
      </c>
      <c r="D197" s="2">
        <v>1897</v>
      </c>
      <c r="E197" s="35">
        <v>240.79</v>
      </c>
      <c r="F197" s="36">
        <v>0</v>
      </c>
      <c r="G197" s="36">
        <v>0</v>
      </c>
      <c r="H197" s="36">
        <v>0</v>
      </c>
      <c r="I197" s="37">
        <v>240.79</v>
      </c>
    </row>
    <row r="198" spans="1:9" x14ac:dyDescent="0.2">
      <c r="A198" s="9"/>
      <c r="B198" s="2" t="s">
        <v>326</v>
      </c>
      <c r="C198" s="13">
        <v>44287</v>
      </c>
      <c r="D198" s="2">
        <v>1883</v>
      </c>
      <c r="E198" s="35">
        <v>240.79</v>
      </c>
      <c r="F198" s="36">
        <v>0</v>
      </c>
      <c r="G198" s="36">
        <v>0</v>
      </c>
      <c r="H198" s="36">
        <v>0</v>
      </c>
      <c r="I198" s="37">
        <v>240.79</v>
      </c>
    </row>
    <row r="199" spans="1:9" x14ac:dyDescent="0.2">
      <c r="A199" s="9"/>
      <c r="B199" s="2" t="s">
        <v>13</v>
      </c>
      <c r="C199" s="13">
        <v>44315</v>
      </c>
      <c r="D199" s="2">
        <v>1855</v>
      </c>
      <c r="E199" s="35">
        <v>240.79</v>
      </c>
      <c r="F199" s="36">
        <v>0</v>
      </c>
      <c r="G199" s="36">
        <v>0</v>
      </c>
      <c r="H199" s="36">
        <v>0</v>
      </c>
      <c r="I199" s="37">
        <v>240.79</v>
      </c>
    </row>
    <row r="200" spans="1:9" x14ac:dyDescent="0.2">
      <c r="A200" s="9"/>
      <c r="B200" s="2" t="s">
        <v>517</v>
      </c>
      <c r="C200" s="13">
        <v>44380</v>
      </c>
      <c r="D200" s="2">
        <v>1790</v>
      </c>
      <c r="E200" s="35">
        <v>24.2</v>
      </c>
      <c r="F200" s="36">
        <v>0</v>
      </c>
      <c r="G200" s="36">
        <v>0</v>
      </c>
      <c r="H200" s="36">
        <v>0</v>
      </c>
      <c r="I200" s="37">
        <v>24.2</v>
      </c>
    </row>
    <row r="201" spans="1:9" x14ac:dyDescent="0.2">
      <c r="A201" s="11" t="s">
        <v>1353</v>
      </c>
      <c r="B201" s="12"/>
      <c r="C201" s="12"/>
      <c r="D201" s="12"/>
      <c r="E201" s="38">
        <v>1599.01</v>
      </c>
      <c r="F201" s="39">
        <v>0</v>
      </c>
      <c r="G201" s="39">
        <v>0</v>
      </c>
      <c r="H201" s="39">
        <v>0</v>
      </c>
      <c r="I201" s="40">
        <v>1599.01</v>
      </c>
    </row>
    <row r="202" spans="1:9" x14ac:dyDescent="0.2">
      <c r="A202" s="2" t="s">
        <v>241</v>
      </c>
      <c r="B202" s="2" t="s">
        <v>360</v>
      </c>
      <c r="C202" s="13">
        <v>44192</v>
      </c>
      <c r="D202" s="2">
        <v>1978</v>
      </c>
      <c r="E202" s="35">
        <v>302.5</v>
      </c>
      <c r="F202" s="36">
        <v>0</v>
      </c>
      <c r="G202" s="36">
        <v>0</v>
      </c>
      <c r="H202" s="36">
        <v>0</v>
      </c>
      <c r="I202" s="37">
        <v>302.5</v>
      </c>
    </row>
    <row r="203" spans="1:9" x14ac:dyDescent="0.2">
      <c r="A203" s="9"/>
      <c r="B203" s="2" t="s">
        <v>603</v>
      </c>
      <c r="C203" s="13">
        <v>42798</v>
      </c>
      <c r="D203" s="2">
        <v>3372</v>
      </c>
      <c r="E203" s="35">
        <v>810.7</v>
      </c>
      <c r="F203" s="36">
        <v>0</v>
      </c>
      <c r="G203" s="36">
        <v>0</v>
      </c>
      <c r="H203" s="36">
        <v>0</v>
      </c>
      <c r="I203" s="37">
        <v>810.7</v>
      </c>
    </row>
    <row r="204" spans="1:9" x14ac:dyDescent="0.2">
      <c r="A204" s="9"/>
      <c r="B204" s="2" t="s">
        <v>869</v>
      </c>
      <c r="C204" s="13">
        <v>42826</v>
      </c>
      <c r="D204" s="2">
        <v>3344</v>
      </c>
      <c r="E204" s="35">
        <v>405.35</v>
      </c>
      <c r="F204" s="36">
        <v>0</v>
      </c>
      <c r="G204" s="36">
        <v>0</v>
      </c>
      <c r="H204" s="36">
        <v>0</v>
      </c>
      <c r="I204" s="37">
        <v>405.35</v>
      </c>
    </row>
    <row r="205" spans="1:9" x14ac:dyDescent="0.2">
      <c r="A205" s="9"/>
      <c r="B205" s="2" t="s">
        <v>556</v>
      </c>
      <c r="C205" s="13">
        <v>42858</v>
      </c>
      <c r="D205" s="2">
        <v>3312</v>
      </c>
      <c r="E205" s="35">
        <v>405.35</v>
      </c>
      <c r="F205" s="36">
        <v>0</v>
      </c>
      <c r="G205" s="36">
        <v>0</v>
      </c>
      <c r="H205" s="36">
        <v>0</v>
      </c>
      <c r="I205" s="37">
        <v>405.35</v>
      </c>
    </row>
    <row r="206" spans="1:9" x14ac:dyDescent="0.2">
      <c r="A206" s="9"/>
      <c r="B206" s="2" t="s">
        <v>1199</v>
      </c>
      <c r="C206" s="13">
        <v>42887</v>
      </c>
      <c r="D206" s="2">
        <v>3283</v>
      </c>
      <c r="E206" s="35">
        <v>405.35</v>
      </c>
      <c r="F206" s="36">
        <v>0</v>
      </c>
      <c r="G206" s="36">
        <v>0</v>
      </c>
      <c r="H206" s="36">
        <v>0</v>
      </c>
      <c r="I206" s="37">
        <v>405.35</v>
      </c>
    </row>
    <row r="207" spans="1:9" x14ac:dyDescent="0.2">
      <c r="A207" s="9"/>
      <c r="B207" s="2" t="s">
        <v>740</v>
      </c>
      <c r="C207" s="13">
        <v>42917</v>
      </c>
      <c r="D207" s="2">
        <v>3253</v>
      </c>
      <c r="E207" s="35">
        <v>405.35</v>
      </c>
      <c r="F207" s="36">
        <v>0</v>
      </c>
      <c r="G207" s="36">
        <v>0</v>
      </c>
      <c r="H207" s="36">
        <v>0</v>
      </c>
      <c r="I207" s="37">
        <v>405.35</v>
      </c>
    </row>
    <row r="208" spans="1:9" x14ac:dyDescent="0.2">
      <c r="A208" s="9"/>
      <c r="B208" s="2" t="s">
        <v>904</v>
      </c>
      <c r="C208" s="13">
        <v>42949</v>
      </c>
      <c r="D208" s="2">
        <v>3221</v>
      </c>
      <c r="E208" s="35">
        <v>405.35</v>
      </c>
      <c r="F208" s="36">
        <v>0</v>
      </c>
      <c r="G208" s="36">
        <v>0</v>
      </c>
      <c r="H208" s="36">
        <v>0</v>
      </c>
      <c r="I208" s="37">
        <v>405.35</v>
      </c>
    </row>
    <row r="209" spans="1:9" x14ac:dyDescent="0.2">
      <c r="A209" s="9"/>
      <c r="B209" s="2" t="s">
        <v>555</v>
      </c>
      <c r="C209" s="13">
        <v>42978</v>
      </c>
      <c r="D209" s="2">
        <v>3192</v>
      </c>
      <c r="E209" s="35">
        <v>405.35</v>
      </c>
      <c r="F209" s="36">
        <v>0</v>
      </c>
      <c r="G209" s="36">
        <v>0</v>
      </c>
      <c r="H209" s="36">
        <v>0</v>
      </c>
      <c r="I209" s="37">
        <v>405.35</v>
      </c>
    </row>
    <row r="210" spans="1:9" x14ac:dyDescent="0.2">
      <c r="A210" s="9"/>
      <c r="B210" s="2" t="s">
        <v>857</v>
      </c>
      <c r="C210" s="13">
        <v>43009</v>
      </c>
      <c r="D210" s="2">
        <v>3161</v>
      </c>
      <c r="E210" s="35">
        <v>405.35</v>
      </c>
      <c r="F210" s="36">
        <v>0</v>
      </c>
      <c r="G210" s="36">
        <v>0</v>
      </c>
      <c r="H210" s="36">
        <v>0</v>
      </c>
      <c r="I210" s="37">
        <v>405.35</v>
      </c>
    </row>
    <row r="211" spans="1:9" x14ac:dyDescent="0.2">
      <c r="A211" s="9"/>
      <c r="B211" s="2" t="s">
        <v>1219</v>
      </c>
      <c r="C211" s="13">
        <v>43043</v>
      </c>
      <c r="D211" s="2">
        <v>3127</v>
      </c>
      <c r="E211" s="35">
        <v>405.35</v>
      </c>
      <c r="F211" s="36">
        <v>0</v>
      </c>
      <c r="G211" s="36">
        <v>0</v>
      </c>
      <c r="H211" s="36">
        <v>0</v>
      </c>
      <c r="I211" s="37">
        <v>405.35</v>
      </c>
    </row>
    <row r="212" spans="1:9" x14ac:dyDescent="0.2">
      <c r="A212" s="9"/>
      <c r="B212" s="2" t="s">
        <v>571</v>
      </c>
      <c r="C212" s="13">
        <v>43070</v>
      </c>
      <c r="D212" s="2">
        <v>3100</v>
      </c>
      <c r="E212" s="35">
        <v>405.35</v>
      </c>
      <c r="F212" s="36">
        <v>0</v>
      </c>
      <c r="G212" s="36">
        <v>0</v>
      </c>
      <c r="H212" s="36">
        <v>0</v>
      </c>
      <c r="I212" s="37">
        <v>405.35</v>
      </c>
    </row>
    <row r="213" spans="1:9" x14ac:dyDescent="0.2">
      <c r="A213" s="9"/>
      <c r="B213" s="2" t="s">
        <v>491</v>
      </c>
      <c r="C213" s="13">
        <v>43106</v>
      </c>
      <c r="D213" s="2">
        <v>3064</v>
      </c>
      <c r="E213" s="35">
        <v>405.35</v>
      </c>
      <c r="F213" s="36">
        <v>0</v>
      </c>
      <c r="G213" s="36">
        <v>0</v>
      </c>
      <c r="H213" s="36">
        <v>0</v>
      </c>
      <c r="I213" s="37">
        <v>405.35</v>
      </c>
    </row>
    <row r="214" spans="1:9" x14ac:dyDescent="0.2">
      <c r="A214" s="9"/>
      <c r="B214" s="2" t="s">
        <v>662</v>
      </c>
      <c r="C214" s="13">
        <v>43128</v>
      </c>
      <c r="D214" s="2">
        <v>3042</v>
      </c>
      <c r="E214" s="35">
        <v>1197.9000000000001</v>
      </c>
      <c r="F214" s="36">
        <v>0</v>
      </c>
      <c r="G214" s="36">
        <v>0</v>
      </c>
      <c r="H214" s="36">
        <v>0</v>
      </c>
      <c r="I214" s="37">
        <v>1197.9000000000001</v>
      </c>
    </row>
    <row r="215" spans="1:9" x14ac:dyDescent="0.2">
      <c r="A215" s="9"/>
      <c r="B215" s="2" t="s">
        <v>1162</v>
      </c>
      <c r="C215" s="13">
        <v>43128</v>
      </c>
      <c r="D215" s="2">
        <v>3042</v>
      </c>
      <c r="E215" s="35">
        <v>217.8</v>
      </c>
      <c r="F215" s="36">
        <v>0</v>
      </c>
      <c r="G215" s="36">
        <v>0</v>
      </c>
      <c r="H215" s="36">
        <v>0</v>
      </c>
      <c r="I215" s="37">
        <v>217.8</v>
      </c>
    </row>
    <row r="216" spans="1:9" x14ac:dyDescent="0.2">
      <c r="A216" s="9"/>
      <c r="B216" s="2" t="s">
        <v>660</v>
      </c>
      <c r="C216" s="13">
        <v>43341</v>
      </c>
      <c r="D216" s="2">
        <v>2829</v>
      </c>
      <c r="E216" s="35">
        <v>1488.38</v>
      </c>
      <c r="F216" s="36">
        <v>0</v>
      </c>
      <c r="G216" s="36">
        <v>0</v>
      </c>
      <c r="H216" s="36">
        <v>0</v>
      </c>
      <c r="I216" s="37">
        <v>1488.38</v>
      </c>
    </row>
    <row r="217" spans="1:9" x14ac:dyDescent="0.2">
      <c r="A217" s="9"/>
      <c r="B217" s="2" t="s">
        <v>1121</v>
      </c>
      <c r="C217" s="13">
        <v>43657</v>
      </c>
      <c r="D217" s="2">
        <v>2513</v>
      </c>
      <c r="E217" s="35">
        <v>3682.37</v>
      </c>
      <c r="F217" s="36">
        <v>0</v>
      </c>
      <c r="G217" s="36">
        <v>0</v>
      </c>
      <c r="H217" s="36">
        <v>0</v>
      </c>
      <c r="I217" s="37">
        <v>3682.37</v>
      </c>
    </row>
    <row r="218" spans="1:9" x14ac:dyDescent="0.2">
      <c r="A218" s="11" t="s">
        <v>1354</v>
      </c>
      <c r="B218" s="12"/>
      <c r="C218" s="12"/>
      <c r="D218" s="12"/>
      <c r="E218" s="38">
        <v>11753.150000000001</v>
      </c>
      <c r="F218" s="39">
        <v>0</v>
      </c>
      <c r="G218" s="39">
        <v>0</v>
      </c>
      <c r="H218" s="39">
        <v>0</v>
      </c>
      <c r="I218" s="40">
        <v>11753.150000000001</v>
      </c>
    </row>
    <row r="219" spans="1:9" x14ac:dyDescent="0.2">
      <c r="A219" s="2" t="s">
        <v>529</v>
      </c>
      <c r="B219" s="2" t="s">
        <v>837</v>
      </c>
      <c r="C219" s="13">
        <v>44123</v>
      </c>
      <c r="D219" s="2">
        <v>2047</v>
      </c>
      <c r="E219" s="35">
        <v>302.5</v>
      </c>
      <c r="F219" s="36">
        <v>0</v>
      </c>
      <c r="G219" s="36">
        <v>0</v>
      </c>
      <c r="H219" s="36">
        <v>0</v>
      </c>
      <c r="I219" s="37">
        <v>302.5</v>
      </c>
    </row>
    <row r="220" spans="1:9" x14ac:dyDescent="0.2">
      <c r="A220" s="9"/>
      <c r="B220" s="2" t="s">
        <v>370</v>
      </c>
      <c r="C220" s="13">
        <v>44124</v>
      </c>
      <c r="D220" s="2">
        <v>2046</v>
      </c>
      <c r="E220" s="35">
        <v>60.5</v>
      </c>
      <c r="F220" s="36">
        <v>0</v>
      </c>
      <c r="G220" s="36">
        <v>0</v>
      </c>
      <c r="H220" s="36">
        <v>0</v>
      </c>
      <c r="I220" s="37">
        <v>60.5</v>
      </c>
    </row>
    <row r="221" spans="1:9" x14ac:dyDescent="0.2">
      <c r="A221" s="9"/>
      <c r="B221" s="2" t="s">
        <v>15</v>
      </c>
      <c r="C221" s="13">
        <v>44152</v>
      </c>
      <c r="D221" s="2">
        <v>2018</v>
      </c>
      <c r="E221" s="35">
        <v>60.5</v>
      </c>
      <c r="F221" s="36">
        <v>0</v>
      </c>
      <c r="G221" s="36">
        <v>0</v>
      </c>
      <c r="H221" s="36">
        <v>0</v>
      </c>
      <c r="I221" s="37">
        <v>60.5</v>
      </c>
    </row>
    <row r="222" spans="1:9" x14ac:dyDescent="0.2">
      <c r="A222" s="9"/>
      <c r="B222" s="2" t="s">
        <v>25</v>
      </c>
      <c r="C222" s="13">
        <v>44152</v>
      </c>
      <c r="D222" s="2">
        <v>2018</v>
      </c>
      <c r="E222" s="35">
        <v>30.25</v>
      </c>
      <c r="F222" s="36">
        <v>0</v>
      </c>
      <c r="G222" s="36">
        <v>0</v>
      </c>
      <c r="H222" s="36">
        <v>0</v>
      </c>
      <c r="I222" s="37">
        <v>30.25</v>
      </c>
    </row>
    <row r="223" spans="1:9" x14ac:dyDescent="0.2">
      <c r="A223" s="9"/>
      <c r="B223" s="2" t="s">
        <v>816</v>
      </c>
      <c r="C223" s="13">
        <v>44180</v>
      </c>
      <c r="D223" s="2">
        <v>1990</v>
      </c>
      <c r="E223" s="35">
        <v>60.5</v>
      </c>
      <c r="F223" s="36">
        <v>0</v>
      </c>
      <c r="G223" s="36">
        <v>0</v>
      </c>
      <c r="H223" s="36">
        <v>0</v>
      </c>
      <c r="I223" s="37">
        <v>60.5</v>
      </c>
    </row>
    <row r="224" spans="1:9" x14ac:dyDescent="0.2">
      <c r="A224" s="9"/>
      <c r="B224" s="2" t="s">
        <v>181</v>
      </c>
      <c r="C224" s="13">
        <v>44217</v>
      </c>
      <c r="D224" s="2">
        <v>1953</v>
      </c>
      <c r="E224" s="35">
        <v>60.5</v>
      </c>
      <c r="F224" s="36">
        <v>0</v>
      </c>
      <c r="G224" s="36">
        <v>0</v>
      </c>
      <c r="H224" s="36">
        <v>0</v>
      </c>
      <c r="I224" s="37">
        <v>60.5</v>
      </c>
    </row>
    <row r="225" spans="1:9" x14ac:dyDescent="0.2">
      <c r="A225" s="9"/>
      <c r="B225" s="2" t="s">
        <v>103</v>
      </c>
      <c r="C225" s="13">
        <v>44257</v>
      </c>
      <c r="D225" s="2">
        <v>1913</v>
      </c>
      <c r="E225" s="35">
        <v>60.5</v>
      </c>
      <c r="F225" s="36">
        <v>0</v>
      </c>
      <c r="G225" s="36">
        <v>0</v>
      </c>
      <c r="H225" s="36">
        <v>0</v>
      </c>
      <c r="I225" s="37">
        <v>60.5</v>
      </c>
    </row>
    <row r="226" spans="1:9" x14ac:dyDescent="0.2">
      <c r="A226" s="9"/>
      <c r="B226" s="2" t="s">
        <v>142</v>
      </c>
      <c r="C226" s="13">
        <v>44271</v>
      </c>
      <c r="D226" s="2">
        <v>1899</v>
      </c>
      <c r="E226" s="35">
        <v>60.5</v>
      </c>
      <c r="F226" s="36">
        <v>0</v>
      </c>
      <c r="G226" s="36">
        <v>0</v>
      </c>
      <c r="H226" s="36">
        <v>0</v>
      </c>
      <c r="I226" s="37">
        <v>60.5</v>
      </c>
    </row>
    <row r="227" spans="1:9" x14ac:dyDescent="0.2">
      <c r="A227" s="9"/>
      <c r="B227" s="2" t="s">
        <v>916</v>
      </c>
      <c r="C227" s="13">
        <v>44271</v>
      </c>
      <c r="D227" s="2">
        <v>1899</v>
      </c>
      <c r="E227" s="35">
        <v>30.25</v>
      </c>
      <c r="F227" s="36">
        <v>0</v>
      </c>
      <c r="G227" s="36">
        <v>0</v>
      </c>
      <c r="H227" s="36">
        <v>0</v>
      </c>
      <c r="I227" s="37">
        <v>30.25</v>
      </c>
    </row>
    <row r="228" spans="1:9" x14ac:dyDescent="0.2">
      <c r="A228" s="11" t="s">
        <v>1355</v>
      </c>
      <c r="B228" s="12"/>
      <c r="C228" s="12"/>
      <c r="D228" s="12"/>
      <c r="E228" s="38">
        <v>726</v>
      </c>
      <c r="F228" s="39">
        <v>0</v>
      </c>
      <c r="G228" s="39">
        <v>0</v>
      </c>
      <c r="H228" s="39">
        <v>0</v>
      </c>
      <c r="I228" s="40">
        <v>726</v>
      </c>
    </row>
    <row r="229" spans="1:9" x14ac:dyDescent="0.2">
      <c r="A229" s="2" t="s">
        <v>957</v>
      </c>
      <c r="B229" s="2" t="s">
        <v>236</v>
      </c>
      <c r="C229" s="13">
        <v>45470</v>
      </c>
      <c r="D229" s="2">
        <v>700</v>
      </c>
      <c r="E229" s="35">
        <v>671.04</v>
      </c>
      <c r="F229" s="36">
        <v>0</v>
      </c>
      <c r="G229" s="36">
        <v>0</v>
      </c>
      <c r="H229" s="36">
        <v>0</v>
      </c>
      <c r="I229" s="37">
        <v>671.04</v>
      </c>
    </row>
    <row r="230" spans="1:9" x14ac:dyDescent="0.2">
      <c r="A230" s="9"/>
      <c r="B230" s="2" t="s">
        <v>706</v>
      </c>
      <c r="C230" s="13">
        <v>45441</v>
      </c>
      <c r="D230" s="2">
        <v>729</v>
      </c>
      <c r="E230" s="35">
        <v>2467.39</v>
      </c>
      <c r="F230" s="36">
        <v>0</v>
      </c>
      <c r="G230" s="36">
        <v>0</v>
      </c>
      <c r="H230" s="36">
        <v>0</v>
      </c>
      <c r="I230" s="37">
        <v>2467.39</v>
      </c>
    </row>
    <row r="231" spans="1:9" x14ac:dyDescent="0.2">
      <c r="A231" s="11" t="s">
        <v>1356</v>
      </c>
      <c r="B231" s="12"/>
      <c r="C231" s="12"/>
      <c r="D231" s="12"/>
      <c r="E231" s="38">
        <v>3138.43</v>
      </c>
      <c r="F231" s="39">
        <v>0</v>
      </c>
      <c r="G231" s="39">
        <v>0</v>
      </c>
      <c r="H231" s="39">
        <v>0</v>
      </c>
      <c r="I231" s="40">
        <v>3138.43</v>
      </c>
    </row>
    <row r="232" spans="1:9" x14ac:dyDescent="0.2">
      <c r="A232" s="2" t="s">
        <v>212</v>
      </c>
      <c r="B232" s="2" t="s">
        <v>631</v>
      </c>
      <c r="C232" s="13">
        <v>46060</v>
      </c>
      <c r="D232" s="2">
        <v>110</v>
      </c>
      <c r="E232" s="35">
        <v>574.75</v>
      </c>
      <c r="F232" s="36">
        <v>0</v>
      </c>
      <c r="G232" s="36">
        <v>0</v>
      </c>
      <c r="H232" s="36">
        <v>0</v>
      </c>
      <c r="I232" s="37">
        <v>574.75</v>
      </c>
    </row>
    <row r="233" spans="1:9" x14ac:dyDescent="0.2">
      <c r="A233" s="9"/>
      <c r="B233" s="2" t="s">
        <v>627</v>
      </c>
      <c r="C233" s="13">
        <v>46064</v>
      </c>
      <c r="D233" s="2">
        <v>106</v>
      </c>
      <c r="E233" s="35">
        <v>-574.75</v>
      </c>
      <c r="F233" s="36">
        <v>0</v>
      </c>
      <c r="G233" s="36">
        <v>0</v>
      </c>
      <c r="H233" s="36">
        <v>0</v>
      </c>
      <c r="I233" s="37">
        <v>-574.75</v>
      </c>
    </row>
    <row r="234" spans="1:9" x14ac:dyDescent="0.2">
      <c r="A234" s="9"/>
      <c r="B234" s="2" t="s">
        <v>553</v>
      </c>
      <c r="C234" s="13">
        <v>45687</v>
      </c>
      <c r="D234" s="2">
        <v>483</v>
      </c>
      <c r="E234" s="35">
        <v>550.04</v>
      </c>
      <c r="F234" s="36">
        <v>0</v>
      </c>
      <c r="G234" s="36">
        <v>0</v>
      </c>
      <c r="H234" s="36">
        <v>0</v>
      </c>
      <c r="I234" s="37">
        <v>550.04</v>
      </c>
    </row>
    <row r="235" spans="1:9" x14ac:dyDescent="0.2">
      <c r="A235" s="9"/>
      <c r="B235" s="2" t="s">
        <v>797</v>
      </c>
      <c r="C235" s="13">
        <v>45693</v>
      </c>
      <c r="D235" s="2">
        <v>477</v>
      </c>
      <c r="E235" s="35">
        <v>-550.04</v>
      </c>
      <c r="F235" s="36">
        <v>0</v>
      </c>
      <c r="G235" s="36">
        <v>0</v>
      </c>
      <c r="H235" s="36">
        <v>0</v>
      </c>
      <c r="I235" s="37">
        <v>-550.04</v>
      </c>
    </row>
    <row r="236" spans="1:9" x14ac:dyDescent="0.2">
      <c r="A236" s="11" t="s">
        <v>1357</v>
      </c>
      <c r="B236" s="12"/>
      <c r="C236" s="12"/>
      <c r="D236" s="12"/>
      <c r="E236" s="38">
        <v>0</v>
      </c>
      <c r="F236" s="39">
        <v>0</v>
      </c>
      <c r="G236" s="39">
        <v>0</v>
      </c>
      <c r="H236" s="39">
        <v>0</v>
      </c>
      <c r="I236" s="40">
        <v>0</v>
      </c>
    </row>
    <row r="237" spans="1:9" x14ac:dyDescent="0.2">
      <c r="A237" s="2" t="s">
        <v>1067</v>
      </c>
      <c r="B237" s="2" t="s">
        <v>361</v>
      </c>
      <c r="C237" s="13">
        <v>44567</v>
      </c>
      <c r="D237" s="2">
        <v>1603</v>
      </c>
      <c r="E237" s="35">
        <v>9075</v>
      </c>
      <c r="F237" s="36">
        <v>0</v>
      </c>
      <c r="G237" s="36">
        <v>0</v>
      </c>
      <c r="H237" s="36">
        <v>0</v>
      </c>
      <c r="I237" s="37">
        <v>9075</v>
      </c>
    </row>
    <row r="238" spans="1:9" x14ac:dyDescent="0.2">
      <c r="A238" s="11" t="s">
        <v>1358</v>
      </c>
      <c r="B238" s="12"/>
      <c r="C238" s="12"/>
      <c r="D238" s="12"/>
      <c r="E238" s="38">
        <v>9075</v>
      </c>
      <c r="F238" s="39">
        <v>0</v>
      </c>
      <c r="G238" s="39">
        <v>0</v>
      </c>
      <c r="H238" s="39">
        <v>0</v>
      </c>
      <c r="I238" s="40">
        <v>9075</v>
      </c>
    </row>
    <row r="239" spans="1:9" x14ac:dyDescent="0.2">
      <c r="A239" s="2" t="s">
        <v>748</v>
      </c>
      <c r="B239" s="2" t="s">
        <v>67</v>
      </c>
      <c r="C239" s="13">
        <v>46134</v>
      </c>
      <c r="D239" s="2">
        <v>36</v>
      </c>
      <c r="E239" s="35">
        <v>605</v>
      </c>
      <c r="F239" s="36">
        <v>0</v>
      </c>
      <c r="G239" s="36">
        <v>605</v>
      </c>
      <c r="H239" s="36">
        <v>0</v>
      </c>
      <c r="I239" s="37">
        <v>0</v>
      </c>
    </row>
    <row r="240" spans="1:9" x14ac:dyDescent="0.2">
      <c r="A240" s="9"/>
      <c r="B240" s="2" t="s">
        <v>709</v>
      </c>
      <c r="C240" s="13">
        <v>45756</v>
      </c>
      <c r="D240" s="2">
        <v>414</v>
      </c>
      <c r="E240" s="35">
        <v>605</v>
      </c>
      <c r="F240" s="36">
        <v>0</v>
      </c>
      <c r="G240" s="36">
        <v>0</v>
      </c>
      <c r="H240" s="36">
        <v>0</v>
      </c>
      <c r="I240" s="37">
        <v>605</v>
      </c>
    </row>
    <row r="241" spans="1:9" x14ac:dyDescent="0.2">
      <c r="A241" s="11" t="s">
        <v>1359</v>
      </c>
      <c r="B241" s="12"/>
      <c r="C241" s="12"/>
      <c r="D241" s="12"/>
      <c r="E241" s="38">
        <v>1210</v>
      </c>
      <c r="F241" s="39">
        <v>0</v>
      </c>
      <c r="G241" s="39">
        <v>605</v>
      </c>
      <c r="H241" s="39">
        <v>0</v>
      </c>
      <c r="I241" s="40">
        <v>605</v>
      </c>
    </row>
    <row r="242" spans="1:9" x14ac:dyDescent="0.2">
      <c r="A242" s="2" t="s">
        <v>822</v>
      </c>
      <c r="B242" s="2" t="s">
        <v>174</v>
      </c>
      <c r="C242" s="13">
        <v>44233</v>
      </c>
      <c r="D242" s="2">
        <v>1937</v>
      </c>
      <c r="E242" s="35">
        <v>72.599999999999994</v>
      </c>
      <c r="F242" s="36">
        <v>0</v>
      </c>
      <c r="G242" s="36">
        <v>0</v>
      </c>
      <c r="H242" s="36">
        <v>0</v>
      </c>
      <c r="I242" s="37">
        <v>72.599999999999994</v>
      </c>
    </row>
    <row r="243" spans="1:9" x14ac:dyDescent="0.2">
      <c r="A243" s="9"/>
      <c r="B243" s="2" t="s">
        <v>49</v>
      </c>
      <c r="C243" s="13">
        <v>44408</v>
      </c>
      <c r="D243" s="2">
        <v>1762</v>
      </c>
      <c r="E243" s="35">
        <v>72.599999999999994</v>
      </c>
      <c r="F243" s="36">
        <v>0</v>
      </c>
      <c r="G243" s="36">
        <v>0</v>
      </c>
      <c r="H243" s="36">
        <v>0</v>
      </c>
      <c r="I243" s="37">
        <v>72.599999999999994</v>
      </c>
    </row>
    <row r="244" spans="1:9" x14ac:dyDescent="0.2">
      <c r="A244" s="9"/>
      <c r="B244" s="2" t="s">
        <v>637</v>
      </c>
      <c r="C244" s="13">
        <v>44500</v>
      </c>
      <c r="D244" s="2">
        <v>1670</v>
      </c>
      <c r="E244" s="35">
        <v>72.599999999999994</v>
      </c>
      <c r="F244" s="36">
        <v>0</v>
      </c>
      <c r="G244" s="36">
        <v>0</v>
      </c>
      <c r="H244" s="36">
        <v>0</v>
      </c>
      <c r="I244" s="37">
        <v>72.599999999999994</v>
      </c>
    </row>
    <row r="245" spans="1:9" x14ac:dyDescent="0.2">
      <c r="A245" s="9"/>
      <c r="B245" s="2" t="s">
        <v>1101</v>
      </c>
      <c r="C245" s="13">
        <v>44603</v>
      </c>
      <c r="D245" s="2">
        <v>1567</v>
      </c>
      <c r="E245" s="35">
        <v>72.599999999999994</v>
      </c>
      <c r="F245" s="36">
        <v>0</v>
      </c>
      <c r="G245" s="36">
        <v>0</v>
      </c>
      <c r="H245" s="36">
        <v>0</v>
      </c>
      <c r="I245" s="37">
        <v>72.599999999999994</v>
      </c>
    </row>
    <row r="246" spans="1:9" x14ac:dyDescent="0.2">
      <c r="A246" s="9"/>
      <c r="B246" s="2" t="s">
        <v>799</v>
      </c>
      <c r="C246" s="13">
        <v>44784</v>
      </c>
      <c r="D246" s="2">
        <v>1386</v>
      </c>
      <c r="E246" s="35">
        <v>72.599999999999994</v>
      </c>
      <c r="F246" s="36">
        <v>0</v>
      </c>
      <c r="G246" s="36">
        <v>0</v>
      </c>
      <c r="H246" s="36">
        <v>0</v>
      </c>
      <c r="I246" s="37">
        <v>72.599999999999994</v>
      </c>
    </row>
    <row r="247" spans="1:9" x14ac:dyDescent="0.2">
      <c r="A247" s="9"/>
      <c r="B247" s="2" t="s">
        <v>1044</v>
      </c>
      <c r="C247" s="13">
        <v>44867</v>
      </c>
      <c r="D247" s="2">
        <v>1303</v>
      </c>
      <c r="E247" s="35">
        <v>72.599999999999994</v>
      </c>
      <c r="F247" s="36">
        <v>0</v>
      </c>
      <c r="G247" s="36">
        <v>0</v>
      </c>
      <c r="H247" s="36">
        <v>0</v>
      </c>
      <c r="I247" s="37">
        <v>72.599999999999994</v>
      </c>
    </row>
    <row r="248" spans="1:9" x14ac:dyDescent="0.2">
      <c r="A248" s="9"/>
      <c r="B248" s="2" t="s">
        <v>800</v>
      </c>
      <c r="C248" s="13">
        <v>44972</v>
      </c>
      <c r="D248" s="2">
        <v>1198</v>
      </c>
      <c r="E248" s="35">
        <v>72.599999999999994</v>
      </c>
      <c r="F248" s="36">
        <v>0</v>
      </c>
      <c r="G248" s="36">
        <v>0</v>
      </c>
      <c r="H248" s="36">
        <v>0</v>
      </c>
      <c r="I248" s="37">
        <v>72.599999999999994</v>
      </c>
    </row>
    <row r="249" spans="1:9" x14ac:dyDescent="0.2">
      <c r="A249" s="9"/>
      <c r="B249" s="2" t="s">
        <v>955</v>
      </c>
      <c r="C249" s="13">
        <v>45050</v>
      </c>
      <c r="D249" s="2">
        <v>1120</v>
      </c>
      <c r="E249" s="35">
        <v>72.599999999999994</v>
      </c>
      <c r="F249" s="36">
        <v>0</v>
      </c>
      <c r="G249" s="36">
        <v>0</v>
      </c>
      <c r="H249" s="36">
        <v>0</v>
      </c>
      <c r="I249" s="37">
        <v>72.599999999999994</v>
      </c>
    </row>
    <row r="250" spans="1:9" x14ac:dyDescent="0.2">
      <c r="A250" s="9"/>
      <c r="B250" s="2" t="s">
        <v>666</v>
      </c>
      <c r="C250" s="13">
        <v>45140</v>
      </c>
      <c r="D250" s="2">
        <v>1030</v>
      </c>
      <c r="E250" s="35">
        <v>72.599999999999994</v>
      </c>
      <c r="F250" s="36">
        <v>0</v>
      </c>
      <c r="G250" s="36">
        <v>0</v>
      </c>
      <c r="H250" s="36">
        <v>0</v>
      </c>
      <c r="I250" s="37">
        <v>72.599999999999994</v>
      </c>
    </row>
    <row r="251" spans="1:9" x14ac:dyDescent="0.2">
      <c r="A251" s="9"/>
      <c r="B251" s="2" t="s">
        <v>282</v>
      </c>
      <c r="C251" s="13">
        <v>45232</v>
      </c>
      <c r="D251" s="2">
        <v>938</v>
      </c>
      <c r="E251" s="35">
        <v>72.599999999999994</v>
      </c>
      <c r="F251" s="36">
        <v>0</v>
      </c>
      <c r="G251" s="36">
        <v>0</v>
      </c>
      <c r="H251" s="36">
        <v>0</v>
      </c>
      <c r="I251" s="37">
        <v>72.599999999999994</v>
      </c>
    </row>
    <row r="252" spans="1:9" x14ac:dyDescent="0.2">
      <c r="A252" s="9"/>
      <c r="B252" s="2" t="s">
        <v>47</v>
      </c>
      <c r="C252" s="13">
        <v>45325</v>
      </c>
      <c r="D252" s="2">
        <v>845</v>
      </c>
      <c r="E252" s="35">
        <v>72.599999999999994</v>
      </c>
      <c r="F252" s="36">
        <v>0</v>
      </c>
      <c r="G252" s="36">
        <v>0</v>
      </c>
      <c r="H252" s="36">
        <v>0</v>
      </c>
      <c r="I252" s="37">
        <v>72.599999999999994</v>
      </c>
    </row>
    <row r="253" spans="1:9" x14ac:dyDescent="0.2">
      <c r="A253" s="9"/>
      <c r="B253" s="2" t="s">
        <v>978</v>
      </c>
      <c r="C253" s="13">
        <v>45416</v>
      </c>
      <c r="D253" s="2">
        <v>754</v>
      </c>
      <c r="E253" s="35">
        <v>72.599999999999994</v>
      </c>
      <c r="F253" s="36">
        <v>0</v>
      </c>
      <c r="G253" s="36">
        <v>0</v>
      </c>
      <c r="H253" s="36">
        <v>0</v>
      </c>
      <c r="I253" s="37">
        <v>72.599999999999994</v>
      </c>
    </row>
    <row r="254" spans="1:9" x14ac:dyDescent="0.2">
      <c r="A254" s="9"/>
      <c r="B254" s="2" t="s">
        <v>753</v>
      </c>
      <c r="C254" s="13">
        <v>45511</v>
      </c>
      <c r="D254" s="2">
        <v>659</v>
      </c>
      <c r="E254" s="35">
        <v>72.599999999999994</v>
      </c>
      <c r="F254" s="36">
        <v>0</v>
      </c>
      <c r="G254" s="36">
        <v>0</v>
      </c>
      <c r="H254" s="36">
        <v>0</v>
      </c>
      <c r="I254" s="37">
        <v>72.599999999999994</v>
      </c>
    </row>
    <row r="255" spans="1:9" x14ac:dyDescent="0.2">
      <c r="A255" s="9"/>
      <c r="B255" s="2" t="s">
        <v>751</v>
      </c>
      <c r="C255" s="13">
        <v>43848</v>
      </c>
      <c r="D255" s="2">
        <v>2322</v>
      </c>
      <c r="E255" s="35">
        <v>-48.4</v>
      </c>
      <c r="F255" s="36">
        <v>0</v>
      </c>
      <c r="G255" s="36">
        <v>0</v>
      </c>
      <c r="H255" s="36">
        <v>0</v>
      </c>
      <c r="I255" s="37">
        <v>-48.4</v>
      </c>
    </row>
    <row r="256" spans="1:9" x14ac:dyDescent="0.2">
      <c r="A256" s="11" t="s">
        <v>1360</v>
      </c>
      <c r="B256" s="12"/>
      <c r="C256" s="12"/>
      <c r="D256" s="12"/>
      <c r="E256" s="38">
        <v>895.4000000000002</v>
      </c>
      <c r="F256" s="39">
        <v>0</v>
      </c>
      <c r="G256" s="39">
        <v>0</v>
      </c>
      <c r="H256" s="39">
        <v>0</v>
      </c>
      <c r="I256" s="40">
        <v>895.4000000000002</v>
      </c>
    </row>
    <row r="257" spans="1:9" x14ac:dyDescent="0.2">
      <c r="A257" s="2" t="s">
        <v>403</v>
      </c>
      <c r="B257" s="2" t="s">
        <v>434</v>
      </c>
      <c r="C257" s="13">
        <v>45812</v>
      </c>
      <c r="D257" s="2">
        <v>358</v>
      </c>
      <c r="E257" s="35">
        <v>60.5</v>
      </c>
      <c r="F257" s="36">
        <v>0</v>
      </c>
      <c r="G257" s="36">
        <v>0</v>
      </c>
      <c r="H257" s="36">
        <v>0</v>
      </c>
      <c r="I257" s="37">
        <v>60.5</v>
      </c>
    </row>
    <row r="258" spans="1:9" x14ac:dyDescent="0.2">
      <c r="A258" s="9"/>
      <c r="B258" s="2" t="s">
        <v>437</v>
      </c>
      <c r="C258" s="13">
        <v>45812</v>
      </c>
      <c r="D258" s="2">
        <v>358</v>
      </c>
      <c r="E258" s="35">
        <v>121</v>
      </c>
      <c r="F258" s="36">
        <v>0</v>
      </c>
      <c r="G258" s="36">
        <v>0</v>
      </c>
      <c r="H258" s="36">
        <v>0</v>
      </c>
      <c r="I258" s="37">
        <v>121</v>
      </c>
    </row>
    <row r="259" spans="1:9" x14ac:dyDescent="0.2">
      <c r="A259" s="9"/>
      <c r="B259" s="2" t="s">
        <v>385</v>
      </c>
      <c r="C259" s="13">
        <v>45812</v>
      </c>
      <c r="D259" s="2">
        <v>358</v>
      </c>
      <c r="E259" s="35">
        <v>347.88</v>
      </c>
      <c r="F259" s="36">
        <v>0</v>
      </c>
      <c r="G259" s="36">
        <v>0</v>
      </c>
      <c r="H259" s="36">
        <v>0</v>
      </c>
      <c r="I259" s="37">
        <v>347.88</v>
      </c>
    </row>
    <row r="260" spans="1:9" x14ac:dyDescent="0.2">
      <c r="A260" s="9"/>
      <c r="B260" s="2" t="s">
        <v>1235</v>
      </c>
      <c r="C260" s="13">
        <v>45819</v>
      </c>
      <c r="D260" s="2">
        <v>351</v>
      </c>
      <c r="E260" s="35">
        <v>1323.44</v>
      </c>
      <c r="F260" s="36">
        <v>0</v>
      </c>
      <c r="G260" s="36">
        <v>0</v>
      </c>
      <c r="H260" s="36">
        <v>0</v>
      </c>
      <c r="I260" s="37">
        <v>1323.44</v>
      </c>
    </row>
    <row r="261" spans="1:9" x14ac:dyDescent="0.2">
      <c r="A261" s="9"/>
      <c r="B261" s="2" t="s">
        <v>787</v>
      </c>
      <c r="C261" s="13">
        <v>45840</v>
      </c>
      <c r="D261" s="2">
        <v>330</v>
      </c>
      <c r="E261" s="35">
        <v>347.88</v>
      </c>
      <c r="F261" s="36">
        <v>0</v>
      </c>
      <c r="G261" s="36">
        <v>0</v>
      </c>
      <c r="H261" s="36">
        <v>0</v>
      </c>
      <c r="I261" s="37">
        <v>347.88</v>
      </c>
    </row>
    <row r="262" spans="1:9" x14ac:dyDescent="0.2">
      <c r="A262" s="9"/>
      <c r="B262" s="2" t="s">
        <v>1157</v>
      </c>
      <c r="C262" s="13">
        <v>45840</v>
      </c>
      <c r="D262" s="2">
        <v>330</v>
      </c>
      <c r="E262" s="35">
        <v>121</v>
      </c>
      <c r="F262" s="36">
        <v>0</v>
      </c>
      <c r="G262" s="36">
        <v>0</v>
      </c>
      <c r="H262" s="36">
        <v>0</v>
      </c>
      <c r="I262" s="37">
        <v>121</v>
      </c>
    </row>
    <row r="263" spans="1:9" x14ac:dyDescent="0.2">
      <c r="A263" s="9"/>
      <c r="B263" s="2" t="s">
        <v>1146</v>
      </c>
      <c r="C263" s="13">
        <v>45840</v>
      </c>
      <c r="D263" s="2">
        <v>330</v>
      </c>
      <c r="E263" s="35">
        <v>60.5</v>
      </c>
      <c r="F263" s="36">
        <v>0</v>
      </c>
      <c r="G263" s="36">
        <v>0</v>
      </c>
      <c r="H263" s="36">
        <v>0</v>
      </c>
      <c r="I263" s="37">
        <v>60.5</v>
      </c>
    </row>
    <row r="264" spans="1:9" x14ac:dyDescent="0.2">
      <c r="A264" s="9"/>
      <c r="B264" s="2" t="s">
        <v>1276</v>
      </c>
      <c r="C264" s="13">
        <v>45869</v>
      </c>
      <c r="D264" s="2">
        <v>301</v>
      </c>
      <c r="E264" s="35">
        <v>60.5</v>
      </c>
      <c r="F264" s="36">
        <v>0</v>
      </c>
      <c r="G264" s="36">
        <v>0</v>
      </c>
      <c r="H264" s="36">
        <v>0</v>
      </c>
      <c r="I264" s="37">
        <v>60.5</v>
      </c>
    </row>
    <row r="265" spans="1:9" x14ac:dyDescent="0.2">
      <c r="A265" s="9"/>
      <c r="B265" s="2" t="s">
        <v>1292</v>
      </c>
      <c r="C265" s="13">
        <v>45869</v>
      </c>
      <c r="D265" s="2">
        <v>301</v>
      </c>
      <c r="E265" s="35">
        <v>121</v>
      </c>
      <c r="F265" s="36">
        <v>0</v>
      </c>
      <c r="G265" s="36">
        <v>0</v>
      </c>
      <c r="H265" s="36">
        <v>0</v>
      </c>
      <c r="I265" s="37">
        <v>121</v>
      </c>
    </row>
    <row r="266" spans="1:9" x14ac:dyDescent="0.2">
      <c r="A266" s="9"/>
      <c r="B266" s="2" t="s">
        <v>648</v>
      </c>
      <c r="C266" s="13">
        <v>45869</v>
      </c>
      <c r="D266" s="2">
        <v>301</v>
      </c>
      <c r="E266" s="35">
        <v>347.88</v>
      </c>
      <c r="F266" s="36">
        <v>0</v>
      </c>
      <c r="G266" s="36">
        <v>0</v>
      </c>
      <c r="H266" s="36">
        <v>0</v>
      </c>
      <c r="I266" s="37">
        <v>347.88</v>
      </c>
    </row>
    <row r="267" spans="1:9" x14ac:dyDescent="0.2">
      <c r="A267" s="9"/>
      <c r="B267" s="2" t="s">
        <v>544</v>
      </c>
      <c r="C267" s="13">
        <v>45903</v>
      </c>
      <c r="D267" s="2">
        <v>267</v>
      </c>
      <c r="E267" s="35">
        <v>121</v>
      </c>
      <c r="F267" s="36">
        <v>0</v>
      </c>
      <c r="G267" s="36">
        <v>0</v>
      </c>
      <c r="H267" s="36">
        <v>0</v>
      </c>
      <c r="I267" s="37">
        <v>121</v>
      </c>
    </row>
    <row r="268" spans="1:9" x14ac:dyDescent="0.2">
      <c r="A268" s="9"/>
      <c r="B268" s="2" t="s">
        <v>84</v>
      </c>
      <c r="C268" s="13">
        <v>45903</v>
      </c>
      <c r="D268" s="2">
        <v>267</v>
      </c>
      <c r="E268" s="35">
        <v>60.5</v>
      </c>
      <c r="F268" s="36">
        <v>0</v>
      </c>
      <c r="G268" s="36">
        <v>0</v>
      </c>
      <c r="H268" s="36">
        <v>0</v>
      </c>
      <c r="I268" s="37">
        <v>60.5</v>
      </c>
    </row>
    <row r="269" spans="1:9" x14ac:dyDescent="0.2">
      <c r="A269" s="9"/>
      <c r="B269" s="2" t="s">
        <v>1110</v>
      </c>
      <c r="C269" s="13">
        <v>45903</v>
      </c>
      <c r="D269" s="2">
        <v>267</v>
      </c>
      <c r="E269" s="35">
        <v>347.88</v>
      </c>
      <c r="F269" s="36">
        <v>0</v>
      </c>
      <c r="G269" s="36">
        <v>0</v>
      </c>
      <c r="H269" s="36">
        <v>0</v>
      </c>
      <c r="I269" s="37">
        <v>347.88</v>
      </c>
    </row>
    <row r="270" spans="1:9" x14ac:dyDescent="0.2">
      <c r="A270" s="9"/>
      <c r="B270" s="2" t="s">
        <v>1055</v>
      </c>
      <c r="C270" s="13">
        <v>45931</v>
      </c>
      <c r="D270" s="2">
        <v>239</v>
      </c>
      <c r="E270" s="35">
        <v>347.88</v>
      </c>
      <c r="F270" s="36">
        <v>0</v>
      </c>
      <c r="G270" s="36">
        <v>0</v>
      </c>
      <c r="H270" s="36">
        <v>0</v>
      </c>
      <c r="I270" s="37">
        <v>347.88</v>
      </c>
    </row>
    <row r="271" spans="1:9" x14ac:dyDescent="0.2">
      <c r="A271" s="9"/>
      <c r="B271" s="2" t="s">
        <v>1178</v>
      </c>
      <c r="C271" s="13">
        <v>45931</v>
      </c>
      <c r="D271" s="2">
        <v>239</v>
      </c>
      <c r="E271" s="35">
        <v>121</v>
      </c>
      <c r="F271" s="36">
        <v>0</v>
      </c>
      <c r="G271" s="36">
        <v>0</v>
      </c>
      <c r="H271" s="36">
        <v>0</v>
      </c>
      <c r="I271" s="37">
        <v>121</v>
      </c>
    </row>
    <row r="272" spans="1:9" x14ac:dyDescent="0.2">
      <c r="A272" s="9"/>
      <c r="B272" s="2" t="s">
        <v>672</v>
      </c>
      <c r="C272" s="13">
        <v>45931</v>
      </c>
      <c r="D272" s="2">
        <v>239</v>
      </c>
      <c r="E272" s="35">
        <v>60.5</v>
      </c>
      <c r="F272" s="36">
        <v>0</v>
      </c>
      <c r="G272" s="36">
        <v>0</v>
      </c>
      <c r="H272" s="36">
        <v>0</v>
      </c>
      <c r="I272" s="37">
        <v>60.5</v>
      </c>
    </row>
    <row r="273" spans="1:9" x14ac:dyDescent="0.2">
      <c r="A273" s="9"/>
      <c r="B273" s="2" t="s">
        <v>973</v>
      </c>
      <c r="C273" s="13">
        <v>45966</v>
      </c>
      <c r="D273" s="2">
        <v>204</v>
      </c>
      <c r="E273" s="35">
        <v>121</v>
      </c>
      <c r="F273" s="36">
        <v>0</v>
      </c>
      <c r="G273" s="36">
        <v>0</v>
      </c>
      <c r="H273" s="36">
        <v>0</v>
      </c>
      <c r="I273" s="37">
        <v>121</v>
      </c>
    </row>
    <row r="274" spans="1:9" x14ac:dyDescent="0.2">
      <c r="A274" s="9"/>
      <c r="B274" s="2" t="s">
        <v>357</v>
      </c>
      <c r="C274" s="13">
        <v>45966</v>
      </c>
      <c r="D274" s="2">
        <v>204</v>
      </c>
      <c r="E274" s="35">
        <v>60.5</v>
      </c>
      <c r="F274" s="36">
        <v>0</v>
      </c>
      <c r="G274" s="36">
        <v>0</v>
      </c>
      <c r="H274" s="36">
        <v>0</v>
      </c>
      <c r="I274" s="37">
        <v>60.5</v>
      </c>
    </row>
    <row r="275" spans="1:9" x14ac:dyDescent="0.2">
      <c r="A275" s="9"/>
      <c r="B275" s="2" t="s">
        <v>358</v>
      </c>
      <c r="C275" s="13">
        <v>45966</v>
      </c>
      <c r="D275" s="2">
        <v>204</v>
      </c>
      <c r="E275" s="35">
        <v>347.88</v>
      </c>
      <c r="F275" s="36">
        <v>0</v>
      </c>
      <c r="G275" s="36">
        <v>0</v>
      </c>
      <c r="H275" s="36">
        <v>0</v>
      </c>
      <c r="I275" s="37">
        <v>347.88</v>
      </c>
    </row>
    <row r="276" spans="1:9" x14ac:dyDescent="0.2">
      <c r="A276" s="9"/>
      <c r="B276" s="2" t="s">
        <v>1045</v>
      </c>
      <c r="C276" s="13">
        <v>45996</v>
      </c>
      <c r="D276" s="2">
        <v>174</v>
      </c>
      <c r="E276" s="35">
        <v>121</v>
      </c>
      <c r="F276" s="36">
        <v>0</v>
      </c>
      <c r="G276" s="36">
        <v>0</v>
      </c>
      <c r="H276" s="36">
        <v>0</v>
      </c>
      <c r="I276" s="37">
        <v>121</v>
      </c>
    </row>
    <row r="277" spans="1:9" x14ac:dyDescent="0.2">
      <c r="A277" s="9"/>
      <c r="B277" s="2" t="s">
        <v>601</v>
      </c>
      <c r="C277" s="13">
        <v>45996</v>
      </c>
      <c r="D277" s="2">
        <v>174</v>
      </c>
      <c r="E277" s="35">
        <v>60.5</v>
      </c>
      <c r="F277" s="36">
        <v>0</v>
      </c>
      <c r="G277" s="36">
        <v>0</v>
      </c>
      <c r="H277" s="36">
        <v>0</v>
      </c>
      <c r="I277" s="37">
        <v>60.5</v>
      </c>
    </row>
    <row r="278" spans="1:9" x14ac:dyDescent="0.2">
      <c r="A278" s="9"/>
      <c r="B278" s="2" t="s">
        <v>842</v>
      </c>
      <c r="C278" s="13">
        <v>45996</v>
      </c>
      <c r="D278" s="2">
        <v>174</v>
      </c>
      <c r="E278" s="35">
        <v>347.88</v>
      </c>
      <c r="F278" s="36">
        <v>0</v>
      </c>
      <c r="G278" s="36">
        <v>0</v>
      </c>
      <c r="H278" s="36">
        <v>0</v>
      </c>
      <c r="I278" s="37">
        <v>347.88</v>
      </c>
    </row>
    <row r="279" spans="1:9" x14ac:dyDescent="0.2">
      <c r="A279" s="9"/>
      <c r="B279" s="2" t="s">
        <v>742</v>
      </c>
      <c r="C279" s="13">
        <v>46023</v>
      </c>
      <c r="D279" s="2">
        <v>147</v>
      </c>
      <c r="E279" s="35">
        <v>60.5</v>
      </c>
      <c r="F279" s="36">
        <v>0</v>
      </c>
      <c r="G279" s="36">
        <v>0</v>
      </c>
      <c r="H279" s="36">
        <v>0</v>
      </c>
      <c r="I279" s="37">
        <v>60.5</v>
      </c>
    </row>
    <row r="280" spans="1:9" x14ac:dyDescent="0.2">
      <c r="A280" s="9"/>
      <c r="B280" s="2" t="s">
        <v>1140</v>
      </c>
      <c r="C280" s="13">
        <v>46023</v>
      </c>
      <c r="D280" s="2">
        <v>147</v>
      </c>
      <c r="E280" s="35">
        <v>121</v>
      </c>
      <c r="F280" s="36">
        <v>0</v>
      </c>
      <c r="G280" s="36">
        <v>0</v>
      </c>
      <c r="H280" s="36">
        <v>0</v>
      </c>
      <c r="I280" s="37">
        <v>121</v>
      </c>
    </row>
    <row r="281" spans="1:9" x14ac:dyDescent="0.2">
      <c r="A281" s="9"/>
      <c r="B281" s="2" t="s">
        <v>203</v>
      </c>
      <c r="C281" s="13">
        <v>46023</v>
      </c>
      <c r="D281" s="2">
        <v>147</v>
      </c>
      <c r="E281" s="35">
        <v>347.88</v>
      </c>
      <c r="F281" s="36">
        <v>0</v>
      </c>
      <c r="G281" s="36">
        <v>0</v>
      </c>
      <c r="H281" s="36">
        <v>0</v>
      </c>
      <c r="I281" s="37">
        <v>347.88</v>
      </c>
    </row>
    <row r="282" spans="1:9" x14ac:dyDescent="0.2">
      <c r="A282" s="9"/>
      <c r="B282" s="2" t="s">
        <v>205</v>
      </c>
      <c r="C282" s="13">
        <v>46060</v>
      </c>
      <c r="D282" s="2">
        <v>110</v>
      </c>
      <c r="E282" s="35">
        <v>121</v>
      </c>
      <c r="F282" s="36">
        <v>0</v>
      </c>
      <c r="G282" s="36">
        <v>0</v>
      </c>
      <c r="H282" s="36">
        <v>0</v>
      </c>
      <c r="I282" s="37">
        <v>121</v>
      </c>
    </row>
    <row r="283" spans="1:9" x14ac:dyDescent="0.2">
      <c r="A283" s="9"/>
      <c r="B283" s="2" t="s">
        <v>1220</v>
      </c>
      <c r="C283" s="13">
        <v>46060</v>
      </c>
      <c r="D283" s="2">
        <v>110</v>
      </c>
      <c r="E283" s="35">
        <v>60.5</v>
      </c>
      <c r="F283" s="36">
        <v>0</v>
      </c>
      <c r="G283" s="36">
        <v>0</v>
      </c>
      <c r="H283" s="36">
        <v>0</v>
      </c>
      <c r="I283" s="37">
        <v>60.5</v>
      </c>
    </row>
    <row r="284" spans="1:9" x14ac:dyDescent="0.2">
      <c r="A284" s="9"/>
      <c r="B284" s="2" t="s">
        <v>1287</v>
      </c>
      <c r="C284" s="13">
        <v>46060</v>
      </c>
      <c r="D284" s="2">
        <v>110</v>
      </c>
      <c r="E284" s="35">
        <v>347.88</v>
      </c>
      <c r="F284" s="36">
        <v>0</v>
      </c>
      <c r="G284" s="36">
        <v>0</v>
      </c>
      <c r="H284" s="36">
        <v>0</v>
      </c>
      <c r="I284" s="37">
        <v>347.88</v>
      </c>
    </row>
    <row r="285" spans="1:9" x14ac:dyDescent="0.2">
      <c r="A285" s="9"/>
      <c r="B285" s="2" t="s">
        <v>1239</v>
      </c>
      <c r="C285" s="13">
        <v>46085</v>
      </c>
      <c r="D285" s="2">
        <v>85</v>
      </c>
      <c r="E285" s="35">
        <v>347.88</v>
      </c>
      <c r="F285" s="36">
        <v>0</v>
      </c>
      <c r="G285" s="36">
        <v>0</v>
      </c>
      <c r="H285" s="36">
        <v>347.88</v>
      </c>
      <c r="I285" s="37">
        <v>0</v>
      </c>
    </row>
    <row r="286" spans="1:9" x14ac:dyDescent="0.2">
      <c r="A286" s="9"/>
      <c r="B286" s="2" t="s">
        <v>1095</v>
      </c>
      <c r="C286" s="13">
        <v>46085</v>
      </c>
      <c r="D286" s="2">
        <v>85</v>
      </c>
      <c r="E286" s="35">
        <v>60.5</v>
      </c>
      <c r="F286" s="36">
        <v>0</v>
      </c>
      <c r="G286" s="36">
        <v>0</v>
      </c>
      <c r="H286" s="36">
        <v>60.5</v>
      </c>
      <c r="I286" s="37">
        <v>0</v>
      </c>
    </row>
    <row r="287" spans="1:9" x14ac:dyDescent="0.2">
      <c r="A287" s="9"/>
      <c r="B287" s="2" t="s">
        <v>1035</v>
      </c>
      <c r="C287" s="13">
        <v>46085</v>
      </c>
      <c r="D287" s="2">
        <v>85</v>
      </c>
      <c r="E287" s="35">
        <v>121</v>
      </c>
      <c r="F287" s="36">
        <v>0</v>
      </c>
      <c r="G287" s="36">
        <v>0</v>
      </c>
      <c r="H287" s="36">
        <v>121</v>
      </c>
      <c r="I287" s="37">
        <v>0</v>
      </c>
    </row>
    <row r="288" spans="1:9" x14ac:dyDescent="0.2">
      <c r="A288" s="9"/>
      <c r="B288" s="2" t="s">
        <v>929</v>
      </c>
      <c r="C288" s="13">
        <v>46115</v>
      </c>
      <c r="D288" s="2">
        <v>55</v>
      </c>
      <c r="E288" s="35">
        <v>347.88</v>
      </c>
      <c r="F288" s="36">
        <v>0</v>
      </c>
      <c r="G288" s="36">
        <v>347.88</v>
      </c>
      <c r="H288" s="36">
        <v>0</v>
      </c>
      <c r="I288" s="37">
        <v>0</v>
      </c>
    </row>
    <row r="289" spans="1:9" x14ac:dyDescent="0.2">
      <c r="A289" s="9"/>
      <c r="B289" s="2" t="s">
        <v>227</v>
      </c>
      <c r="C289" s="13">
        <v>46115</v>
      </c>
      <c r="D289" s="2">
        <v>55</v>
      </c>
      <c r="E289" s="35">
        <v>60.5</v>
      </c>
      <c r="F289" s="36">
        <v>0</v>
      </c>
      <c r="G289" s="36">
        <v>60.5</v>
      </c>
      <c r="H289" s="36">
        <v>0</v>
      </c>
      <c r="I289" s="37">
        <v>0</v>
      </c>
    </row>
    <row r="290" spans="1:9" x14ac:dyDescent="0.2">
      <c r="A290" s="9"/>
      <c r="B290" s="2" t="s">
        <v>170</v>
      </c>
      <c r="C290" s="13">
        <v>46115</v>
      </c>
      <c r="D290" s="2">
        <v>55</v>
      </c>
      <c r="E290" s="35">
        <v>121</v>
      </c>
      <c r="F290" s="36">
        <v>0</v>
      </c>
      <c r="G290" s="36">
        <v>121</v>
      </c>
      <c r="H290" s="36">
        <v>0</v>
      </c>
      <c r="I290" s="37">
        <v>0</v>
      </c>
    </row>
    <row r="291" spans="1:9" x14ac:dyDescent="0.2">
      <c r="A291" s="9"/>
      <c r="B291" s="2" t="s">
        <v>804</v>
      </c>
      <c r="C291" s="13">
        <v>46148</v>
      </c>
      <c r="D291" s="2">
        <v>22</v>
      </c>
      <c r="E291" s="35">
        <v>60.5</v>
      </c>
      <c r="F291" s="36">
        <v>60.5</v>
      </c>
      <c r="G291" s="36">
        <v>0</v>
      </c>
      <c r="H291" s="36">
        <v>0</v>
      </c>
      <c r="I291" s="37">
        <v>0</v>
      </c>
    </row>
    <row r="292" spans="1:9" x14ac:dyDescent="0.2">
      <c r="A292" s="9"/>
      <c r="B292" s="2" t="s">
        <v>262</v>
      </c>
      <c r="C292" s="13">
        <v>46148</v>
      </c>
      <c r="D292" s="2">
        <v>22</v>
      </c>
      <c r="E292" s="35">
        <v>121</v>
      </c>
      <c r="F292" s="36">
        <v>121</v>
      </c>
      <c r="G292" s="36">
        <v>0</v>
      </c>
      <c r="H292" s="36">
        <v>0</v>
      </c>
      <c r="I292" s="37">
        <v>0</v>
      </c>
    </row>
    <row r="293" spans="1:9" x14ac:dyDescent="0.2">
      <c r="A293" s="9"/>
      <c r="B293" s="2" t="s">
        <v>774</v>
      </c>
      <c r="C293" s="13">
        <v>46148</v>
      </c>
      <c r="D293" s="2">
        <v>22</v>
      </c>
      <c r="E293" s="35">
        <v>347.88</v>
      </c>
      <c r="F293" s="36">
        <v>347.88</v>
      </c>
      <c r="G293" s="36">
        <v>0</v>
      </c>
      <c r="H293" s="36">
        <v>0</v>
      </c>
      <c r="I293" s="37">
        <v>0</v>
      </c>
    </row>
    <row r="294" spans="1:9" x14ac:dyDescent="0.2">
      <c r="A294" s="9"/>
      <c r="B294" s="2" t="s">
        <v>993</v>
      </c>
      <c r="C294" s="13">
        <v>45702</v>
      </c>
      <c r="D294" s="2">
        <v>468</v>
      </c>
      <c r="E294" s="35">
        <v>347.88</v>
      </c>
      <c r="F294" s="36">
        <v>0</v>
      </c>
      <c r="G294" s="36">
        <v>0</v>
      </c>
      <c r="H294" s="36">
        <v>0</v>
      </c>
      <c r="I294" s="37">
        <v>347.88</v>
      </c>
    </row>
    <row r="295" spans="1:9" x14ac:dyDescent="0.2">
      <c r="A295" s="9"/>
      <c r="B295" s="2" t="s">
        <v>885</v>
      </c>
      <c r="C295" s="13">
        <v>45702</v>
      </c>
      <c r="D295" s="2">
        <v>468</v>
      </c>
      <c r="E295" s="35">
        <v>60.5</v>
      </c>
      <c r="F295" s="36">
        <v>0</v>
      </c>
      <c r="G295" s="36">
        <v>0</v>
      </c>
      <c r="H295" s="36">
        <v>0</v>
      </c>
      <c r="I295" s="37">
        <v>60.5</v>
      </c>
    </row>
    <row r="296" spans="1:9" x14ac:dyDescent="0.2">
      <c r="A296" s="9"/>
      <c r="B296" s="2" t="s">
        <v>1262</v>
      </c>
      <c r="C296" s="13">
        <v>45702</v>
      </c>
      <c r="D296" s="2">
        <v>468</v>
      </c>
      <c r="E296" s="35">
        <v>121</v>
      </c>
      <c r="F296" s="36">
        <v>0</v>
      </c>
      <c r="G296" s="36">
        <v>0</v>
      </c>
      <c r="H296" s="36">
        <v>0</v>
      </c>
      <c r="I296" s="37">
        <v>121</v>
      </c>
    </row>
    <row r="297" spans="1:9" x14ac:dyDescent="0.2">
      <c r="A297" s="11" t="s">
        <v>1361</v>
      </c>
      <c r="B297" s="12"/>
      <c r="C297" s="12"/>
      <c r="D297" s="12"/>
      <c r="E297" s="38">
        <v>8205.380000000001</v>
      </c>
      <c r="F297" s="39">
        <v>529.38</v>
      </c>
      <c r="G297" s="39">
        <v>529.38</v>
      </c>
      <c r="H297" s="39">
        <v>529.38</v>
      </c>
      <c r="I297" s="40">
        <v>6617.2400000000007</v>
      </c>
    </row>
    <row r="298" spans="1:9" x14ac:dyDescent="0.2">
      <c r="A298" s="2" t="s">
        <v>435</v>
      </c>
      <c r="B298" s="2" t="s">
        <v>95</v>
      </c>
      <c r="C298" s="13">
        <v>45996</v>
      </c>
      <c r="D298" s="2">
        <v>174</v>
      </c>
      <c r="E298" s="35">
        <v>302.5</v>
      </c>
      <c r="F298" s="36">
        <v>0</v>
      </c>
      <c r="G298" s="36">
        <v>0</v>
      </c>
      <c r="H298" s="36">
        <v>0</v>
      </c>
      <c r="I298" s="37">
        <v>302.5</v>
      </c>
    </row>
    <row r="299" spans="1:9" x14ac:dyDescent="0.2">
      <c r="A299" s="9"/>
      <c r="B299" s="2" t="s">
        <v>4</v>
      </c>
      <c r="C299" s="13">
        <v>46023</v>
      </c>
      <c r="D299" s="2">
        <v>147</v>
      </c>
      <c r="E299" s="35">
        <v>302.5</v>
      </c>
      <c r="F299" s="36">
        <v>0</v>
      </c>
      <c r="G299" s="36">
        <v>0</v>
      </c>
      <c r="H299" s="36">
        <v>0</v>
      </c>
      <c r="I299" s="37">
        <v>302.5</v>
      </c>
    </row>
    <row r="300" spans="1:9" x14ac:dyDescent="0.2">
      <c r="A300" s="9"/>
      <c r="B300" s="2" t="s">
        <v>41</v>
      </c>
      <c r="C300" s="13">
        <v>46060</v>
      </c>
      <c r="D300" s="2">
        <v>110</v>
      </c>
      <c r="E300" s="35">
        <v>302.5</v>
      </c>
      <c r="F300" s="36">
        <v>0</v>
      </c>
      <c r="G300" s="36">
        <v>0</v>
      </c>
      <c r="H300" s="36">
        <v>0</v>
      </c>
      <c r="I300" s="37">
        <v>302.5</v>
      </c>
    </row>
    <row r="301" spans="1:9" x14ac:dyDescent="0.2">
      <c r="A301" s="9"/>
      <c r="B301" s="2" t="s">
        <v>1241</v>
      </c>
      <c r="C301" s="13">
        <v>46085</v>
      </c>
      <c r="D301" s="2">
        <v>85</v>
      </c>
      <c r="E301" s="35">
        <v>302.5</v>
      </c>
      <c r="F301" s="36">
        <v>0</v>
      </c>
      <c r="G301" s="36">
        <v>0</v>
      </c>
      <c r="H301" s="36">
        <v>302.5</v>
      </c>
      <c r="I301" s="37">
        <v>0</v>
      </c>
    </row>
    <row r="302" spans="1:9" x14ac:dyDescent="0.2">
      <c r="A302" s="9"/>
      <c r="B302" s="2" t="s">
        <v>233</v>
      </c>
      <c r="C302" s="13">
        <v>46115</v>
      </c>
      <c r="D302" s="2">
        <v>55</v>
      </c>
      <c r="E302" s="35">
        <v>302.5</v>
      </c>
      <c r="F302" s="36">
        <v>0</v>
      </c>
      <c r="G302" s="36">
        <v>302.5</v>
      </c>
      <c r="H302" s="36">
        <v>0</v>
      </c>
      <c r="I302" s="37">
        <v>0</v>
      </c>
    </row>
    <row r="303" spans="1:9" x14ac:dyDescent="0.2">
      <c r="A303" s="9"/>
      <c r="B303" s="2" t="s">
        <v>1047</v>
      </c>
      <c r="C303" s="13">
        <v>46148</v>
      </c>
      <c r="D303" s="2">
        <v>22</v>
      </c>
      <c r="E303" s="35">
        <v>102.85</v>
      </c>
      <c r="F303" s="36">
        <v>102.85</v>
      </c>
      <c r="G303" s="36">
        <v>0</v>
      </c>
      <c r="H303" s="36">
        <v>0</v>
      </c>
      <c r="I303" s="37">
        <v>0</v>
      </c>
    </row>
    <row r="304" spans="1:9" x14ac:dyDescent="0.2">
      <c r="A304" s="11" t="s">
        <v>1362</v>
      </c>
      <c r="B304" s="12"/>
      <c r="C304" s="12"/>
      <c r="D304" s="12"/>
      <c r="E304" s="38">
        <v>1615.35</v>
      </c>
      <c r="F304" s="39">
        <v>102.85</v>
      </c>
      <c r="G304" s="39">
        <v>302.5</v>
      </c>
      <c r="H304" s="39">
        <v>302.5</v>
      </c>
      <c r="I304" s="40">
        <v>907.5</v>
      </c>
    </row>
    <row r="305" spans="1:9" x14ac:dyDescent="0.2">
      <c r="A305" s="2" t="s">
        <v>807</v>
      </c>
      <c r="B305" s="2" t="s">
        <v>949</v>
      </c>
      <c r="C305" s="13">
        <v>46148</v>
      </c>
      <c r="D305" s="2">
        <v>22</v>
      </c>
      <c r="E305" s="35">
        <v>302.5</v>
      </c>
      <c r="F305" s="36">
        <v>302.5</v>
      </c>
      <c r="G305" s="36">
        <v>0</v>
      </c>
      <c r="H305" s="36">
        <v>0</v>
      </c>
      <c r="I305" s="37">
        <v>0</v>
      </c>
    </row>
    <row r="306" spans="1:9" x14ac:dyDescent="0.2">
      <c r="A306" s="11" t="s">
        <v>1363</v>
      </c>
      <c r="B306" s="12"/>
      <c r="C306" s="12"/>
      <c r="D306" s="12"/>
      <c r="E306" s="38">
        <v>302.5</v>
      </c>
      <c r="F306" s="39">
        <v>302.5</v>
      </c>
      <c r="G306" s="39">
        <v>0</v>
      </c>
      <c r="H306" s="39">
        <v>0</v>
      </c>
      <c r="I306" s="40">
        <v>0</v>
      </c>
    </row>
    <row r="307" spans="1:9" x14ac:dyDescent="0.2">
      <c r="A307" s="2" t="s">
        <v>1270</v>
      </c>
      <c r="B307" s="2" t="s">
        <v>458</v>
      </c>
      <c r="C307" s="13">
        <v>43876</v>
      </c>
      <c r="D307" s="2">
        <v>2294</v>
      </c>
      <c r="E307" s="35">
        <v>5915.51</v>
      </c>
      <c r="F307" s="36">
        <v>0</v>
      </c>
      <c r="G307" s="36">
        <v>0</v>
      </c>
      <c r="H307" s="36">
        <v>0</v>
      </c>
      <c r="I307" s="37">
        <v>5915.51</v>
      </c>
    </row>
    <row r="308" spans="1:9" x14ac:dyDescent="0.2">
      <c r="A308" s="11" t="s">
        <v>1364</v>
      </c>
      <c r="B308" s="12"/>
      <c r="C308" s="12"/>
      <c r="D308" s="12"/>
      <c r="E308" s="38">
        <v>5915.51</v>
      </c>
      <c r="F308" s="39">
        <v>0</v>
      </c>
      <c r="G308" s="39">
        <v>0</v>
      </c>
      <c r="H308" s="39">
        <v>0</v>
      </c>
      <c r="I308" s="40">
        <v>5915.51</v>
      </c>
    </row>
    <row r="309" spans="1:9" x14ac:dyDescent="0.2">
      <c r="A309" s="2" t="s">
        <v>705</v>
      </c>
      <c r="B309" s="2" t="s">
        <v>900</v>
      </c>
      <c r="C309" s="13">
        <v>45865</v>
      </c>
      <c r="D309" s="2">
        <v>305</v>
      </c>
      <c r="E309" s="35">
        <v>-218713</v>
      </c>
      <c r="F309" s="36">
        <v>0</v>
      </c>
      <c r="G309" s="36">
        <v>0</v>
      </c>
      <c r="H309" s="36">
        <v>0</v>
      </c>
      <c r="I309" s="37">
        <v>-218713</v>
      </c>
    </row>
    <row r="310" spans="1:9" x14ac:dyDescent="0.2">
      <c r="A310" s="9"/>
      <c r="B310" s="9"/>
      <c r="C310" s="13">
        <v>45933</v>
      </c>
      <c r="D310" s="2">
        <v>237</v>
      </c>
      <c r="E310" s="35">
        <v>-90000</v>
      </c>
      <c r="F310" s="36">
        <v>0</v>
      </c>
      <c r="G310" s="36">
        <v>0</v>
      </c>
      <c r="H310" s="36">
        <v>0</v>
      </c>
      <c r="I310" s="37">
        <v>-90000</v>
      </c>
    </row>
    <row r="311" spans="1:9" x14ac:dyDescent="0.2">
      <c r="A311" s="9"/>
      <c r="B311" s="9"/>
      <c r="C311" s="13">
        <v>46019</v>
      </c>
      <c r="D311" s="2">
        <v>151</v>
      </c>
      <c r="E311" s="35">
        <v>-277509.26</v>
      </c>
      <c r="F311" s="36">
        <v>0</v>
      </c>
      <c r="G311" s="36">
        <v>0</v>
      </c>
      <c r="H311" s="36">
        <v>0</v>
      </c>
      <c r="I311" s="37">
        <v>-277509.26</v>
      </c>
    </row>
    <row r="312" spans="1:9" x14ac:dyDescent="0.2">
      <c r="A312" s="9"/>
      <c r="B312" s="9"/>
      <c r="C312" s="13">
        <v>46128</v>
      </c>
      <c r="D312" s="2">
        <v>42</v>
      </c>
      <c r="E312" s="35">
        <v>-60000</v>
      </c>
      <c r="F312" s="36">
        <v>0</v>
      </c>
      <c r="G312" s="36">
        <v>-60000</v>
      </c>
      <c r="H312" s="36">
        <v>0</v>
      </c>
      <c r="I312" s="37">
        <v>0</v>
      </c>
    </row>
    <row r="313" spans="1:9" x14ac:dyDescent="0.2">
      <c r="A313" s="9"/>
      <c r="B313" s="2" t="s">
        <v>1012</v>
      </c>
      <c r="C313" s="13">
        <v>45799</v>
      </c>
      <c r="D313" s="2">
        <v>371</v>
      </c>
      <c r="E313" s="35">
        <v>91119.41</v>
      </c>
      <c r="F313" s="36">
        <v>0</v>
      </c>
      <c r="G313" s="36">
        <v>0</v>
      </c>
      <c r="H313" s="36">
        <v>0</v>
      </c>
      <c r="I313" s="37">
        <v>91119.41</v>
      </c>
    </row>
    <row r="314" spans="1:9" x14ac:dyDescent="0.2">
      <c r="A314" s="9"/>
      <c r="B314" s="2" t="s">
        <v>915</v>
      </c>
      <c r="C314" s="13">
        <v>45813</v>
      </c>
      <c r="D314" s="2">
        <v>357</v>
      </c>
      <c r="E314" s="35">
        <v>93113.09</v>
      </c>
      <c r="F314" s="36">
        <v>0</v>
      </c>
      <c r="G314" s="36">
        <v>0</v>
      </c>
      <c r="H314" s="36">
        <v>0</v>
      </c>
      <c r="I314" s="37">
        <v>93113.09</v>
      </c>
    </row>
    <row r="315" spans="1:9" x14ac:dyDescent="0.2">
      <c r="A315" s="9"/>
      <c r="B315" s="2" t="s">
        <v>65</v>
      </c>
      <c r="C315" s="13">
        <v>45820</v>
      </c>
      <c r="D315" s="2">
        <v>350</v>
      </c>
      <c r="E315" s="35">
        <v>64277.33</v>
      </c>
      <c r="F315" s="36">
        <v>0</v>
      </c>
      <c r="G315" s="36">
        <v>0</v>
      </c>
      <c r="H315" s="36">
        <v>0</v>
      </c>
      <c r="I315" s="37">
        <v>64277.33</v>
      </c>
    </row>
    <row r="316" spans="1:9" x14ac:dyDescent="0.2">
      <c r="A316" s="9"/>
      <c r="B316" s="2" t="s">
        <v>68</v>
      </c>
      <c r="C316" s="13">
        <v>45829</v>
      </c>
      <c r="D316" s="2">
        <v>341</v>
      </c>
      <c r="E316" s="35">
        <v>15790.5</v>
      </c>
      <c r="F316" s="36">
        <v>0</v>
      </c>
      <c r="G316" s="36">
        <v>0</v>
      </c>
      <c r="H316" s="36">
        <v>0</v>
      </c>
      <c r="I316" s="37">
        <v>15790.5</v>
      </c>
    </row>
    <row r="317" spans="1:9" x14ac:dyDescent="0.2">
      <c r="A317" s="9"/>
      <c r="B317" s="2" t="s">
        <v>69</v>
      </c>
      <c r="C317" s="13">
        <v>45833</v>
      </c>
      <c r="D317" s="2">
        <v>337</v>
      </c>
      <c r="E317" s="35">
        <v>39204</v>
      </c>
      <c r="F317" s="36">
        <v>0</v>
      </c>
      <c r="G317" s="36">
        <v>0</v>
      </c>
      <c r="H317" s="36">
        <v>0</v>
      </c>
      <c r="I317" s="37">
        <v>39204</v>
      </c>
    </row>
    <row r="318" spans="1:9" x14ac:dyDescent="0.2">
      <c r="A318" s="9"/>
      <c r="B318" s="2" t="s">
        <v>321</v>
      </c>
      <c r="C318" s="13">
        <v>45841</v>
      </c>
      <c r="D318" s="2">
        <v>329</v>
      </c>
      <c r="E318" s="35">
        <v>16200</v>
      </c>
      <c r="F318" s="36">
        <v>0</v>
      </c>
      <c r="G318" s="36">
        <v>0</v>
      </c>
      <c r="H318" s="36">
        <v>0</v>
      </c>
      <c r="I318" s="37">
        <v>16200</v>
      </c>
    </row>
    <row r="319" spans="1:9" x14ac:dyDescent="0.2">
      <c r="A319" s="9"/>
      <c r="B319" s="2" t="s">
        <v>802</v>
      </c>
      <c r="C319" s="13">
        <v>45856</v>
      </c>
      <c r="D319" s="3"/>
      <c r="E319" s="35">
        <v>27225</v>
      </c>
      <c r="F319" s="36">
        <v>0</v>
      </c>
      <c r="G319" s="36">
        <v>0</v>
      </c>
      <c r="H319" s="36">
        <v>0</v>
      </c>
      <c r="I319" s="37">
        <v>27225</v>
      </c>
    </row>
    <row r="320" spans="1:9" x14ac:dyDescent="0.2">
      <c r="A320" s="9"/>
      <c r="B320" s="2" t="s">
        <v>803</v>
      </c>
      <c r="C320" s="13">
        <v>45858</v>
      </c>
      <c r="D320" s="2">
        <v>312</v>
      </c>
      <c r="E320" s="35">
        <v>105383.35</v>
      </c>
      <c r="F320" s="36">
        <v>0</v>
      </c>
      <c r="G320" s="36">
        <v>0</v>
      </c>
      <c r="H320" s="36">
        <v>0</v>
      </c>
      <c r="I320" s="37">
        <v>105383.35</v>
      </c>
    </row>
    <row r="321" spans="1:9" x14ac:dyDescent="0.2">
      <c r="A321" s="9"/>
      <c r="B321" s="2" t="s">
        <v>27</v>
      </c>
      <c r="C321" s="13">
        <v>45869</v>
      </c>
      <c r="D321" s="2">
        <v>301</v>
      </c>
      <c r="E321" s="35">
        <v>54527.62</v>
      </c>
      <c r="F321" s="36">
        <v>0</v>
      </c>
      <c r="G321" s="36">
        <v>0</v>
      </c>
      <c r="H321" s="36">
        <v>0</v>
      </c>
      <c r="I321" s="37">
        <v>54527.62</v>
      </c>
    </row>
    <row r="322" spans="1:9" x14ac:dyDescent="0.2">
      <c r="A322" s="9"/>
      <c r="B322" s="2" t="s">
        <v>1034</v>
      </c>
      <c r="C322" s="13">
        <v>45886</v>
      </c>
      <c r="D322" s="2">
        <v>284</v>
      </c>
      <c r="E322" s="35">
        <v>18850.439999999999</v>
      </c>
      <c r="F322" s="36">
        <v>0</v>
      </c>
      <c r="G322" s="36">
        <v>0</v>
      </c>
      <c r="H322" s="36">
        <v>0</v>
      </c>
      <c r="I322" s="37">
        <v>18850.439999999999</v>
      </c>
    </row>
    <row r="323" spans="1:9" x14ac:dyDescent="0.2">
      <c r="A323" s="9"/>
      <c r="B323" s="2" t="s">
        <v>1036</v>
      </c>
      <c r="C323" s="13">
        <v>45478</v>
      </c>
      <c r="D323" s="2">
        <v>692</v>
      </c>
      <c r="E323" s="35">
        <v>21600</v>
      </c>
      <c r="F323" s="36">
        <v>0</v>
      </c>
      <c r="G323" s="36">
        <v>0</v>
      </c>
      <c r="H323" s="36">
        <v>0</v>
      </c>
      <c r="I323" s="37">
        <v>21600</v>
      </c>
    </row>
    <row r="324" spans="1:9" x14ac:dyDescent="0.2">
      <c r="A324" s="9"/>
      <c r="B324" s="2" t="s">
        <v>1105</v>
      </c>
      <c r="C324" s="13">
        <v>45861</v>
      </c>
      <c r="D324" s="2">
        <v>309</v>
      </c>
      <c r="E324" s="35">
        <v>93190.7</v>
      </c>
      <c r="F324" s="36">
        <v>0</v>
      </c>
      <c r="G324" s="36">
        <v>0</v>
      </c>
      <c r="H324" s="36">
        <v>0</v>
      </c>
      <c r="I324" s="37">
        <v>93190.7</v>
      </c>
    </row>
    <row r="325" spans="1:9" x14ac:dyDescent="0.2">
      <c r="A325" s="9"/>
      <c r="B325" s="2" t="s">
        <v>1103</v>
      </c>
      <c r="C325" s="13">
        <v>45906</v>
      </c>
      <c r="D325" s="2">
        <v>264</v>
      </c>
      <c r="E325" s="35">
        <v>46295.47</v>
      </c>
      <c r="F325" s="36">
        <v>0</v>
      </c>
      <c r="G325" s="36">
        <v>0</v>
      </c>
      <c r="H325" s="36">
        <v>0</v>
      </c>
      <c r="I325" s="37">
        <v>46295.47</v>
      </c>
    </row>
    <row r="326" spans="1:9" x14ac:dyDescent="0.2">
      <c r="A326" s="9"/>
      <c r="B326" s="2" t="s">
        <v>1123</v>
      </c>
      <c r="C326" s="13">
        <v>45932</v>
      </c>
      <c r="D326" s="2">
        <v>238</v>
      </c>
      <c r="E326" s="35">
        <v>9256.5</v>
      </c>
      <c r="F326" s="36">
        <v>0</v>
      </c>
      <c r="G326" s="36">
        <v>0</v>
      </c>
      <c r="H326" s="36">
        <v>0</v>
      </c>
      <c r="I326" s="37">
        <v>9256.5</v>
      </c>
    </row>
    <row r="327" spans="1:9" x14ac:dyDescent="0.2">
      <c r="A327" s="9"/>
      <c r="B327" s="2" t="s">
        <v>684</v>
      </c>
      <c r="C327" s="13">
        <v>45935</v>
      </c>
      <c r="D327" s="2">
        <v>235</v>
      </c>
      <c r="E327" s="35">
        <v>50638.92</v>
      </c>
      <c r="F327" s="36">
        <v>0</v>
      </c>
      <c r="G327" s="36">
        <v>0</v>
      </c>
      <c r="H327" s="36">
        <v>0</v>
      </c>
      <c r="I327" s="37">
        <v>50638.92</v>
      </c>
    </row>
    <row r="328" spans="1:9" x14ac:dyDescent="0.2">
      <c r="A328" s="9"/>
      <c r="B328" s="2" t="s">
        <v>682</v>
      </c>
      <c r="C328" s="13">
        <v>45945</v>
      </c>
      <c r="D328" s="2">
        <v>225</v>
      </c>
      <c r="E328" s="35">
        <v>175000</v>
      </c>
      <c r="F328" s="36">
        <v>0</v>
      </c>
      <c r="G328" s="36">
        <v>0</v>
      </c>
      <c r="H328" s="36">
        <v>0</v>
      </c>
      <c r="I328" s="37">
        <v>175000</v>
      </c>
    </row>
    <row r="329" spans="1:9" x14ac:dyDescent="0.2">
      <c r="A329" s="9"/>
      <c r="B329" s="2" t="s">
        <v>1172</v>
      </c>
      <c r="C329" s="13">
        <v>45907</v>
      </c>
      <c r="D329" s="2">
        <v>263</v>
      </c>
      <c r="E329" s="35">
        <v>16988.400000000001</v>
      </c>
      <c r="F329" s="36">
        <v>0</v>
      </c>
      <c r="G329" s="36">
        <v>0</v>
      </c>
      <c r="H329" s="36">
        <v>0</v>
      </c>
      <c r="I329" s="37">
        <v>16988.400000000001</v>
      </c>
    </row>
    <row r="330" spans="1:9" x14ac:dyDescent="0.2">
      <c r="A330" s="9"/>
      <c r="B330" s="2" t="s">
        <v>1171</v>
      </c>
      <c r="C330" s="13">
        <v>45956</v>
      </c>
      <c r="D330" s="2">
        <v>214</v>
      </c>
      <c r="E330" s="35">
        <v>54450.42</v>
      </c>
      <c r="F330" s="36">
        <v>0</v>
      </c>
      <c r="G330" s="36">
        <v>0</v>
      </c>
      <c r="H330" s="36">
        <v>0</v>
      </c>
      <c r="I330" s="37">
        <v>54450.42</v>
      </c>
    </row>
    <row r="331" spans="1:9" x14ac:dyDescent="0.2">
      <c r="A331" s="9"/>
      <c r="B331" s="2" t="s">
        <v>1170</v>
      </c>
      <c r="C331" s="13">
        <v>45911</v>
      </c>
      <c r="D331" s="2">
        <v>259</v>
      </c>
      <c r="E331" s="35">
        <v>54101.47</v>
      </c>
      <c r="F331" s="36">
        <v>0</v>
      </c>
      <c r="G331" s="36">
        <v>0</v>
      </c>
      <c r="H331" s="36">
        <v>0</v>
      </c>
      <c r="I331" s="37">
        <v>54101.47</v>
      </c>
    </row>
    <row r="332" spans="1:9" x14ac:dyDescent="0.2">
      <c r="A332" s="9"/>
      <c r="B332" s="2" t="s">
        <v>1180</v>
      </c>
      <c r="C332" s="13">
        <v>45966</v>
      </c>
      <c r="D332" s="2">
        <v>204</v>
      </c>
      <c r="E332" s="35">
        <v>16335</v>
      </c>
      <c r="F332" s="36">
        <v>0</v>
      </c>
      <c r="G332" s="36">
        <v>0</v>
      </c>
      <c r="H332" s="36">
        <v>0</v>
      </c>
      <c r="I332" s="37">
        <v>16335</v>
      </c>
    </row>
    <row r="333" spans="1:9" x14ac:dyDescent="0.2">
      <c r="A333" s="9"/>
      <c r="B333" s="2" t="s">
        <v>525</v>
      </c>
      <c r="C333" s="13">
        <v>45969</v>
      </c>
      <c r="D333" s="2">
        <v>201</v>
      </c>
      <c r="E333" s="35">
        <v>16335</v>
      </c>
      <c r="F333" s="36">
        <v>0</v>
      </c>
      <c r="G333" s="36">
        <v>0</v>
      </c>
      <c r="H333" s="36">
        <v>0</v>
      </c>
      <c r="I333" s="37">
        <v>16335</v>
      </c>
    </row>
    <row r="334" spans="1:9" x14ac:dyDescent="0.2">
      <c r="A334" s="9"/>
      <c r="B334" s="2" t="s">
        <v>520</v>
      </c>
      <c r="C334" s="13">
        <v>45973</v>
      </c>
      <c r="D334" s="2">
        <v>197</v>
      </c>
      <c r="E334" s="35">
        <v>55278.06</v>
      </c>
      <c r="F334" s="36">
        <v>0</v>
      </c>
      <c r="G334" s="36">
        <v>0</v>
      </c>
      <c r="H334" s="36">
        <v>0</v>
      </c>
      <c r="I334" s="37">
        <v>55278.06</v>
      </c>
    </row>
    <row r="335" spans="1:9" x14ac:dyDescent="0.2">
      <c r="A335" s="9"/>
      <c r="B335" s="2" t="s">
        <v>839</v>
      </c>
      <c r="C335" s="13">
        <v>45976</v>
      </c>
      <c r="D335" s="2">
        <v>194</v>
      </c>
      <c r="E335" s="35">
        <v>27225</v>
      </c>
      <c r="F335" s="36">
        <v>0</v>
      </c>
      <c r="G335" s="36">
        <v>0</v>
      </c>
      <c r="H335" s="36">
        <v>0</v>
      </c>
      <c r="I335" s="37">
        <v>27225</v>
      </c>
    </row>
    <row r="336" spans="1:9" x14ac:dyDescent="0.2">
      <c r="A336" s="9"/>
      <c r="B336" s="2" t="s">
        <v>1043</v>
      </c>
      <c r="C336" s="13">
        <v>45976</v>
      </c>
      <c r="D336" s="2">
        <v>194</v>
      </c>
      <c r="E336" s="35">
        <v>39204</v>
      </c>
      <c r="F336" s="36">
        <v>0</v>
      </c>
      <c r="G336" s="36">
        <v>0</v>
      </c>
      <c r="H336" s="36">
        <v>0</v>
      </c>
      <c r="I336" s="37">
        <v>39204</v>
      </c>
    </row>
    <row r="337" spans="1:9" x14ac:dyDescent="0.2">
      <c r="A337" s="9"/>
      <c r="B337" s="2" t="s">
        <v>1109</v>
      </c>
      <c r="C337" s="13">
        <v>45977</v>
      </c>
      <c r="D337" s="2">
        <v>193</v>
      </c>
      <c r="E337" s="35">
        <v>-39204</v>
      </c>
      <c r="F337" s="36">
        <v>0</v>
      </c>
      <c r="G337" s="36">
        <v>0</v>
      </c>
      <c r="H337" s="36">
        <v>0</v>
      </c>
      <c r="I337" s="37">
        <v>-39204</v>
      </c>
    </row>
    <row r="338" spans="1:9" x14ac:dyDescent="0.2">
      <c r="A338" s="9"/>
      <c r="B338" s="2" t="s">
        <v>832</v>
      </c>
      <c r="C338" s="13">
        <v>45977</v>
      </c>
      <c r="D338" s="2">
        <v>193</v>
      </c>
      <c r="E338" s="35">
        <v>26801.5</v>
      </c>
      <c r="F338" s="36">
        <v>0</v>
      </c>
      <c r="G338" s="36">
        <v>0</v>
      </c>
      <c r="H338" s="36">
        <v>0</v>
      </c>
      <c r="I338" s="37">
        <v>26801.5</v>
      </c>
    </row>
    <row r="339" spans="1:9" x14ac:dyDescent="0.2">
      <c r="A339" s="9"/>
      <c r="B339" s="2" t="s">
        <v>975</v>
      </c>
      <c r="C339" s="13">
        <v>45983</v>
      </c>
      <c r="D339" s="2">
        <v>187</v>
      </c>
      <c r="E339" s="35">
        <v>84518.5</v>
      </c>
      <c r="F339" s="36">
        <v>0</v>
      </c>
      <c r="G339" s="36">
        <v>0</v>
      </c>
      <c r="H339" s="36">
        <v>0</v>
      </c>
      <c r="I339" s="37">
        <v>84518.5</v>
      </c>
    </row>
    <row r="340" spans="1:9" x14ac:dyDescent="0.2">
      <c r="A340" s="9"/>
      <c r="B340" s="2" t="s">
        <v>565</v>
      </c>
      <c r="C340" s="13">
        <v>45987</v>
      </c>
      <c r="D340" s="2">
        <v>183</v>
      </c>
      <c r="E340" s="35">
        <v>49005</v>
      </c>
      <c r="F340" s="36">
        <v>0</v>
      </c>
      <c r="G340" s="36">
        <v>0</v>
      </c>
      <c r="H340" s="36">
        <v>0</v>
      </c>
      <c r="I340" s="37">
        <v>49005</v>
      </c>
    </row>
    <row r="341" spans="1:9" x14ac:dyDescent="0.2">
      <c r="A341" s="9"/>
      <c r="B341" s="2" t="s">
        <v>422</v>
      </c>
      <c r="C341" s="13">
        <v>45994</v>
      </c>
      <c r="D341" s="2">
        <v>176</v>
      </c>
      <c r="E341" s="35">
        <v>7623</v>
      </c>
      <c r="F341" s="36">
        <v>0</v>
      </c>
      <c r="G341" s="36">
        <v>0</v>
      </c>
      <c r="H341" s="36">
        <v>0</v>
      </c>
      <c r="I341" s="37">
        <v>7623</v>
      </c>
    </row>
    <row r="342" spans="1:9" x14ac:dyDescent="0.2">
      <c r="A342" s="9"/>
      <c r="B342" s="2" t="s">
        <v>1227</v>
      </c>
      <c r="C342" s="13">
        <v>45997</v>
      </c>
      <c r="D342" s="2">
        <v>173</v>
      </c>
      <c r="E342" s="35">
        <v>134103.89000000001</v>
      </c>
      <c r="F342" s="36">
        <v>0</v>
      </c>
      <c r="G342" s="36">
        <v>0</v>
      </c>
      <c r="H342" s="36">
        <v>0</v>
      </c>
      <c r="I342" s="37">
        <v>134103.89000000001</v>
      </c>
    </row>
    <row r="343" spans="1:9" x14ac:dyDescent="0.2">
      <c r="A343" s="9"/>
      <c r="B343" s="2" t="s">
        <v>595</v>
      </c>
      <c r="C343" s="13">
        <v>45997</v>
      </c>
      <c r="D343" s="2">
        <v>173</v>
      </c>
      <c r="E343" s="35">
        <v>86168.94</v>
      </c>
      <c r="F343" s="36">
        <v>0</v>
      </c>
      <c r="G343" s="36">
        <v>0</v>
      </c>
      <c r="H343" s="36">
        <v>0</v>
      </c>
      <c r="I343" s="37">
        <v>86168.94</v>
      </c>
    </row>
    <row r="344" spans="1:9" x14ac:dyDescent="0.2">
      <c r="A344" s="9"/>
      <c r="B344" s="2" t="s">
        <v>594</v>
      </c>
      <c r="C344" s="13">
        <v>45998</v>
      </c>
      <c r="D344" s="2">
        <v>172</v>
      </c>
      <c r="E344" s="35">
        <v>6534</v>
      </c>
      <c r="F344" s="36">
        <v>0</v>
      </c>
      <c r="G344" s="36">
        <v>0</v>
      </c>
      <c r="H344" s="36">
        <v>0</v>
      </c>
      <c r="I344" s="37">
        <v>6534</v>
      </c>
    </row>
    <row r="345" spans="1:9" x14ac:dyDescent="0.2">
      <c r="A345" s="9"/>
      <c r="B345" s="2" t="s">
        <v>905</v>
      </c>
      <c r="C345" s="13">
        <v>46001</v>
      </c>
      <c r="D345" s="2">
        <v>169</v>
      </c>
      <c r="E345" s="35">
        <v>9801</v>
      </c>
      <c r="F345" s="36">
        <v>0</v>
      </c>
      <c r="G345" s="36">
        <v>0</v>
      </c>
      <c r="H345" s="36">
        <v>0</v>
      </c>
      <c r="I345" s="37">
        <v>9801</v>
      </c>
    </row>
    <row r="346" spans="1:9" x14ac:dyDescent="0.2">
      <c r="A346" s="9"/>
      <c r="B346" s="2" t="s">
        <v>910</v>
      </c>
      <c r="C346" s="13">
        <v>46008</v>
      </c>
      <c r="D346" s="2">
        <v>162</v>
      </c>
      <c r="E346" s="35">
        <v>5445</v>
      </c>
      <c r="F346" s="36">
        <v>0</v>
      </c>
      <c r="G346" s="36">
        <v>0</v>
      </c>
      <c r="H346" s="36">
        <v>0</v>
      </c>
      <c r="I346" s="37">
        <v>5445</v>
      </c>
    </row>
    <row r="347" spans="1:9" x14ac:dyDescent="0.2">
      <c r="A347" s="9"/>
      <c r="B347" s="2" t="s">
        <v>909</v>
      </c>
      <c r="C347" s="13">
        <v>46008</v>
      </c>
      <c r="D347" s="2">
        <v>162</v>
      </c>
      <c r="E347" s="35">
        <v>9801</v>
      </c>
      <c r="F347" s="36">
        <v>0</v>
      </c>
      <c r="G347" s="36">
        <v>0</v>
      </c>
      <c r="H347" s="36">
        <v>0</v>
      </c>
      <c r="I347" s="37">
        <v>9801</v>
      </c>
    </row>
    <row r="348" spans="1:9" x14ac:dyDescent="0.2">
      <c r="A348" s="9"/>
      <c r="B348" s="2" t="s">
        <v>313</v>
      </c>
      <c r="C348" s="13">
        <v>46012</v>
      </c>
      <c r="D348" s="2">
        <v>158</v>
      </c>
      <c r="E348" s="35">
        <v>8712</v>
      </c>
      <c r="F348" s="36">
        <v>0</v>
      </c>
      <c r="G348" s="36">
        <v>0</v>
      </c>
      <c r="H348" s="36">
        <v>0</v>
      </c>
      <c r="I348" s="37">
        <v>8712</v>
      </c>
    </row>
    <row r="349" spans="1:9" x14ac:dyDescent="0.2">
      <c r="A349" s="9"/>
      <c r="B349" s="2" t="s">
        <v>306</v>
      </c>
      <c r="C349" s="13">
        <v>46012</v>
      </c>
      <c r="D349" s="2">
        <v>158</v>
      </c>
      <c r="E349" s="35">
        <v>-9801</v>
      </c>
      <c r="F349" s="36">
        <v>0</v>
      </c>
      <c r="G349" s="36">
        <v>0</v>
      </c>
      <c r="H349" s="36">
        <v>0</v>
      </c>
      <c r="I349" s="37">
        <v>-9801</v>
      </c>
    </row>
    <row r="350" spans="1:9" x14ac:dyDescent="0.2">
      <c r="A350" s="9"/>
      <c r="B350" s="2" t="s">
        <v>307</v>
      </c>
      <c r="C350" s="13">
        <v>46015</v>
      </c>
      <c r="D350" s="2">
        <v>155</v>
      </c>
      <c r="E350" s="35">
        <v>5445</v>
      </c>
      <c r="F350" s="36">
        <v>0</v>
      </c>
      <c r="G350" s="36">
        <v>0</v>
      </c>
      <c r="H350" s="36">
        <v>0</v>
      </c>
      <c r="I350" s="37">
        <v>5445</v>
      </c>
    </row>
    <row r="351" spans="1:9" x14ac:dyDescent="0.2">
      <c r="A351" s="9"/>
      <c r="B351" s="2" t="s">
        <v>308</v>
      </c>
      <c r="C351" s="13">
        <v>46015</v>
      </c>
      <c r="D351" s="2">
        <v>155</v>
      </c>
      <c r="E351" s="35">
        <v>54450.36</v>
      </c>
      <c r="F351" s="36">
        <v>0</v>
      </c>
      <c r="G351" s="36">
        <v>0</v>
      </c>
      <c r="H351" s="36">
        <v>0</v>
      </c>
      <c r="I351" s="37">
        <v>54450.36</v>
      </c>
    </row>
    <row r="352" spans="1:9" x14ac:dyDescent="0.2">
      <c r="A352" s="9"/>
      <c r="B352" s="2" t="s">
        <v>317</v>
      </c>
      <c r="C352" s="13">
        <v>46019</v>
      </c>
      <c r="D352" s="2">
        <v>151</v>
      </c>
      <c r="E352" s="35">
        <v>54678.41</v>
      </c>
      <c r="F352" s="36">
        <v>0</v>
      </c>
      <c r="G352" s="36">
        <v>0</v>
      </c>
      <c r="H352" s="36">
        <v>0</v>
      </c>
      <c r="I352" s="37">
        <v>54678.41</v>
      </c>
    </row>
    <row r="353" spans="1:9" x14ac:dyDescent="0.2">
      <c r="A353" s="9"/>
      <c r="B353" s="2" t="s">
        <v>388</v>
      </c>
      <c r="C353" s="13">
        <v>46022</v>
      </c>
      <c r="D353" s="2">
        <v>148</v>
      </c>
      <c r="E353" s="35">
        <v>11979</v>
      </c>
      <c r="F353" s="36">
        <v>0</v>
      </c>
      <c r="G353" s="36">
        <v>0</v>
      </c>
      <c r="H353" s="36">
        <v>0</v>
      </c>
      <c r="I353" s="37">
        <v>11979</v>
      </c>
    </row>
    <row r="354" spans="1:9" x14ac:dyDescent="0.2">
      <c r="A354" s="9"/>
      <c r="B354" s="2" t="s">
        <v>1143</v>
      </c>
      <c r="C354" s="13">
        <v>46022</v>
      </c>
      <c r="D354" s="2">
        <v>148</v>
      </c>
      <c r="E354" s="35">
        <v>20790</v>
      </c>
      <c r="F354" s="36">
        <v>0</v>
      </c>
      <c r="G354" s="36">
        <v>0</v>
      </c>
      <c r="H354" s="36">
        <v>0</v>
      </c>
      <c r="I354" s="37">
        <v>20790</v>
      </c>
    </row>
    <row r="355" spans="1:9" x14ac:dyDescent="0.2">
      <c r="A355" s="9"/>
      <c r="B355" s="2" t="s">
        <v>798</v>
      </c>
      <c r="C355" s="13">
        <v>46025</v>
      </c>
      <c r="D355" s="2">
        <v>145</v>
      </c>
      <c r="E355" s="35">
        <v>-20790</v>
      </c>
      <c r="F355" s="36">
        <v>0</v>
      </c>
      <c r="G355" s="36">
        <v>0</v>
      </c>
      <c r="H355" s="36">
        <v>0</v>
      </c>
      <c r="I355" s="37">
        <v>-20790</v>
      </c>
    </row>
    <row r="356" spans="1:9" x14ac:dyDescent="0.2">
      <c r="A356" s="9"/>
      <c r="B356" s="2" t="s">
        <v>1234</v>
      </c>
      <c r="C356" s="13">
        <v>46025</v>
      </c>
      <c r="D356" s="2">
        <v>145</v>
      </c>
      <c r="E356" s="35">
        <v>22869</v>
      </c>
      <c r="F356" s="36">
        <v>0</v>
      </c>
      <c r="G356" s="36">
        <v>0</v>
      </c>
      <c r="H356" s="36">
        <v>0</v>
      </c>
      <c r="I356" s="37">
        <v>22869</v>
      </c>
    </row>
    <row r="357" spans="1:9" x14ac:dyDescent="0.2">
      <c r="A357" s="9"/>
      <c r="B357" s="2" t="s">
        <v>899</v>
      </c>
      <c r="C357" s="13">
        <v>46022</v>
      </c>
      <c r="D357" s="2">
        <v>148</v>
      </c>
      <c r="E357" s="35">
        <v>18778.72</v>
      </c>
      <c r="F357" s="36">
        <v>0</v>
      </c>
      <c r="G357" s="36">
        <v>0</v>
      </c>
      <c r="H357" s="36">
        <v>0</v>
      </c>
      <c r="I357" s="37">
        <v>18778.72</v>
      </c>
    </row>
    <row r="358" spans="1:9" x14ac:dyDescent="0.2">
      <c r="A358" s="9"/>
      <c r="B358" s="2" t="s">
        <v>379</v>
      </c>
      <c r="C358" s="13">
        <v>46033</v>
      </c>
      <c r="D358" s="2">
        <v>137</v>
      </c>
      <c r="E358" s="35">
        <v>34848</v>
      </c>
      <c r="F358" s="36">
        <v>0</v>
      </c>
      <c r="G358" s="36">
        <v>0</v>
      </c>
      <c r="H358" s="36">
        <v>0</v>
      </c>
      <c r="I358" s="37">
        <v>34848</v>
      </c>
    </row>
    <row r="359" spans="1:9" x14ac:dyDescent="0.2">
      <c r="A359" s="9"/>
      <c r="B359" s="2" t="s">
        <v>1206</v>
      </c>
      <c r="C359" s="13">
        <v>46040</v>
      </c>
      <c r="D359" s="2">
        <v>130</v>
      </c>
      <c r="E359" s="35">
        <v>7623</v>
      </c>
      <c r="F359" s="36">
        <v>0</v>
      </c>
      <c r="G359" s="36">
        <v>0</v>
      </c>
      <c r="H359" s="36">
        <v>0</v>
      </c>
      <c r="I359" s="37">
        <v>7623</v>
      </c>
    </row>
    <row r="360" spans="1:9" x14ac:dyDescent="0.2">
      <c r="A360" s="9"/>
      <c r="B360" s="2" t="s">
        <v>698</v>
      </c>
      <c r="C360" s="13">
        <v>46058</v>
      </c>
      <c r="D360" s="2">
        <v>112</v>
      </c>
      <c r="E360" s="35">
        <v>8167.5</v>
      </c>
      <c r="F360" s="36">
        <v>0</v>
      </c>
      <c r="G360" s="36">
        <v>0</v>
      </c>
      <c r="H360" s="36">
        <v>0</v>
      </c>
      <c r="I360" s="37">
        <v>8167.5</v>
      </c>
    </row>
    <row r="361" spans="1:9" x14ac:dyDescent="0.2">
      <c r="A361" s="9"/>
      <c r="B361" s="2" t="s">
        <v>102</v>
      </c>
      <c r="C361" s="13">
        <v>46071</v>
      </c>
      <c r="D361" s="2">
        <v>99</v>
      </c>
      <c r="E361" s="35">
        <v>44104.5</v>
      </c>
      <c r="F361" s="36">
        <v>0</v>
      </c>
      <c r="G361" s="36">
        <v>0</v>
      </c>
      <c r="H361" s="36">
        <v>0</v>
      </c>
      <c r="I361" s="37">
        <v>44104.5</v>
      </c>
    </row>
    <row r="362" spans="1:9" x14ac:dyDescent="0.2">
      <c r="A362" s="9"/>
      <c r="B362" s="2" t="s">
        <v>99</v>
      </c>
      <c r="C362" s="13">
        <v>46074</v>
      </c>
      <c r="D362" s="2">
        <v>96</v>
      </c>
      <c r="E362" s="35">
        <v>6969.6</v>
      </c>
      <c r="F362" s="36">
        <v>0</v>
      </c>
      <c r="G362" s="36">
        <v>0</v>
      </c>
      <c r="H362" s="36">
        <v>0</v>
      </c>
      <c r="I362" s="37">
        <v>6969.6</v>
      </c>
    </row>
    <row r="363" spans="1:9" x14ac:dyDescent="0.2">
      <c r="A363" s="9"/>
      <c r="B363" s="2" t="s">
        <v>896</v>
      </c>
      <c r="C363" s="13">
        <v>46079</v>
      </c>
      <c r="D363" s="2">
        <v>91</v>
      </c>
      <c r="E363" s="35">
        <v>88211.31</v>
      </c>
      <c r="F363" s="36">
        <v>0</v>
      </c>
      <c r="G363" s="36">
        <v>0</v>
      </c>
      <c r="H363" s="36">
        <v>0</v>
      </c>
      <c r="I363" s="37">
        <v>88211.31</v>
      </c>
    </row>
    <row r="364" spans="1:9" x14ac:dyDescent="0.2">
      <c r="A364" s="9"/>
      <c r="B364" s="2" t="s">
        <v>590</v>
      </c>
      <c r="C364" s="13">
        <v>46085</v>
      </c>
      <c r="D364" s="2">
        <v>85</v>
      </c>
      <c r="E364" s="35">
        <v>7078.5</v>
      </c>
      <c r="F364" s="36">
        <v>0</v>
      </c>
      <c r="G364" s="36">
        <v>0</v>
      </c>
      <c r="H364" s="36">
        <v>7078.5</v>
      </c>
      <c r="I364" s="37">
        <v>0</v>
      </c>
    </row>
    <row r="365" spans="1:9" x14ac:dyDescent="0.2">
      <c r="A365" s="9"/>
      <c r="B365" s="2" t="s">
        <v>6</v>
      </c>
      <c r="C365" s="13">
        <v>46092</v>
      </c>
      <c r="D365" s="2">
        <v>78</v>
      </c>
      <c r="E365" s="35">
        <v>90757.04</v>
      </c>
      <c r="F365" s="36">
        <v>0</v>
      </c>
      <c r="G365" s="36">
        <v>0</v>
      </c>
      <c r="H365" s="36">
        <v>90757.04</v>
      </c>
      <c r="I365" s="37">
        <v>0</v>
      </c>
    </row>
    <row r="366" spans="1:9" x14ac:dyDescent="0.2">
      <c r="A366" s="9"/>
      <c r="B366" s="2" t="s">
        <v>7</v>
      </c>
      <c r="C366" s="13">
        <v>46092</v>
      </c>
      <c r="D366" s="2">
        <v>78</v>
      </c>
      <c r="E366" s="35">
        <v>25482.6</v>
      </c>
      <c r="F366" s="36">
        <v>0</v>
      </c>
      <c r="G366" s="36">
        <v>0</v>
      </c>
      <c r="H366" s="36">
        <v>25482.6</v>
      </c>
      <c r="I366" s="37">
        <v>0</v>
      </c>
    </row>
    <row r="367" spans="1:9" x14ac:dyDescent="0.2">
      <c r="A367" s="9"/>
      <c r="B367" s="2" t="s">
        <v>1</v>
      </c>
      <c r="C367" s="13">
        <v>46106</v>
      </c>
      <c r="D367" s="2">
        <v>64</v>
      </c>
      <c r="E367" s="35">
        <v>22732.880000000001</v>
      </c>
      <c r="F367" s="36">
        <v>0</v>
      </c>
      <c r="G367" s="36">
        <v>0</v>
      </c>
      <c r="H367" s="36">
        <v>22732.880000000001</v>
      </c>
      <c r="I367" s="37">
        <v>0</v>
      </c>
    </row>
    <row r="368" spans="1:9" x14ac:dyDescent="0.2">
      <c r="A368" s="9"/>
      <c r="B368" s="2" t="s">
        <v>1305</v>
      </c>
      <c r="C368" s="13">
        <v>46106</v>
      </c>
      <c r="D368" s="2">
        <v>64</v>
      </c>
      <c r="E368" s="35">
        <v>22732.880000000001</v>
      </c>
      <c r="F368" s="36">
        <v>0</v>
      </c>
      <c r="G368" s="36">
        <v>0</v>
      </c>
      <c r="H368" s="36">
        <v>22732.880000000001</v>
      </c>
      <c r="I368" s="37">
        <v>0</v>
      </c>
    </row>
    <row r="369" spans="1:9" x14ac:dyDescent="0.2">
      <c r="A369" s="9"/>
      <c r="B369" s="2" t="s">
        <v>1027</v>
      </c>
      <c r="C369" s="13">
        <v>46106</v>
      </c>
      <c r="D369" s="2">
        <v>64</v>
      </c>
      <c r="E369" s="35">
        <v>9801</v>
      </c>
      <c r="F369" s="36">
        <v>0</v>
      </c>
      <c r="G369" s="36">
        <v>0</v>
      </c>
      <c r="H369" s="36">
        <v>9801</v>
      </c>
      <c r="I369" s="37">
        <v>0</v>
      </c>
    </row>
    <row r="370" spans="1:9" x14ac:dyDescent="0.2">
      <c r="A370" s="9"/>
      <c r="B370" s="2" t="s">
        <v>462</v>
      </c>
      <c r="C370" s="13">
        <v>46110</v>
      </c>
      <c r="D370" s="2">
        <v>60</v>
      </c>
      <c r="E370" s="35">
        <v>8712</v>
      </c>
      <c r="F370" s="36">
        <v>0</v>
      </c>
      <c r="G370" s="36">
        <v>8712</v>
      </c>
      <c r="H370" s="36">
        <v>0</v>
      </c>
      <c r="I370" s="37">
        <v>0</v>
      </c>
    </row>
    <row r="371" spans="1:9" x14ac:dyDescent="0.2">
      <c r="A371" s="9"/>
      <c r="B371" s="2" t="s">
        <v>53</v>
      </c>
      <c r="C371" s="13">
        <v>46124</v>
      </c>
      <c r="D371" s="2">
        <v>46</v>
      </c>
      <c r="E371" s="35">
        <v>79225.84</v>
      </c>
      <c r="F371" s="36">
        <v>0</v>
      </c>
      <c r="G371" s="36">
        <v>79225.84</v>
      </c>
      <c r="H371" s="36">
        <v>0</v>
      </c>
      <c r="I371" s="37">
        <v>0</v>
      </c>
    </row>
    <row r="372" spans="1:9" x14ac:dyDescent="0.2">
      <c r="A372" s="9"/>
      <c r="B372" s="2" t="s">
        <v>62</v>
      </c>
      <c r="C372" s="13">
        <v>46131</v>
      </c>
      <c r="D372" s="2">
        <v>39</v>
      </c>
      <c r="E372" s="35">
        <v>25047</v>
      </c>
      <c r="F372" s="36">
        <v>0</v>
      </c>
      <c r="G372" s="36">
        <v>25047</v>
      </c>
      <c r="H372" s="36">
        <v>0</v>
      </c>
      <c r="I372" s="37">
        <v>0</v>
      </c>
    </row>
    <row r="373" spans="1:9" x14ac:dyDescent="0.2">
      <c r="A373" s="9"/>
      <c r="B373" s="2" t="s">
        <v>1204</v>
      </c>
      <c r="C373" s="13">
        <v>46135</v>
      </c>
      <c r="D373" s="2">
        <v>35</v>
      </c>
      <c r="E373" s="35">
        <v>30492</v>
      </c>
      <c r="F373" s="36">
        <v>0</v>
      </c>
      <c r="G373" s="36">
        <v>30492</v>
      </c>
      <c r="H373" s="36">
        <v>0</v>
      </c>
      <c r="I373" s="37">
        <v>0</v>
      </c>
    </row>
    <row r="374" spans="1:9" x14ac:dyDescent="0.2">
      <c r="A374" s="9"/>
      <c r="B374" s="2" t="s">
        <v>621</v>
      </c>
      <c r="C374" s="13">
        <v>46135</v>
      </c>
      <c r="D374" s="2">
        <v>35</v>
      </c>
      <c r="E374" s="35">
        <v>32125.5</v>
      </c>
      <c r="F374" s="36">
        <v>0</v>
      </c>
      <c r="G374" s="36">
        <v>32125.5</v>
      </c>
      <c r="H374" s="36">
        <v>0</v>
      </c>
      <c r="I374" s="37">
        <v>0</v>
      </c>
    </row>
    <row r="375" spans="1:9" x14ac:dyDescent="0.2">
      <c r="A375" s="9"/>
      <c r="B375" s="2" t="s">
        <v>626</v>
      </c>
      <c r="C375" s="13">
        <v>46137</v>
      </c>
      <c r="D375" s="2">
        <v>33</v>
      </c>
      <c r="E375" s="35">
        <v>53656.98</v>
      </c>
      <c r="F375" s="36">
        <v>0</v>
      </c>
      <c r="G375" s="36">
        <v>53656.98</v>
      </c>
      <c r="H375" s="36">
        <v>0</v>
      </c>
      <c r="I375" s="37">
        <v>0</v>
      </c>
    </row>
    <row r="376" spans="1:9" x14ac:dyDescent="0.2">
      <c r="A376" s="9"/>
      <c r="B376" s="2" t="s">
        <v>122</v>
      </c>
      <c r="C376" s="13">
        <v>46138</v>
      </c>
      <c r="D376" s="2">
        <v>32</v>
      </c>
      <c r="E376" s="35">
        <v>14157</v>
      </c>
      <c r="F376" s="36">
        <v>0</v>
      </c>
      <c r="G376" s="36">
        <v>14157</v>
      </c>
      <c r="H376" s="36">
        <v>0</v>
      </c>
      <c r="I376" s="37">
        <v>0</v>
      </c>
    </row>
    <row r="377" spans="1:9" x14ac:dyDescent="0.2">
      <c r="A377" s="9"/>
      <c r="B377" s="2" t="s">
        <v>447</v>
      </c>
      <c r="C377" s="13">
        <v>46144</v>
      </c>
      <c r="D377" s="2">
        <v>26</v>
      </c>
      <c r="E377" s="35">
        <v>59895</v>
      </c>
      <c r="F377" s="36">
        <v>59895</v>
      </c>
      <c r="G377" s="36">
        <v>0</v>
      </c>
      <c r="H377" s="36">
        <v>0</v>
      </c>
      <c r="I377" s="37">
        <v>0</v>
      </c>
    </row>
    <row r="378" spans="1:9" x14ac:dyDescent="0.2">
      <c r="A378" s="9"/>
      <c r="B378" s="2" t="s">
        <v>23</v>
      </c>
      <c r="C378" s="13">
        <v>46151</v>
      </c>
      <c r="D378" s="2">
        <v>19</v>
      </c>
      <c r="E378" s="35">
        <v>57746.02</v>
      </c>
      <c r="F378" s="36">
        <v>57746.02</v>
      </c>
      <c r="G378" s="36">
        <v>0</v>
      </c>
      <c r="H378" s="36">
        <v>0</v>
      </c>
      <c r="I378" s="37">
        <v>0</v>
      </c>
    </row>
    <row r="379" spans="1:9" x14ac:dyDescent="0.2">
      <c r="A379" s="9"/>
      <c r="B379" s="2" t="s">
        <v>502</v>
      </c>
      <c r="C379" s="13">
        <v>46157</v>
      </c>
      <c r="D379" s="2">
        <v>13</v>
      </c>
      <c r="E379" s="35">
        <v>5445</v>
      </c>
      <c r="F379" s="36">
        <v>5445</v>
      </c>
      <c r="G379" s="36">
        <v>0</v>
      </c>
      <c r="H379" s="36">
        <v>0</v>
      </c>
      <c r="I379" s="37">
        <v>0</v>
      </c>
    </row>
    <row r="380" spans="1:9" x14ac:dyDescent="0.2">
      <c r="A380" s="9"/>
      <c r="B380" s="2" t="s">
        <v>1299</v>
      </c>
      <c r="C380" s="13">
        <v>46159</v>
      </c>
      <c r="D380" s="2">
        <v>11</v>
      </c>
      <c r="E380" s="35">
        <v>26462.880000000001</v>
      </c>
      <c r="F380" s="36">
        <v>26462.880000000001</v>
      </c>
      <c r="G380" s="36">
        <v>0</v>
      </c>
      <c r="H380" s="36">
        <v>0</v>
      </c>
      <c r="I380" s="37">
        <v>0</v>
      </c>
    </row>
    <row r="381" spans="1:9" x14ac:dyDescent="0.2">
      <c r="A381" s="9"/>
      <c r="B381" s="2" t="s">
        <v>507</v>
      </c>
      <c r="C381" s="13">
        <v>46159</v>
      </c>
      <c r="D381" s="2">
        <v>11</v>
      </c>
      <c r="E381" s="35">
        <v>10890</v>
      </c>
      <c r="F381" s="36">
        <v>10890</v>
      </c>
      <c r="G381" s="36">
        <v>0</v>
      </c>
      <c r="H381" s="36">
        <v>0</v>
      </c>
      <c r="I381" s="37">
        <v>0</v>
      </c>
    </row>
    <row r="382" spans="1:9" x14ac:dyDescent="0.2">
      <c r="A382" s="9"/>
      <c r="B382" s="2" t="s">
        <v>506</v>
      </c>
      <c r="C382" s="13">
        <v>46163</v>
      </c>
      <c r="D382" s="2">
        <v>7</v>
      </c>
      <c r="E382" s="35">
        <v>5230.8100000000004</v>
      </c>
      <c r="F382" s="36">
        <v>5230.8100000000004</v>
      </c>
      <c r="G382" s="36">
        <v>0</v>
      </c>
      <c r="H382" s="36">
        <v>0</v>
      </c>
      <c r="I382" s="37">
        <v>0</v>
      </c>
    </row>
    <row r="383" spans="1:9" x14ac:dyDescent="0.2">
      <c r="A383" s="9"/>
      <c r="B383" s="2" t="s">
        <v>18</v>
      </c>
      <c r="C383" s="13">
        <v>46163</v>
      </c>
      <c r="D383" s="2">
        <v>7</v>
      </c>
      <c r="E383" s="35">
        <v>3497.57</v>
      </c>
      <c r="F383" s="36">
        <v>3497.57</v>
      </c>
      <c r="G383" s="36">
        <v>0</v>
      </c>
      <c r="H383" s="36">
        <v>0</v>
      </c>
      <c r="I383" s="37">
        <v>0</v>
      </c>
    </row>
    <row r="384" spans="1:9" x14ac:dyDescent="0.2">
      <c r="A384" s="9"/>
      <c r="B384" s="2" t="s">
        <v>1124</v>
      </c>
      <c r="C384" s="13">
        <v>45491</v>
      </c>
      <c r="D384" s="2">
        <v>679</v>
      </c>
      <c r="E384" s="35">
        <v>45540.44</v>
      </c>
      <c r="F384" s="36">
        <v>0</v>
      </c>
      <c r="G384" s="36">
        <v>0</v>
      </c>
      <c r="H384" s="36">
        <v>0</v>
      </c>
      <c r="I384" s="37">
        <v>45540.44</v>
      </c>
    </row>
    <row r="385" spans="1:9" x14ac:dyDescent="0.2">
      <c r="A385" s="9"/>
      <c r="B385" s="2" t="s">
        <v>259</v>
      </c>
      <c r="C385" s="13">
        <v>45500</v>
      </c>
      <c r="D385" s="2">
        <v>670</v>
      </c>
      <c r="E385" s="35">
        <v>64595.11</v>
      </c>
      <c r="F385" s="36">
        <v>0</v>
      </c>
      <c r="G385" s="36">
        <v>0</v>
      </c>
      <c r="H385" s="36">
        <v>0</v>
      </c>
      <c r="I385" s="37">
        <v>64595.11</v>
      </c>
    </row>
    <row r="386" spans="1:9" x14ac:dyDescent="0.2">
      <c r="A386" s="9"/>
      <c r="B386" s="2" t="s">
        <v>261</v>
      </c>
      <c r="C386" s="13">
        <v>45505</v>
      </c>
      <c r="D386" s="2">
        <v>665</v>
      </c>
      <c r="E386" s="35">
        <v>63218.87</v>
      </c>
      <c r="F386" s="36">
        <v>0</v>
      </c>
      <c r="G386" s="36">
        <v>0</v>
      </c>
      <c r="H386" s="36">
        <v>0</v>
      </c>
      <c r="I386" s="37">
        <v>63218.87</v>
      </c>
    </row>
    <row r="387" spans="1:9" x14ac:dyDescent="0.2">
      <c r="A387" s="9"/>
      <c r="B387" s="2" t="s">
        <v>347</v>
      </c>
      <c r="C387" s="13">
        <v>45512</v>
      </c>
      <c r="D387" s="2">
        <v>658</v>
      </c>
      <c r="E387" s="35">
        <v>-25155.9</v>
      </c>
      <c r="F387" s="36">
        <v>0</v>
      </c>
      <c r="G387" s="36">
        <v>0</v>
      </c>
      <c r="H387" s="36">
        <v>0</v>
      </c>
      <c r="I387" s="37">
        <v>-25155.9</v>
      </c>
    </row>
    <row r="388" spans="1:9" x14ac:dyDescent="0.2">
      <c r="A388" s="9"/>
      <c r="B388" s="2" t="s">
        <v>247</v>
      </c>
      <c r="C388" s="13">
        <v>45512</v>
      </c>
      <c r="D388" s="2">
        <v>658</v>
      </c>
      <c r="E388" s="35">
        <v>19602</v>
      </c>
      <c r="F388" s="36">
        <v>0</v>
      </c>
      <c r="G388" s="36">
        <v>0</v>
      </c>
      <c r="H388" s="36">
        <v>0</v>
      </c>
      <c r="I388" s="37">
        <v>19602</v>
      </c>
    </row>
    <row r="389" spans="1:9" x14ac:dyDescent="0.2">
      <c r="A389" s="9"/>
      <c r="B389" s="2" t="s">
        <v>588</v>
      </c>
      <c r="C389" s="13">
        <v>45536</v>
      </c>
      <c r="D389" s="2">
        <v>634</v>
      </c>
      <c r="E389" s="35">
        <v>1815</v>
      </c>
      <c r="F389" s="36">
        <v>0</v>
      </c>
      <c r="G389" s="36">
        <v>0</v>
      </c>
      <c r="H389" s="36">
        <v>0</v>
      </c>
      <c r="I389" s="37">
        <v>1815</v>
      </c>
    </row>
    <row r="390" spans="1:9" x14ac:dyDescent="0.2">
      <c r="A390" s="9"/>
      <c r="B390" s="2" t="s">
        <v>587</v>
      </c>
      <c r="C390" s="13">
        <v>45539</v>
      </c>
      <c r="D390" s="2">
        <v>631</v>
      </c>
      <c r="E390" s="35">
        <v>21845.34</v>
      </c>
      <c r="F390" s="36">
        <v>0</v>
      </c>
      <c r="G390" s="36">
        <v>0</v>
      </c>
      <c r="H390" s="36">
        <v>0</v>
      </c>
      <c r="I390" s="37">
        <v>21845.34</v>
      </c>
    </row>
    <row r="391" spans="1:9" x14ac:dyDescent="0.2">
      <c r="A391" s="9"/>
      <c r="B391" s="2" t="s">
        <v>586</v>
      </c>
      <c r="C391" s="13">
        <v>45539</v>
      </c>
      <c r="D391" s="2">
        <v>631</v>
      </c>
      <c r="E391" s="35">
        <v>32365.83</v>
      </c>
      <c r="F391" s="36">
        <v>0</v>
      </c>
      <c r="G391" s="36">
        <v>0</v>
      </c>
      <c r="H391" s="36">
        <v>0</v>
      </c>
      <c r="I391" s="37">
        <v>32365.83</v>
      </c>
    </row>
    <row r="392" spans="1:9" x14ac:dyDescent="0.2">
      <c r="A392" s="9"/>
      <c r="B392" s="2" t="s">
        <v>995</v>
      </c>
      <c r="C392" s="13">
        <v>45549</v>
      </c>
      <c r="D392" s="2">
        <v>621</v>
      </c>
      <c r="E392" s="35">
        <v>3539.25</v>
      </c>
      <c r="F392" s="36">
        <v>0</v>
      </c>
      <c r="G392" s="36">
        <v>0</v>
      </c>
      <c r="H392" s="36">
        <v>0</v>
      </c>
      <c r="I392" s="37">
        <v>3539.25</v>
      </c>
    </row>
    <row r="393" spans="1:9" x14ac:dyDescent="0.2">
      <c r="A393" s="9"/>
      <c r="B393" s="2" t="s">
        <v>522</v>
      </c>
      <c r="C393" s="13">
        <v>45560</v>
      </c>
      <c r="D393" s="2">
        <v>610</v>
      </c>
      <c r="E393" s="35">
        <v>16694.41</v>
      </c>
      <c r="F393" s="36">
        <v>0</v>
      </c>
      <c r="G393" s="36">
        <v>0</v>
      </c>
      <c r="H393" s="36">
        <v>0</v>
      </c>
      <c r="I393" s="37">
        <v>16694.41</v>
      </c>
    </row>
    <row r="394" spans="1:9" x14ac:dyDescent="0.2">
      <c r="A394" s="9"/>
      <c r="B394" s="2" t="s">
        <v>523</v>
      </c>
      <c r="C394" s="13">
        <v>45560</v>
      </c>
      <c r="D394" s="2">
        <v>610</v>
      </c>
      <c r="E394" s="35">
        <v>33215.089999999997</v>
      </c>
      <c r="F394" s="36">
        <v>0</v>
      </c>
      <c r="G394" s="36">
        <v>0</v>
      </c>
      <c r="H394" s="36">
        <v>0</v>
      </c>
      <c r="I394" s="37">
        <v>33215.089999999997</v>
      </c>
    </row>
    <row r="395" spans="1:9" x14ac:dyDescent="0.2">
      <c r="A395" s="9"/>
      <c r="B395" s="2" t="s">
        <v>521</v>
      </c>
      <c r="C395" s="13">
        <v>45562</v>
      </c>
      <c r="D395" s="2">
        <v>608</v>
      </c>
      <c r="E395" s="35">
        <v>55422.62</v>
      </c>
      <c r="F395" s="36">
        <v>0</v>
      </c>
      <c r="G395" s="36">
        <v>0</v>
      </c>
      <c r="H395" s="36">
        <v>0</v>
      </c>
      <c r="I395" s="37">
        <v>55422.62</v>
      </c>
    </row>
    <row r="396" spans="1:9" x14ac:dyDescent="0.2">
      <c r="A396" s="9"/>
      <c r="B396" s="2" t="s">
        <v>153</v>
      </c>
      <c r="C396" s="13">
        <v>45568</v>
      </c>
      <c r="D396" s="2">
        <v>602</v>
      </c>
      <c r="E396" s="35">
        <v>54450</v>
      </c>
      <c r="F396" s="36">
        <v>0</v>
      </c>
      <c r="G396" s="36">
        <v>0</v>
      </c>
      <c r="H396" s="36">
        <v>0</v>
      </c>
      <c r="I396" s="37">
        <v>54450</v>
      </c>
    </row>
    <row r="397" spans="1:9" x14ac:dyDescent="0.2">
      <c r="A397" s="9"/>
      <c r="B397" s="2" t="s">
        <v>825</v>
      </c>
      <c r="C397" s="13">
        <v>45570</v>
      </c>
      <c r="D397" s="2">
        <v>600</v>
      </c>
      <c r="E397" s="35">
        <v>23685.75</v>
      </c>
      <c r="F397" s="36">
        <v>0</v>
      </c>
      <c r="G397" s="36">
        <v>0</v>
      </c>
      <c r="H397" s="36">
        <v>0</v>
      </c>
      <c r="I397" s="37">
        <v>23685.75</v>
      </c>
    </row>
    <row r="398" spans="1:9" x14ac:dyDescent="0.2">
      <c r="A398" s="9"/>
      <c r="B398" s="2" t="s">
        <v>836</v>
      </c>
      <c r="C398" s="13">
        <v>45571</v>
      </c>
      <c r="D398" s="2">
        <v>599</v>
      </c>
      <c r="E398" s="35">
        <v>32716.560000000001</v>
      </c>
      <c r="F398" s="36">
        <v>0</v>
      </c>
      <c r="G398" s="36">
        <v>0</v>
      </c>
      <c r="H398" s="36">
        <v>0</v>
      </c>
      <c r="I398" s="37">
        <v>32716.560000000001</v>
      </c>
    </row>
    <row r="399" spans="1:9" x14ac:dyDescent="0.2">
      <c r="A399" s="9"/>
      <c r="B399" s="2" t="s">
        <v>1310</v>
      </c>
      <c r="C399" s="13">
        <v>45578</v>
      </c>
      <c r="D399" s="2">
        <v>592</v>
      </c>
      <c r="E399" s="35">
        <v>71625.08</v>
      </c>
      <c r="F399" s="36">
        <v>0</v>
      </c>
      <c r="G399" s="36">
        <v>0</v>
      </c>
      <c r="H399" s="36">
        <v>0</v>
      </c>
      <c r="I399" s="37">
        <v>71625.08</v>
      </c>
    </row>
    <row r="400" spans="1:9" x14ac:dyDescent="0.2">
      <c r="A400" s="9"/>
      <c r="B400" s="2" t="s">
        <v>483</v>
      </c>
      <c r="C400" s="13">
        <v>45595</v>
      </c>
      <c r="D400" s="2">
        <v>575</v>
      </c>
      <c r="E400" s="35">
        <v>25591.5</v>
      </c>
      <c r="F400" s="36">
        <v>0</v>
      </c>
      <c r="G400" s="36">
        <v>0</v>
      </c>
      <c r="H400" s="36">
        <v>0</v>
      </c>
      <c r="I400" s="37">
        <v>25591.5</v>
      </c>
    </row>
    <row r="401" spans="1:9" x14ac:dyDescent="0.2">
      <c r="A401" s="9"/>
      <c r="B401" s="2" t="s">
        <v>481</v>
      </c>
      <c r="C401" s="13">
        <v>45595</v>
      </c>
      <c r="D401" s="2">
        <v>575</v>
      </c>
      <c r="E401" s="35">
        <v>3049.2</v>
      </c>
      <c r="F401" s="36">
        <v>0</v>
      </c>
      <c r="G401" s="36">
        <v>0</v>
      </c>
      <c r="H401" s="36">
        <v>0</v>
      </c>
      <c r="I401" s="37">
        <v>3049.2</v>
      </c>
    </row>
    <row r="402" spans="1:9" x14ac:dyDescent="0.2">
      <c r="A402" s="9"/>
      <c r="B402" s="2" t="s">
        <v>583</v>
      </c>
      <c r="C402" s="13">
        <v>45610</v>
      </c>
      <c r="D402" s="2">
        <v>560</v>
      </c>
      <c r="E402" s="35">
        <v>10617.75</v>
      </c>
      <c r="F402" s="36">
        <v>0</v>
      </c>
      <c r="G402" s="36">
        <v>0</v>
      </c>
      <c r="H402" s="36">
        <v>0</v>
      </c>
      <c r="I402" s="37">
        <v>10617.75</v>
      </c>
    </row>
    <row r="403" spans="1:9" x14ac:dyDescent="0.2">
      <c r="A403" s="9"/>
      <c r="B403" s="2" t="s">
        <v>591</v>
      </c>
      <c r="C403" s="13">
        <v>45619</v>
      </c>
      <c r="D403" s="2">
        <v>551</v>
      </c>
      <c r="E403" s="35">
        <v>15790.5</v>
      </c>
      <c r="F403" s="36">
        <v>0</v>
      </c>
      <c r="G403" s="36">
        <v>0</v>
      </c>
      <c r="H403" s="36">
        <v>0</v>
      </c>
      <c r="I403" s="37">
        <v>15790.5</v>
      </c>
    </row>
    <row r="404" spans="1:9" x14ac:dyDescent="0.2">
      <c r="A404" s="9"/>
      <c r="B404" s="2" t="s">
        <v>1064</v>
      </c>
      <c r="C404" s="13">
        <v>45619</v>
      </c>
      <c r="D404" s="2">
        <v>551</v>
      </c>
      <c r="E404" s="35">
        <v>60831.54</v>
      </c>
      <c r="F404" s="36">
        <v>0</v>
      </c>
      <c r="G404" s="36">
        <v>0</v>
      </c>
      <c r="H404" s="36">
        <v>0</v>
      </c>
      <c r="I404" s="37">
        <v>60831.54</v>
      </c>
    </row>
    <row r="405" spans="1:9" x14ac:dyDescent="0.2">
      <c r="A405" s="9"/>
      <c r="B405" s="2" t="s">
        <v>1062</v>
      </c>
      <c r="C405" s="13">
        <v>45620</v>
      </c>
      <c r="D405" s="2">
        <v>550</v>
      </c>
      <c r="E405" s="35">
        <v>42383.88</v>
      </c>
      <c r="F405" s="36">
        <v>0</v>
      </c>
      <c r="G405" s="36">
        <v>0</v>
      </c>
      <c r="H405" s="36">
        <v>0</v>
      </c>
      <c r="I405" s="37">
        <v>42383.88</v>
      </c>
    </row>
    <row r="406" spans="1:9" x14ac:dyDescent="0.2">
      <c r="A406" s="9"/>
      <c r="B406" s="2" t="s">
        <v>1068</v>
      </c>
      <c r="C406" s="13">
        <v>45623</v>
      </c>
      <c r="D406" s="2">
        <v>547</v>
      </c>
      <c r="E406" s="35">
        <v>5445</v>
      </c>
      <c r="F406" s="36">
        <v>0</v>
      </c>
      <c r="G406" s="36">
        <v>0</v>
      </c>
      <c r="H406" s="36">
        <v>0</v>
      </c>
      <c r="I406" s="37">
        <v>5445</v>
      </c>
    </row>
    <row r="407" spans="1:9" x14ac:dyDescent="0.2">
      <c r="A407" s="9"/>
      <c r="B407" s="2" t="s">
        <v>712</v>
      </c>
      <c r="C407" s="13">
        <v>45630</v>
      </c>
      <c r="D407" s="2">
        <v>540</v>
      </c>
      <c r="E407" s="35">
        <v>60831.54</v>
      </c>
      <c r="F407" s="36">
        <v>0</v>
      </c>
      <c r="G407" s="36">
        <v>0</v>
      </c>
      <c r="H407" s="36">
        <v>0</v>
      </c>
      <c r="I407" s="37">
        <v>60831.54</v>
      </c>
    </row>
    <row r="408" spans="1:9" x14ac:dyDescent="0.2">
      <c r="A408" s="9"/>
      <c r="B408" s="2" t="s">
        <v>1082</v>
      </c>
      <c r="C408" s="13">
        <v>45634</v>
      </c>
      <c r="D408" s="2">
        <v>536</v>
      </c>
      <c r="E408" s="35">
        <v>3267</v>
      </c>
      <c r="F408" s="36">
        <v>0</v>
      </c>
      <c r="G408" s="36">
        <v>0</v>
      </c>
      <c r="H408" s="36">
        <v>0</v>
      </c>
      <c r="I408" s="37">
        <v>3267</v>
      </c>
    </row>
    <row r="409" spans="1:9" x14ac:dyDescent="0.2">
      <c r="A409" s="9"/>
      <c r="B409" s="2" t="s">
        <v>1081</v>
      </c>
      <c r="C409" s="13">
        <v>45595</v>
      </c>
      <c r="D409" s="2">
        <v>575</v>
      </c>
      <c r="E409" s="35">
        <v>14157</v>
      </c>
      <c r="F409" s="36">
        <v>0</v>
      </c>
      <c r="G409" s="36">
        <v>0</v>
      </c>
      <c r="H409" s="36">
        <v>0</v>
      </c>
      <c r="I409" s="37">
        <v>14157</v>
      </c>
    </row>
    <row r="410" spans="1:9" x14ac:dyDescent="0.2">
      <c r="A410" s="9"/>
      <c r="B410" s="2" t="s">
        <v>1091</v>
      </c>
      <c r="C410" s="13">
        <v>45637</v>
      </c>
      <c r="D410" s="2">
        <v>533</v>
      </c>
      <c r="E410" s="35">
        <v>5445</v>
      </c>
      <c r="F410" s="36">
        <v>0</v>
      </c>
      <c r="G410" s="36">
        <v>0</v>
      </c>
      <c r="H410" s="36">
        <v>0</v>
      </c>
      <c r="I410" s="37">
        <v>5445</v>
      </c>
    </row>
    <row r="411" spans="1:9" x14ac:dyDescent="0.2">
      <c r="A411" s="9"/>
      <c r="B411" s="2" t="s">
        <v>248</v>
      </c>
      <c r="C411" s="13">
        <v>45640</v>
      </c>
      <c r="D411" s="2">
        <v>530</v>
      </c>
      <c r="E411" s="35">
        <v>9801</v>
      </c>
      <c r="F411" s="36">
        <v>0</v>
      </c>
      <c r="G411" s="36">
        <v>0</v>
      </c>
      <c r="H411" s="36">
        <v>0</v>
      </c>
      <c r="I411" s="37">
        <v>9801</v>
      </c>
    </row>
    <row r="412" spans="1:9" x14ac:dyDescent="0.2">
      <c r="A412" s="9"/>
      <c r="B412" s="2" t="s">
        <v>243</v>
      </c>
      <c r="C412" s="13">
        <v>45640</v>
      </c>
      <c r="D412" s="2">
        <v>530</v>
      </c>
      <c r="E412" s="35">
        <v>5445</v>
      </c>
      <c r="F412" s="36">
        <v>0</v>
      </c>
      <c r="G412" s="36">
        <v>0</v>
      </c>
      <c r="H412" s="36">
        <v>0</v>
      </c>
      <c r="I412" s="37">
        <v>5445</v>
      </c>
    </row>
    <row r="413" spans="1:9" x14ac:dyDescent="0.2">
      <c r="A413" s="9"/>
      <c r="B413" s="2" t="s">
        <v>242</v>
      </c>
      <c r="C413" s="13">
        <v>45640</v>
      </c>
      <c r="D413" s="2">
        <v>530</v>
      </c>
      <c r="E413" s="35">
        <v>128018.34</v>
      </c>
      <c r="F413" s="36">
        <v>0</v>
      </c>
      <c r="G413" s="36">
        <v>0</v>
      </c>
      <c r="H413" s="36">
        <v>0</v>
      </c>
      <c r="I413" s="37">
        <v>128018.34</v>
      </c>
    </row>
    <row r="414" spans="1:9" x14ac:dyDescent="0.2">
      <c r="A414" s="9"/>
      <c r="B414" s="2" t="s">
        <v>244</v>
      </c>
      <c r="C414" s="13">
        <v>45653</v>
      </c>
      <c r="D414" s="2">
        <v>517</v>
      </c>
      <c r="E414" s="35">
        <v>174383.42</v>
      </c>
      <c r="F414" s="36">
        <v>0</v>
      </c>
      <c r="G414" s="36">
        <v>0</v>
      </c>
      <c r="H414" s="36">
        <v>0</v>
      </c>
      <c r="I414" s="37">
        <v>174383.42</v>
      </c>
    </row>
    <row r="415" spans="1:9" x14ac:dyDescent="0.2">
      <c r="A415" s="9"/>
      <c r="B415" s="2" t="s">
        <v>1022</v>
      </c>
      <c r="C415" s="13">
        <v>45660</v>
      </c>
      <c r="D415" s="2">
        <v>510</v>
      </c>
      <c r="E415" s="35">
        <v>4791.6000000000004</v>
      </c>
      <c r="F415" s="36">
        <v>0</v>
      </c>
      <c r="G415" s="36">
        <v>0</v>
      </c>
      <c r="H415" s="36">
        <v>0</v>
      </c>
      <c r="I415" s="37">
        <v>4791.6000000000004</v>
      </c>
    </row>
    <row r="416" spans="1:9" x14ac:dyDescent="0.2">
      <c r="A416" s="9"/>
      <c r="B416" s="2" t="s">
        <v>1025</v>
      </c>
      <c r="C416" s="13">
        <v>45665</v>
      </c>
      <c r="D416" s="2">
        <v>505</v>
      </c>
      <c r="E416" s="35">
        <v>59352.4</v>
      </c>
      <c r="F416" s="36">
        <v>0</v>
      </c>
      <c r="G416" s="36">
        <v>0</v>
      </c>
      <c r="H416" s="36">
        <v>0</v>
      </c>
      <c r="I416" s="37">
        <v>59352.4</v>
      </c>
    </row>
    <row r="417" spans="1:9" x14ac:dyDescent="0.2">
      <c r="A417" s="9"/>
      <c r="B417" s="2" t="s">
        <v>1028</v>
      </c>
      <c r="C417" s="13">
        <v>45668</v>
      </c>
      <c r="D417" s="2">
        <v>502</v>
      </c>
      <c r="E417" s="35">
        <v>5445</v>
      </c>
      <c r="F417" s="36">
        <v>0</v>
      </c>
      <c r="G417" s="36">
        <v>0</v>
      </c>
      <c r="H417" s="36">
        <v>0</v>
      </c>
      <c r="I417" s="37">
        <v>5445</v>
      </c>
    </row>
    <row r="418" spans="1:9" x14ac:dyDescent="0.2">
      <c r="A418" s="9"/>
      <c r="B418" s="2" t="s">
        <v>175</v>
      </c>
      <c r="C418" s="13">
        <v>45672</v>
      </c>
      <c r="D418" s="2">
        <v>498</v>
      </c>
      <c r="E418" s="35">
        <v>27225</v>
      </c>
      <c r="F418" s="36">
        <v>0</v>
      </c>
      <c r="G418" s="36">
        <v>0</v>
      </c>
      <c r="H418" s="36">
        <v>0</v>
      </c>
      <c r="I418" s="37">
        <v>27225</v>
      </c>
    </row>
    <row r="419" spans="1:9" x14ac:dyDescent="0.2">
      <c r="A419" s="9"/>
      <c r="B419" s="2" t="s">
        <v>176</v>
      </c>
      <c r="C419" s="13">
        <v>45675</v>
      </c>
      <c r="D419" s="2">
        <v>495</v>
      </c>
      <c r="E419" s="35">
        <v>5445</v>
      </c>
      <c r="F419" s="36">
        <v>0</v>
      </c>
      <c r="G419" s="36">
        <v>0</v>
      </c>
      <c r="H419" s="36">
        <v>0</v>
      </c>
      <c r="I419" s="37">
        <v>5445</v>
      </c>
    </row>
    <row r="420" spans="1:9" x14ac:dyDescent="0.2">
      <c r="A420" s="9"/>
      <c r="B420" s="2" t="s">
        <v>177</v>
      </c>
      <c r="C420" s="13">
        <v>45675</v>
      </c>
      <c r="D420" s="2">
        <v>495</v>
      </c>
      <c r="E420" s="35">
        <v>5445</v>
      </c>
      <c r="F420" s="36">
        <v>0</v>
      </c>
      <c r="G420" s="36">
        <v>0</v>
      </c>
      <c r="H420" s="36">
        <v>0</v>
      </c>
      <c r="I420" s="37">
        <v>5445</v>
      </c>
    </row>
    <row r="421" spans="1:9" x14ac:dyDescent="0.2">
      <c r="A421" s="9"/>
      <c r="B421" s="2" t="s">
        <v>171</v>
      </c>
      <c r="C421" s="13">
        <v>45683</v>
      </c>
      <c r="D421" s="2">
        <v>487</v>
      </c>
      <c r="E421" s="35">
        <v>68611.53</v>
      </c>
      <c r="F421" s="36">
        <v>0</v>
      </c>
      <c r="G421" s="36">
        <v>0</v>
      </c>
      <c r="H421" s="36">
        <v>0</v>
      </c>
      <c r="I421" s="37">
        <v>68611.53</v>
      </c>
    </row>
    <row r="422" spans="1:9" x14ac:dyDescent="0.2">
      <c r="A422" s="9"/>
      <c r="B422" s="2" t="s">
        <v>172</v>
      </c>
      <c r="C422" s="13">
        <v>45683</v>
      </c>
      <c r="D422" s="2">
        <v>487</v>
      </c>
      <c r="E422" s="35">
        <v>58806</v>
      </c>
      <c r="F422" s="36">
        <v>0</v>
      </c>
      <c r="G422" s="36">
        <v>0</v>
      </c>
      <c r="H422" s="36">
        <v>0</v>
      </c>
      <c r="I422" s="37">
        <v>58806</v>
      </c>
    </row>
    <row r="423" spans="1:9" x14ac:dyDescent="0.2">
      <c r="A423" s="9"/>
      <c r="B423" s="2" t="s">
        <v>173</v>
      </c>
      <c r="C423" s="13">
        <v>45686</v>
      </c>
      <c r="D423" s="2">
        <v>484</v>
      </c>
      <c r="E423" s="35">
        <v>10890</v>
      </c>
      <c r="F423" s="36">
        <v>0</v>
      </c>
      <c r="G423" s="36">
        <v>0</v>
      </c>
      <c r="H423" s="36">
        <v>0</v>
      </c>
      <c r="I423" s="37">
        <v>10890</v>
      </c>
    </row>
    <row r="424" spans="1:9" x14ac:dyDescent="0.2">
      <c r="A424" s="9"/>
      <c r="B424" s="2" t="s">
        <v>669</v>
      </c>
      <c r="C424" s="13">
        <v>45687</v>
      </c>
      <c r="D424" s="2">
        <v>483</v>
      </c>
      <c r="E424" s="35">
        <v>5445</v>
      </c>
      <c r="F424" s="36">
        <v>0</v>
      </c>
      <c r="G424" s="36">
        <v>0</v>
      </c>
      <c r="H424" s="36">
        <v>0</v>
      </c>
      <c r="I424" s="37">
        <v>5445</v>
      </c>
    </row>
    <row r="425" spans="1:9" x14ac:dyDescent="0.2">
      <c r="A425" s="9"/>
      <c r="B425" s="2" t="s">
        <v>155</v>
      </c>
      <c r="C425" s="13">
        <v>45694</v>
      </c>
      <c r="D425" s="2">
        <v>476</v>
      </c>
      <c r="E425" s="35">
        <v>79710.62</v>
      </c>
      <c r="F425" s="36">
        <v>0</v>
      </c>
      <c r="G425" s="36">
        <v>0</v>
      </c>
      <c r="H425" s="36">
        <v>0</v>
      </c>
      <c r="I425" s="37">
        <v>79710.62</v>
      </c>
    </row>
    <row r="426" spans="1:9" x14ac:dyDescent="0.2">
      <c r="A426" s="9"/>
      <c r="B426" s="2" t="s">
        <v>267</v>
      </c>
      <c r="C426" s="13">
        <v>45707</v>
      </c>
      <c r="D426" s="2">
        <v>463</v>
      </c>
      <c r="E426" s="35">
        <v>8031.38</v>
      </c>
      <c r="F426" s="36">
        <v>0</v>
      </c>
      <c r="G426" s="36">
        <v>0</v>
      </c>
      <c r="H426" s="36">
        <v>0</v>
      </c>
      <c r="I426" s="37">
        <v>8031.38</v>
      </c>
    </row>
    <row r="427" spans="1:9" x14ac:dyDescent="0.2">
      <c r="A427" s="9"/>
      <c r="B427" s="2" t="s">
        <v>264</v>
      </c>
      <c r="C427" s="13">
        <v>45707</v>
      </c>
      <c r="D427" s="2">
        <v>463</v>
      </c>
      <c r="E427" s="35">
        <v>10500</v>
      </c>
      <c r="F427" s="36">
        <v>0</v>
      </c>
      <c r="G427" s="36">
        <v>0</v>
      </c>
      <c r="H427" s="36">
        <v>0</v>
      </c>
      <c r="I427" s="37">
        <v>10500</v>
      </c>
    </row>
    <row r="428" spans="1:9" x14ac:dyDescent="0.2">
      <c r="A428" s="9"/>
      <c r="B428" s="2" t="s">
        <v>265</v>
      </c>
      <c r="C428" s="13">
        <v>45708</v>
      </c>
      <c r="D428" s="2">
        <v>462</v>
      </c>
      <c r="E428" s="35">
        <v>10890</v>
      </c>
      <c r="F428" s="36">
        <v>0</v>
      </c>
      <c r="G428" s="36">
        <v>0</v>
      </c>
      <c r="H428" s="36">
        <v>0</v>
      </c>
      <c r="I428" s="37">
        <v>10890</v>
      </c>
    </row>
    <row r="429" spans="1:9" x14ac:dyDescent="0.2">
      <c r="A429" s="9"/>
      <c r="B429" s="2" t="s">
        <v>756</v>
      </c>
      <c r="C429" s="13">
        <v>45717</v>
      </c>
      <c r="D429" s="2">
        <v>453</v>
      </c>
      <c r="E429" s="35">
        <v>14157</v>
      </c>
      <c r="F429" s="36">
        <v>0</v>
      </c>
      <c r="G429" s="36">
        <v>0</v>
      </c>
      <c r="H429" s="36">
        <v>0</v>
      </c>
      <c r="I429" s="37">
        <v>14157</v>
      </c>
    </row>
    <row r="430" spans="1:9" x14ac:dyDescent="0.2">
      <c r="A430" s="9"/>
      <c r="B430" s="2" t="s">
        <v>613</v>
      </c>
      <c r="C430" s="13">
        <v>45722</v>
      </c>
      <c r="D430" s="2">
        <v>448</v>
      </c>
      <c r="E430" s="35">
        <v>55539</v>
      </c>
      <c r="F430" s="36">
        <v>0</v>
      </c>
      <c r="G430" s="36">
        <v>0</v>
      </c>
      <c r="H430" s="36">
        <v>0</v>
      </c>
      <c r="I430" s="37">
        <v>55539</v>
      </c>
    </row>
    <row r="431" spans="1:9" x14ac:dyDescent="0.2">
      <c r="A431" s="9"/>
      <c r="B431" s="2" t="s">
        <v>531</v>
      </c>
      <c r="C431" s="13">
        <v>45722</v>
      </c>
      <c r="D431" s="2">
        <v>448</v>
      </c>
      <c r="E431" s="35">
        <v>27541.15</v>
      </c>
      <c r="F431" s="36">
        <v>0</v>
      </c>
      <c r="G431" s="36">
        <v>0</v>
      </c>
      <c r="H431" s="36">
        <v>0</v>
      </c>
      <c r="I431" s="37">
        <v>27541.15</v>
      </c>
    </row>
    <row r="432" spans="1:9" x14ac:dyDescent="0.2">
      <c r="A432" s="9"/>
      <c r="B432" s="2" t="s">
        <v>290</v>
      </c>
      <c r="C432" s="13">
        <v>45728</v>
      </c>
      <c r="D432" s="2">
        <v>442</v>
      </c>
      <c r="E432" s="35">
        <v>32125.5</v>
      </c>
      <c r="F432" s="36">
        <v>0</v>
      </c>
      <c r="G432" s="36">
        <v>0</v>
      </c>
      <c r="H432" s="36">
        <v>0</v>
      </c>
      <c r="I432" s="37">
        <v>32125.5</v>
      </c>
    </row>
    <row r="433" spans="1:9" x14ac:dyDescent="0.2">
      <c r="A433" s="9"/>
      <c r="B433" s="2" t="s">
        <v>297</v>
      </c>
      <c r="C433" s="13">
        <v>45732</v>
      </c>
      <c r="D433" s="2">
        <v>438</v>
      </c>
      <c r="E433" s="35">
        <v>53905.5</v>
      </c>
      <c r="F433" s="36">
        <v>0</v>
      </c>
      <c r="G433" s="36">
        <v>0</v>
      </c>
      <c r="H433" s="36">
        <v>0</v>
      </c>
      <c r="I433" s="37">
        <v>53905.5</v>
      </c>
    </row>
    <row r="434" spans="1:9" x14ac:dyDescent="0.2">
      <c r="A434" s="9"/>
      <c r="B434" s="2" t="s">
        <v>296</v>
      </c>
      <c r="C434" s="13">
        <v>45736</v>
      </c>
      <c r="D434" s="2">
        <v>434</v>
      </c>
      <c r="E434" s="35">
        <v>4356</v>
      </c>
      <c r="F434" s="36">
        <v>0</v>
      </c>
      <c r="G434" s="36">
        <v>0</v>
      </c>
      <c r="H434" s="36">
        <v>0</v>
      </c>
      <c r="I434" s="37">
        <v>4356</v>
      </c>
    </row>
    <row r="435" spans="1:9" x14ac:dyDescent="0.2">
      <c r="A435" s="9"/>
      <c r="B435" s="2" t="s">
        <v>214</v>
      </c>
      <c r="C435" s="13">
        <v>45756</v>
      </c>
      <c r="D435" s="2">
        <v>414</v>
      </c>
      <c r="E435" s="35">
        <v>7623</v>
      </c>
      <c r="F435" s="36">
        <v>0</v>
      </c>
      <c r="G435" s="36">
        <v>0</v>
      </c>
      <c r="H435" s="36">
        <v>0</v>
      </c>
      <c r="I435" s="37">
        <v>7623</v>
      </c>
    </row>
    <row r="436" spans="1:9" x14ac:dyDescent="0.2">
      <c r="A436" s="9"/>
      <c r="B436" s="2" t="s">
        <v>215</v>
      </c>
      <c r="C436" s="13">
        <v>45756</v>
      </c>
      <c r="D436" s="2">
        <v>414</v>
      </c>
      <c r="E436" s="35">
        <v>106027.23</v>
      </c>
      <c r="F436" s="36">
        <v>0</v>
      </c>
      <c r="G436" s="36">
        <v>0</v>
      </c>
      <c r="H436" s="36">
        <v>0</v>
      </c>
      <c r="I436" s="37">
        <v>106027.23</v>
      </c>
    </row>
    <row r="437" spans="1:9" x14ac:dyDescent="0.2">
      <c r="A437" s="9"/>
      <c r="B437" s="2" t="s">
        <v>539</v>
      </c>
      <c r="C437" s="13">
        <v>45763</v>
      </c>
      <c r="D437" s="2">
        <v>407</v>
      </c>
      <c r="E437" s="35">
        <v>34690.129999999997</v>
      </c>
      <c r="F437" s="36">
        <v>0</v>
      </c>
      <c r="G437" s="36">
        <v>0</v>
      </c>
      <c r="H437" s="36">
        <v>0</v>
      </c>
      <c r="I437" s="37">
        <v>34690.129999999997</v>
      </c>
    </row>
    <row r="438" spans="1:9" x14ac:dyDescent="0.2">
      <c r="A438" s="9"/>
      <c r="B438" s="2" t="s">
        <v>540</v>
      </c>
      <c r="C438" s="13">
        <v>45763</v>
      </c>
      <c r="D438" s="2">
        <v>407</v>
      </c>
      <c r="E438" s="35">
        <v>5445</v>
      </c>
      <c r="F438" s="36">
        <v>0</v>
      </c>
      <c r="G438" s="36">
        <v>0</v>
      </c>
      <c r="H438" s="36">
        <v>0</v>
      </c>
      <c r="I438" s="37">
        <v>5445</v>
      </c>
    </row>
    <row r="439" spans="1:9" x14ac:dyDescent="0.2">
      <c r="A439" s="9"/>
      <c r="B439" s="2" t="s">
        <v>545</v>
      </c>
      <c r="C439" s="13">
        <v>45765</v>
      </c>
      <c r="D439" s="2">
        <v>405</v>
      </c>
      <c r="E439" s="35">
        <v>5445</v>
      </c>
      <c r="F439" s="36">
        <v>0</v>
      </c>
      <c r="G439" s="36">
        <v>0</v>
      </c>
      <c r="H439" s="36">
        <v>0</v>
      </c>
      <c r="I439" s="37">
        <v>5445</v>
      </c>
    </row>
    <row r="440" spans="1:9" x14ac:dyDescent="0.2">
      <c r="A440" s="9"/>
      <c r="B440" s="2" t="s">
        <v>1019</v>
      </c>
      <c r="C440" s="13">
        <v>45765</v>
      </c>
      <c r="D440" s="2">
        <v>405</v>
      </c>
      <c r="E440" s="35">
        <v>4356</v>
      </c>
      <c r="F440" s="36">
        <v>0</v>
      </c>
      <c r="G440" s="36">
        <v>0</v>
      </c>
      <c r="H440" s="36">
        <v>0</v>
      </c>
      <c r="I440" s="37">
        <v>4356</v>
      </c>
    </row>
    <row r="441" spans="1:9" x14ac:dyDescent="0.2">
      <c r="A441" s="9"/>
      <c r="B441" s="2" t="s">
        <v>1015</v>
      </c>
      <c r="C441" s="13">
        <v>45772</v>
      </c>
      <c r="D441" s="2">
        <v>398</v>
      </c>
      <c r="E441" s="35">
        <v>17424</v>
      </c>
      <c r="F441" s="36">
        <v>0</v>
      </c>
      <c r="G441" s="36">
        <v>0</v>
      </c>
      <c r="H441" s="36">
        <v>0</v>
      </c>
      <c r="I441" s="37">
        <v>17424</v>
      </c>
    </row>
    <row r="442" spans="1:9" x14ac:dyDescent="0.2">
      <c r="A442" s="9"/>
      <c r="B442" s="2" t="s">
        <v>702</v>
      </c>
      <c r="C442" s="13">
        <v>45777</v>
      </c>
      <c r="D442" s="2">
        <v>393</v>
      </c>
      <c r="E442" s="35">
        <v>16335</v>
      </c>
      <c r="F442" s="36">
        <v>0</v>
      </c>
      <c r="G442" s="36">
        <v>0</v>
      </c>
      <c r="H442" s="36">
        <v>0</v>
      </c>
      <c r="I442" s="37">
        <v>16335</v>
      </c>
    </row>
    <row r="443" spans="1:9" x14ac:dyDescent="0.2">
      <c r="A443" s="9"/>
      <c r="B443" s="2" t="s">
        <v>728</v>
      </c>
      <c r="C443" s="13">
        <v>45793</v>
      </c>
      <c r="D443" s="2">
        <v>377</v>
      </c>
      <c r="E443" s="35">
        <v>19602</v>
      </c>
      <c r="F443" s="36">
        <v>0</v>
      </c>
      <c r="G443" s="36">
        <v>0</v>
      </c>
      <c r="H443" s="36">
        <v>0</v>
      </c>
      <c r="I443" s="37">
        <v>19602</v>
      </c>
    </row>
    <row r="444" spans="1:9" x14ac:dyDescent="0.2">
      <c r="A444" s="11" t="s">
        <v>1365</v>
      </c>
      <c r="B444" s="12"/>
      <c r="C444" s="12"/>
      <c r="D444" s="12"/>
      <c r="E444" s="38">
        <v>3729562.31</v>
      </c>
      <c r="F444" s="39">
        <v>169167.28</v>
      </c>
      <c r="G444" s="39">
        <v>183416.32000000001</v>
      </c>
      <c r="H444" s="39">
        <v>178584.9</v>
      </c>
      <c r="I444" s="40">
        <v>3198393.81</v>
      </c>
    </row>
    <row r="445" spans="1:9" x14ac:dyDescent="0.2">
      <c r="A445" s="2" t="s">
        <v>762</v>
      </c>
      <c r="B445" s="2" t="s">
        <v>772</v>
      </c>
      <c r="C445" s="13">
        <v>44870</v>
      </c>
      <c r="D445" s="2">
        <v>1300</v>
      </c>
      <c r="E445" s="35">
        <v>517.28</v>
      </c>
      <c r="F445" s="36">
        <v>0</v>
      </c>
      <c r="G445" s="36">
        <v>0</v>
      </c>
      <c r="H445" s="36">
        <v>0</v>
      </c>
      <c r="I445" s="37">
        <v>517.28</v>
      </c>
    </row>
    <row r="446" spans="1:9" x14ac:dyDescent="0.2">
      <c r="A446" s="11" t="s">
        <v>1366</v>
      </c>
      <c r="B446" s="12"/>
      <c r="C446" s="12"/>
      <c r="D446" s="12"/>
      <c r="E446" s="38">
        <v>517.28</v>
      </c>
      <c r="F446" s="39">
        <v>0</v>
      </c>
      <c r="G446" s="39">
        <v>0</v>
      </c>
      <c r="H446" s="39">
        <v>0</v>
      </c>
      <c r="I446" s="40">
        <v>517.28</v>
      </c>
    </row>
    <row r="447" spans="1:9" x14ac:dyDescent="0.2">
      <c r="A447" s="2" t="s">
        <v>300</v>
      </c>
      <c r="B447" s="2" t="s">
        <v>530</v>
      </c>
      <c r="C447" s="13">
        <v>46120</v>
      </c>
      <c r="D447" s="2">
        <v>50</v>
      </c>
      <c r="E447" s="35">
        <v>415.94</v>
      </c>
      <c r="F447" s="36">
        <v>0</v>
      </c>
      <c r="G447" s="36">
        <v>415.94</v>
      </c>
      <c r="H447" s="36">
        <v>0</v>
      </c>
      <c r="I447" s="37">
        <v>0</v>
      </c>
    </row>
    <row r="448" spans="1:9" x14ac:dyDescent="0.2">
      <c r="A448" s="11" t="s">
        <v>1367</v>
      </c>
      <c r="B448" s="12"/>
      <c r="C448" s="12"/>
      <c r="D448" s="12"/>
      <c r="E448" s="38">
        <v>415.94</v>
      </c>
      <c r="F448" s="39">
        <v>0</v>
      </c>
      <c r="G448" s="39">
        <v>415.94</v>
      </c>
      <c r="H448" s="39">
        <v>0</v>
      </c>
      <c r="I448" s="40">
        <v>0</v>
      </c>
    </row>
    <row r="449" spans="1:9" x14ac:dyDescent="0.2">
      <c r="A449" s="2" t="s">
        <v>989</v>
      </c>
      <c r="B449" s="2" t="s">
        <v>221</v>
      </c>
      <c r="C449" s="13">
        <v>46148</v>
      </c>
      <c r="D449" s="2">
        <v>22</v>
      </c>
      <c r="E449" s="35">
        <v>574.75</v>
      </c>
      <c r="F449" s="36">
        <v>574.75</v>
      </c>
      <c r="G449" s="36">
        <v>0</v>
      </c>
      <c r="H449" s="36">
        <v>0</v>
      </c>
      <c r="I449" s="37">
        <v>0</v>
      </c>
    </row>
    <row r="450" spans="1:9" x14ac:dyDescent="0.2">
      <c r="A450" s="11" t="s">
        <v>1368</v>
      </c>
      <c r="B450" s="12"/>
      <c r="C450" s="12"/>
      <c r="D450" s="12"/>
      <c r="E450" s="38">
        <v>574.75</v>
      </c>
      <c r="F450" s="39">
        <v>574.75</v>
      </c>
      <c r="G450" s="39">
        <v>0</v>
      </c>
      <c r="H450" s="39">
        <v>0</v>
      </c>
      <c r="I450" s="40">
        <v>0</v>
      </c>
    </row>
    <row r="451" spans="1:9" x14ac:dyDescent="0.2">
      <c r="A451" s="2" t="s">
        <v>536</v>
      </c>
      <c r="B451" s="2" t="s">
        <v>997</v>
      </c>
      <c r="C451" s="13">
        <v>45903</v>
      </c>
      <c r="D451" s="2">
        <v>267</v>
      </c>
      <c r="E451" s="35">
        <v>272.25</v>
      </c>
      <c r="F451" s="36">
        <v>0</v>
      </c>
      <c r="G451" s="36">
        <v>0</v>
      </c>
      <c r="H451" s="36">
        <v>0</v>
      </c>
      <c r="I451" s="37">
        <v>272.25</v>
      </c>
    </row>
    <row r="452" spans="1:9" x14ac:dyDescent="0.2">
      <c r="A452" s="9"/>
      <c r="B452" s="2" t="s">
        <v>1137</v>
      </c>
      <c r="C452" s="13">
        <v>45931</v>
      </c>
      <c r="D452" s="2">
        <v>239</v>
      </c>
      <c r="E452" s="35">
        <v>272.25</v>
      </c>
      <c r="F452" s="36">
        <v>0</v>
      </c>
      <c r="G452" s="36">
        <v>0</v>
      </c>
      <c r="H452" s="36">
        <v>0</v>
      </c>
      <c r="I452" s="37">
        <v>272.25</v>
      </c>
    </row>
    <row r="453" spans="1:9" x14ac:dyDescent="0.2">
      <c r="A453" s="9"/>
      <c r="B453" s="2" t="s">
        <v>391</v>
      </c>
      <c r="C453" s="13">
        <v>45966</v>
      </c>
      <c r="D453" s="2">
        <v>204</v>
      </c>
      <c r="E453" s="35">
        <v>272.25</v>
      </c>
      <c r="F453" s="36">
        <v>0</v>
      </c>
      <c r="G453" s="36">
        <v>0</v>
      </c>
      <c r="H453" s="36">
        <v>0</v>
      </c>
      <c r="I453" s="37">
        <v>272.25</v>
      </c>
    </row>
    <row r="454" spans="1:9" x14ac:dyDescent="0.2">
      <c r="A454" s="9"/>
      <c r="B454" s="2" t="s">
        <v>93</v>
      </c>
      <c r="C454" s="13">
        <v>45996</v>
      </c>
      <c r="D454" s="2">
        <v>174</v>
      </c>
      <c r="E454" s="35">
        <v>272.25</v>
      </c>
      <c r="F454" s="36">
        <v>0</v>
      </c>
      <c r="G454" s="36">
        <v>0</v>
      </c>
      <c r="H454" s="36">
        <v>0</v>
      </c>
      <c r="I454" s="37">
        <v>272.25</v>
      </c>
    </row>
    <row r="455" spans="1:9" x14ac:dyDescent="0.2">
      <c r="A455" s="9"/>
      <c r="B455" s="2" t="s">
        <v>967</v>
      </c>
      <c r="C455" s="13">
        <v>46023</v>
      </c>
      <c r="D455" s="2">
        <v>147</v>
      </c>
      <c r="E455" s="35">
        <v>272.25</v>
      </c>
      <c r="F455" s="36">
        <v>0</v>
      </c>
      <c r="G455" s="36">
        <v>0</v>
      </c>
      <c r="H455" s="36">
        <v>0</v>
      </c>
      <c r="I455" s="37">
        <v>272.25</v>
      </c>
    </row>
    <row r="456" spans="1:9" x14ac:dyDescent="0.2">
      <c r="A456" s="9"/>
      <c r="B456" s="2" t="s">
        <v>694</v>
      </c>
      <c r="C456" s="13">
        <v>46060</v>
      </c>
      <c r="D456" s="2">
        <v>110</v>
      </c>
      <c r="E456" s="35">
        <v>272.25</v>
      </c>
      <c r="F456" s="36">
        <v>0</v>
      </c>
      <c r="G456" s="36">
        <v>0</v>
      </c>
      <c r="H456" s="36">
        <v>0</v>
      </c>
      <c r="I456" s="37">
        <v>272.25</v>
      </c>
    </row>
    <row r="457" spans="1:9" x14ac:dyDescent="0.2">
      <c r="A457" s="9"/>
      <c r="B457" s="2" t="s">
        <v>1244</v>
      </c>
      <c r="C457" s="13">
        <v>46085</v>
      </c>
      <c r="D457" s="2">
        <v>85</v>
      </c>
      <c r="E457" s="35">
        <v>272.25</v>
      </c>
      <c r="F457" s="36">
        <v>0</v>
      </c>
      <c r="G457" s="36">
        <v>0</v>
      </c>
      <c r="H457" s="36">
        <v>272.25</v>
      </c>
      <c r="I457" s="37">
        <v>0</v>
      </c>
    </row>
    <row r="458" spans="1:9" x14ac:dyDescent="0.2">
      <c r="A458" s="9"/>
      <c r="B458" s="2" t="s">
        <v>729</v>
      </c>
      <c r="C458" s="13">
        <v>46115</v>
      </c>
      <c r="D458" s="2">
        <v>55</v>
      </c>
      <c r="E458" s="35">
        <v>272.25</v>
      </c>
      <c r="F458" s="36">
        <v>0</v>
      </c>
      <c r="G458" s="36">
        <v>272.25</v>
      </c>
      <c r="H458" s="36">
        <v>0</v>
      </c>
      <c r="I458" s="37">
        <v>0</v>
      </c>
    </row>
    <row r="459" spans="1:9" x14ac:dyDescent="0.2">
      <c r="A459" s="9"/>
      <c r="B459" s="2" t="s">
        <v>1032</v>
      </c>
      <c r="C459" s="13">
        <v>46148</v>
      </c>
      <c r="D459" s="2">
        <v>22</v>
      </c>
      <c r="E459" s="35">
        <v>272.25</v>
      </c>
      <c r="F459" s="36">
        <v>272.25</v>
      </c>
      <c r="G459" s="36">
        <v>0</v>
      </c>
      <c r="H459" s="36">
        <v>0</v>
      </c>
      <c r="I459" s="37">
        <v>0</v>
      </c>
    </row>
    <row r="460" spans="1:9" x14ac:dyDescent="0.2">
      <c r="A460" s="11" t="s">
        <v>1369</v>
      </c>
      <c r="B460" s="12"/>
      <c r="C460" s="12"/>
      <c r="D460" s="12"/>
      <c r="E460" s="38">
        <v>2450.25</v>
      </c>
      <c r="F460" s="39">
        <v>272.25</v>
      </c>
      <c r="G460" s="39">
        <v>272.25</v>
      </c>
      <c r="H460" s="39">
        <v>272.25</v>
      </c>
      <c r="I460" s="40">
        <v>1633.5</v>
      </c>
    </row>
    <row r="461" spans="1:9" x14ac:dyDescent="0.2">
      <c r="A461" s="2" t="s">
        <v>168</v>
      </c>
      <c r="B461" s="2" t="s">
        <v>763</v>
      </c>
      <c r="C461" s="13">
        <v>44826</v>
      </c>
      <c r="D461" s="2">
        <v>1344</v>
      </c>
      <c r="E461" s="35">
        <v>1725.26</v>
      </c>
      <c r="F461" s="36">
        <v>0</v>
      </c>
      <c r="G461" s="36">
        <v>0</v>
      </c>
      <c r="H461" s="36">
        <v>0</v>
      </c>
      <c r="I461" s="37">
        <v>1725.26</v>
      </c>
    </row>
    <row r="462" spans="1:9" x14ac:dyDescent="0.2">
      <c r="A462" s="11" t="s">
        <v>1370</v>
      </c>
      <c r="B462" s="12"/>
      <c r="C462" s="12"/>
      <c r="D462" s="12"/>
      <c r="E462" s="38">
        <v>1725.26</v>
      </c>
      <c r="F462" s="39">
        <v>0</v>
      </c>
      <c r="G462" s="39">
        <v>0</v>
      </c>
      <c r="H462" s="39">
        <v>0</v>
      </c>
      <c r="I462" s="40">
        <v>1725.26</v>
      </c>
    </row>
    <row r="463" spans="1:9" x14ac:dyDescent="0.2">
      <c r="A463" s="2" t="s">
        <v>578</v>
      </c>
      <c r="B463" s="2" t="s">
        <v>1205</v>
      </c>
      <c r="C463" s="13">
        <v>46039</v>
      </c>
      <c r="D463" s="2">
        <v>131</v>
      </c>
      <c r="E463" s="35">
        <v>-907.5</v>
      </c>
      <c r="F463" s="36">
        <v>0</v>
      </c>
      <c r="G463" s="36">
        <v>0</v>
      </c>
      <c r="H463" s="36">
        <v>0</v>
      </c>
      <c r="I463" s="37">
        <v>-907.5</v>
      </c>
    </row>
    <row r="464" spans="1:9" x14ac:dyDescent="0.2">
      <c r="A464" s="9"/>
      <c r="B464" s="2" t="s">
        <v>207</v>
      </c>
      <c r="C464" s="13">
        <v>45602</v>
      </c>
      <c r="D464" s="2">
        <v>568</v>
      </c>
      <c r="E464" s="35">
        <v>907.5</v>
      </c>
      <c r="F464" s="36">
        <v>0</v>
      </c>
      <c r="G464" s="36">
        <v>0</v>
      </c>
      <c r="H464" s="36">
        <v>0</v>
      </c>
      <c r="I464" s="37">
        <v>907.5</v>
      </c>
    </row>
    <row r="465" spans="1:9" x14ac:dyDescent="0.2">
      <c r="A465" s="11" t="s">
        <v>1371</v>
      </c>
      <c r="B465" s="12"/>
      <c r="C465" s="12"/>
      <c r="D465" s="12"/>
      <c r="E465" s="38">
        <v>0</v>
      </c>
      <c r="F465" s="39">
        <v>0</v>
      </c>
      <c r="G465" s="39">
        <v>0</v>
      </c>
      <c r="H465" s="39">
        <v>0</v>
      </c>
      <c r="I465" s="40">
        <v>0</v>
      </c>
    </row>
    <row r="466" spans="1:9" x14ac:dyDescent="0.2">
      <c r="A466" s="2" t="s">
        <v>220</v>
      </c>
      <c r="B466" s="2" t="s">
        <v>999</v>
      </c>
      <c r="C466" s="13">
        <v>45541</v>
      </c>
      <c r="D466" s="2">
        <v>629</v>
      </c>
      <c r="E466" s="35">
        <v>249.56</v>
      </c>
      <c r="F466" s="36">
        <v>0</v>
      </c>
      <c r="G466" s="36">
        <v>0</v>
      </c>
      <c r="H466" s="36">
        <v>0</v>
      </c>
      <c r="I466" s="37">
        <v>249.56</v>
      </c>
    </row>
    <row r="467" spans="1:9" x14ac:dyDescent="0.2">
      <c r="A467" s="11" t="s">
        <v>1372</v>
      </c>
      <c r="B467" s="12"/>
      <c r="C467" s="12"/>
      <c r="D467" s="12"/>
      <c r="E467" s="38">
        <v>249.56</v>
      </c>
      <c r="F467" s="39">
        <v>0</v>
      </c>
      <c r="G467" s="39">
        <v>0</v>
      </c>
      <c r="H467" s="39">
        <v>0</v>
      </c>
      <c r="I467" s="40">
        <v>249.56</v>
      </c>
    </row>
    <row r="468" spans="1:9" x14ac:dyDescent="0.2">
      <c r="A468" s="2" t="s">
        <v>384</v>
      </c>
      <c r="B468" s="2" t="s">
        <v>528</v>
      </c>
      <c r="C468" s="13">
        <v>46060</v>
      </c>
      <c r="D468" s="2">
        <v>110</v>
      </c>
      <c r="E468" s="35">
        <v>350.9</v>
      </c>
      <c r="F468" s="36">
        <v>0</v>
      </c>
      <c r="G468" s="36">
        <v>0</v>
      </c>
      <c r="H468" s="36">
        <v>0</v>
      </c>
      <c r="I468" s="37">
        <v>350.9</v>
      </c>
    </row>
    <row r="469" spans="1:9" x14ac:dyDescent="0.2">
      <c r="A469" s="9"/>
      <c r="B469" s="2" t="s">
        <v>414</v>
      </c>
      <c r="C469" s="13">
        <v>46085</v>
      </c>
      <c r="D469" s="2">
        <v>85</v>
      </c>
      <c r="E469" s="35">
        <v>350.9</v>
      </c>
      <c r="F469" s="36">
        <v>0</v>
      </c>
      <c r="G469" s="36">
        <v>0</v>
      </c>
      <c r="H469" s="36">
        <v>350.9</v>
      </c>
      <c r="I469" s="37">
        <v>0</v>
      </c>
    </row>
    <row r="470" spans="1:9" x14ac:dyDescent="0.2">
      <c r="A470" s="9"/>
      <c r="B470" s="2" t="s">
        <v>721</v>
      </c>
      <c r="C470" s="13">
        <v>46115</v>
      </c>
      <c r="D470" s="2">
        <v>55</v>
      </c>
      <c r="E470" s="35">
        <v>350.9</v>
      </c>
      <c r="F470" s="36">
        <v>0</v>
      </c>
      <c r="G470" s="36">
        <v>350.9</v>
      </c>
      <c r="H470" s="36">
        <v>0</v>
      </c>
      <c r="I470" s="37">
        <v>0</v>
      </c>
    </row>
    <row r="471" spans="1:9" x14ac:dyDescent="0.2">
      <c r="A471" s="9"/>
      <c r="B471" s="2" t="s">
        <v>250</v>
      </c>
      <c r="C471" s="13">
        <v>46148</v>
      </c>
      <c r="D471" s="2">
        <v>22</v>
      </c>
      <c r="E471" s="35">
        <v>350.9</v>
      </c>
      <c r="F471" s="36">
        <v>350.9</v>
      </c>
      <c r="G471" s="36">
        <v>0</v>
      </c>
      <c r="H471" s="36">
        <v>0</v>
      </c>
      <c r="I471" s="37">
        <v>0</v>
      </c>
    </row>
    <row r="472" spans="1:9" x14ac:dyDescent="0.2">
      <c r="A472" s="11" t="s">
        <v>1373</v>
      </c>
      <c r="B472" s="12"/>
      <c r="C472" s="12"/>
      <c r="D472" s="12"/>
      <c r="E472" s="38">
        <v>1403.6</v>
      </c>
      <c r="F472" s="39">
        <v>350.9</v>
      </c>
      <c r="G472" s="39">
        <v>350.9</v>
      </c>
      <c r="H472" s="39">
        <v>350.9</v>
      </c>
      <c r="I472" s="40">
        <v>350.9</v>
      </c>
    </row>
    <row r="473" spans="1:9" x14ac:dyDescent="0.2">
      <c r="A473" s="2" t="s">
        <v>21</v>
      </c>
      <c r="B473" s="2" t="s">
        <v>1177</v>
      </c>
      <c r="C473" s="13">
        <v>46155</v>
      </c>
      <c r="D473" s="2">
        <v>15</v>
      </c>
      <c r="E473" s="35">
        <v>5747.5</v>
      </c>
      <c r="F473" s="36">
        <v>5747.5</v>
      </c>
      <c r="G473" s="36">
        <v>0</v>
      </c>
      <c r="H473" s="36">
        <v>0</v>
      </c>
      <c r="I473" s="37">
        <v>0</v>
      </c>
    </row>
    <row r="474" spans="1:9" x14ac:dyDescent="0.2">
      <c r="A474" s="11" t="s">
        <v>1374</v>
      </c>
      <c r="B474" s="12"/>
      <c r="C474" s="12"/>
      <c r="D474" s="12"/>
      <c r="E474" s="38">
        <v>5747.5</v>
      </c>
      <c r="F474" s="39">
        <v>5747.5</v>
      </c>
      <c r="G474" s="39">
        <v>0</v>
      </c>
      <c r="H474" s="39">
        <v>0</v>
      </c>
      <c r="I474" s="40">
        <v>0</v>
      </c>
    </row>
    <row r="475" spans="1:9" x14ac:dyDescent="0.2">
      <c r="A475" s="2" t="s">
        <v>974</v>
      </c>
      <c r="B475" s="2" t="s">
        <v>353</v>
      </c>
      <c r="C475" s="13">
        <v>45840</v>
      </c>
      <c r="D475" s="2">
        <v>330</v>
      </c>
      <c r="E475" s="35">
        <v>968</v>
      </c>
      <c r="F475" s="36">
        <v>0</v>
      </c>
      <c r="G475" s="36">
        <v>0</v>
      </c>
      <c r="H475" s="36">
        <v>0</v>
      </c>
      <c r="I475" s="37">
        <v>968</v>
      </c>
    </row>
    <row r="476" spans="1:9" x14ac:dyDescent="0.2">
      <c r="A476" s="9"/>
      <c r="B476" s="2" t="s">
        <v>980</v>
      </c>
      <c r="C476" s="13">
        <v>45840</v>
      </c>
      <c r="D476" s="2">
        <v>330</v>
      </c>
      <c r="E476" s="35">
        <v>121</v>
      </c>
      <c r="F476" s="36">
        <v>0</v>
      </c>
      <c r="G476" s="36">
        <v>0</v>
      </c>
      <c r="H476" s="36">
        <v>0</v>
      </c>
      <c r="I476" s="37">
        <v>121</v>
      </c>
    </row>
    <row r="477" spans="1:9" x14ac:dyDescent="0.2">
      <c r="A477" s="9"/>
      <c r="B477" s="2" t="s">
        <v>1147</v>
      </c>
      <c r="C477" s="13">
        <v>45840</v>
      </c>
      <c r="D477" s="2">
        <v>330</v>
      </c>
      <c r="E477" s="35">
        <v>36.909999999999997</v>
      </c>
      <c r="F477" s="36">
        <v>0</v>
      </c>
      <c r="G477" s="36">
        <v>0</v>
      </c>
      <c r="H477" s="36">
        <v>0</v>
      </c>
      <c r="I477" s="37">
        <v>36.909999999999997</v>
      </c>
    </row>
    <row r="478" spans="1:9" x14ac:dyDescent="0.2">
      <c r="A478" s="9"/>
      <c r="B478" s="2" t="s">
        <v>1278</v>
      </c>
      <c r="C478" s="13">
        <v>45869</v>
      </c>
      <c r="D478" s="2">
        <v>301</v>
      </c>
      <c r="E478" s="35">
        <v>121</v>
      </c>
      <c r="F478" s="36">
        <v>0</v>
      </c>
      <c r="G478" s="36">
        <v>0</v>
      </c>
      <c r="H478" s="36">
        <v>0</v>
      </c>
      <c r="I478" s="37">
        <v>121</v>
      </c>
    </row>
    <row r="479" spans="1:9" x14ac:dyDescent="0.2">
      <c r="A479" s="9"/>
      <c r="B479" s="2" t="s">
        <v>201</v>
      </c>
      <c r="C479" s="13">
        <v>45869</v>
      </c>
      <c r="D479" s="2">
        <v>301</v>
      </c>
      <c r="E479" s="35">
        <v>968</v>
      </c>
      <c r="F479" s="36">
        <v>0</v>
      </c>
      <c r="G479" s="36">
        <v>0</v>
      </c>
      <c r="H479" s="36">
        <v>0</v>
      </c>
      <c r="I479" s="37">
        <v>968</v>
      </c>
    </row>
    <row r="480" spans="1:9" x14ac:dyDescent="0.2">
      <c r="A480" s="9"/>
      <c r="B480" s="2" t="s">
        <v>383</v>
      </c>
      <c r="C480" s="13">
        <v>45869</v>
      </c>
      <c r="D480" s="2">
        <v>301</v>
      </c>
      <c r="E480" s="35">
        <v>36.909999999999997</v>
      </c>
      <c r="F480" s="36">
        <v>0</v>
      </c>
      <c r="G480" s="36">
        <v>0</v>
      </c>
      <c r="H480" s="36">
        <v>0</v>
      </c>
      <c r="I480" s="37">
        <v>36.909999999999997</v>
      </c>
    </row>
    <row r="481" spans="1:9" x14ac:dyDescent="0.2">
      <c r="A481" s="9"/>
      <c r="B481" s="2" t="s">
        <v>1279</v>
      </c>
      <c r="C481" s="13">
        <v>45903</v>
      </c>
      <c r="D481" s="2">
        <v>267</v>
      </c>
      <c r="E481" s="35">
        <v>121</v>
      </c>
      <c r="F481" s="36">
        <v>0</v>
      </c>
      <c r="G481" s="36">
        <v>0</v>
      </c>
      <c r="H481" s="36">
        <v>0</v>
      </c>
      <c r="I481" s="37">
        <v>121</v>
      </c>
    </row>
    <row r="482" spans="1:9" x14ac:dyDescent="0.2">
      <c r="A482" s="9"/>
      <c r="B482" s="2" t="s">
        <v>642</v>
      </c>
      <c r="C482" s="13">
        <v>45903</v>
      </c>
      <c r="D482" s="2">
        <v>267</v>
      </c>
      <c r="E482" s="35">
        <v>968</v>
      </c>
      <c r="F482" s="36">
        <v>0</v>
      </c>
      <c r="G482" s="36">
        <v>0</v>
      </c>
      <c r="H482" s="36">
        <v>0</v>
      </c>
      <c r="I482" s="37">
        <v>968</v>
      </c>
    </row>
    <row r="483" spans="1:9" x14ac:dyDescent="0.2">
      <c r="A483" s="9"/>
      <c r="B483" s="2" t="s">
        <v>628</v>
      </c>
      <c r="C483" s="13">
        <v>45903</v>
      </c>
      <c r="D483" s="2">
        <v>267</v>
      </c>
      <c r="E483" s="35">
        <v>36.909999999999997</v>
      </c>
      <c r="F483" s="36">
        <v>0</v>
      </c>
      <c r="G483" s="36">
        <v>0</v>
      </c>
      <c r="H483" s="36">
        <v>0</v>
      </c>
      <c r="I483" s="37">
        <v>36.909999999999997</v>
      </c>
    </row>
    <row r="484" spans="1:9" x14ac:dyDescent="0.2">
      <c r="A484" s="9"/>
      <c r="B484" s="2" t="s">
        <v>270</v>
      </c>
      <c r="C484" s="13">
        <v>45931</v>
      </c>
      <c r="D484" s="2">
        <v>239</v>
      </c>
      <c r="E484" s="35">
        <v>121</v>
      </c>
      <c r="F484" s="36">
        <v>0</v>
      </c>
      <c r="G484" s="36">
        <v>0</v>
      </c>
      <c r="H484" s="36">
        <v>0</v>
      </c>
      <c r="I484" s="37">
        <v>121</v>
      </c>
    </row>
    <row r="485" spans="1:9" x14ac:dyDescent="0.2">
      <c r="A485" s="9"/>
      <c r="B485" s="2" t="s">
        <v>732</v>
      </c>
      <c r="C485" s="13">
        <v>45931</v>
      </c>
      <c r="D485" s="2">
        <v>239</v>
      </c>
      <c r="E485" s="35">
        <v>968</v>
      </c>
      <c r="F485" s="36">
        <v>0</v>
      </c>
      <c r="G485" s="36">
        <v>0</v>
      </c>
      <c r="H485" s="36">
        <v>0</v>
      </c>
      <c r="I485" s="37">
        <v>968</v>
      </c>
    </row>
    <row r="486" spans="1:9" x14ac:dyDescent="0.2">
      <c r="A486" s="9"/>
      <c r="B486" s="2" t="s">
        <v>98</v>
      </c>
      <c r="C486" s="13">
        <v>45931</v>
      </c>
      <c r="D486" s="2">
        <v>239</v>
      </c>
      <c r="E486" s="35">
        <v>36.909999999999997</v>
      </c>
      <c r="F486" s="36">
        <v>0</v>
      </c>
      <c r="G486" s="36">
        <v>0</v>
      </c>
      <c r="H486" s="36">
        <v>0</v>
      </c>
      <c r="I486" s="37">
        <v>36.909999999999997</v>
      </c>
    </row>
    <row r="487" spans="1:9" x14ac:dyDescent="0.2">
      <c r="A487" s="9"/>
      <c r="B487" s="2" t="s">
        <v>1166</v>
      </c>
      <c r="C487" s="13">
        <v>45966</v>
      </c>
      <c r="D487" s="2">
        <v>204</v>
      </c>
      <c r="E487" s="35">
        <v>121</v>
      </c>
      <c r="F487" s="36">
        <v>0</v>
      </c>
      <c r="G487" s="36">
        <v>0</v>
      </c>
      <c r="H487" s="36">
        <v>0</v>
      </c>
      <c r="I487" s="37">
        <v>121</v>
      </c>
    </row>
    <row r="488" spans="1:9" x14ac:dyDescent="0.2">
      <c r="A488" s="9"/>
      <c r="B488" s="2" t="s">
        <v>716</v>
      </c>
      <c r="C488" s="13">
        <v>45966</v>
      </c>
      <c r="D488" s="2">
        <v>204</v>
      </c>
      <c r="E488" s="35">
        <v>968</v>
      </c>
      <c r="F488" s="36">
        <v>0</v>
      </c>
      <c r="G488" s="36">
        <v>0</v>
      </c>
      <c r="H488" s="36">
        <v>0</v>
      </c>
      <c r="I488" s="37">
        <v>968</v>
      </c>
    </row>
    <row r="489" spans="1:9" x14ac:dyDescent="0.2">
      <c r="A489" s="9"/>
      <c r="B489" s="2" t="s">
        <v>1282</v>
      </c>
      <c r="C489" s="13">
        <v>45966</v>
      </c>
      <c r="D489" s="2">
        <v>204</v>
      </c>
      <c r="E489" s="35">
        <v>36.909999999999997</v>
      </c>
      <c r="F489" s="36">
        <v>0</v>
      </c>
      <c r="G489" s="36">
        <v>0</v>
      </c>
      <c r="H489" s="36">
        <v>0</v>
      </c>
      <c r="I489" s="37">
        <v>36.909999999999997</v>
      </c>
    </row>
    <row r="490" spans="1:9" x14ac:dyDescent="0.2">
      <c r="A490" s="9"/>
      <c r="B490" s="2" t="s">
        <v>891</v>
      </c>
      <c r="C490" s="13">
        <v>45996</v>
      </c>
      <c r="D490" s="2">
        <v>174</v>
      </c>
      <c r="E490" s="35">
        <v>121</v>
      </c>
      <c r="F490" s="36">
        <v>0</v>
      </c>
      <c r="G490" s="36">
        <v>0</v>
      </c>
      <c r="H490" s="36">
        <v>0</v>
      </c>
      <c r="I490" s="37">
        <v>121</v>
      </c>
    </row>
    <row r="491" spans="1:9" x14ac:dyDescent="0.2">
      <c r="A491" s="9"/>
      <c r="B491" s="2" t="s">
        <v>101</v>
      </c>
      <c r="C491" s="13">
        <v>45996</v>
      </c>
      <c r="D491" s="2">
        <v>174</v>
      </c>
      <c r="E491" s="35">
        <v>968</v>
      </c>
      <c r="F491" s="36">
        <v>0</v>
      </c>
      <c r="G491" s="36">
        <v>0</v>
      </c>
      <c r="H491" s="36">
        <v>0</v>
      </c>
      <c r="I491" s="37">
        <v>968</v>
      </c>
    </row>
    <row r="492" spans="1:9" x14ac:dyDescent="0.2">
      <c r="A492" s="9"/>
      <c r="B492" s="2" t="s">
        <v>20</v>
      </c>
      <c r="C492" s="13">
        <v>45996</v>
      </c>
      <c r="D492" s="2">
        <v>174</v>
      </c>
      <c r="E492" s="35">
        <v>36.909999999999997</v>
      </c>
      <c r="F492" s="36">
        <v>0</v>
      </c>
      <c r="G492" s="36">
        <v>0</v>
      </c>
      <c r="H492" s="36">
        <v>0</v>
      </c>
      <c r="I492" s="37">
        <v>36.909999999999997</v>
      </c>
    </row>
    <row r="493" spans="1:9" x14ac:dyDescent="0.2">
      <c r="A493" s="9"/>
      <c r="B493" s="2" t="s">
        <v>1145</v>
      </c>
      <c r="C493" s="13">
        <v>46023</v>
      </c>
      <c r="D493" s="2">
        <v>147</v>
      </c>
      <c r="E493" s="35">
        <v>121</v>
      </c>
      <c r="F493" s="36">
        <v>0</v>
      </c>
      <c r="G493" s="36">
        <v>0</v>
      </c>
      <c r="H493" s="36">
        <v>0</v>
      </c>
      <c r="I493" s="37">
        <v>121</v>
      </c>
    </row>
    <row r="494" spans="1:9" x14ac:dyDescent="0.2">
      <c r="A494" s="9"/>
      <c r="B494" s="2" t="s">
        <v>1202</v>
      </c>
      <c r="C494" s="13">
        <v>46023</v>
      </c>
      <c r="D494" s="2">
        <v>147</v>
      </c>
      <c r="E494" s="35">
        <v>968</v>
      </c>
      <c r="F494" s="36">
        <v>0</v>
      </c>
      <c r="G494" s="36">
        <v>0</v>
      </c>
      <c r="H494" s="36">
        <v>0</v>
      </c>
      <c r="I494" s="37">
        <v>968</v>
      </c>
    </row>
    <row r="495" spans="1:9" x14ac:dyDescent="0.2">
      <c r="A495" s="9"/>
      <c r="B495" s="2" t="s">
        <v>271</v>
      </c>
      <c r="C495" s="13">
        <v>46023</v>
      </c>
      <c r="D495" s="2">
        <v>147</v>
      </c>
      <c r="E495" s="35">
        <v>36.909999999999997</v>
      </c>
      <c r="F495" s="36">
        <v>0</v>
      </c>
      <c r="G495" s="36">
        <v>0</v>
      </c>
      <c r="H495" s="36">
        <v>0</v>
      </c>
      <c r="I495" s="37">
        <v>36.909999999999997</v>
      </c>
    </row>
    <row r="496" spans="1:9" x14ac:dyDescent="0.2">
      <c r="A496" s="9"/>
      <c r="B496" s="2" t="s">
        <v>211</v>
      </c>
      <c r="C496" s="13">
        <v>46060</v>
      </c>
      <c r="D496" s="2">
        <v>110</v>
      </c>
      <c r="E496" s="35">
        <v>121</v>
      </c>
      <c r="F496" s="36">
        <v>0</v>
      </c>
      <c r="G496" s="36">
        <v>0</v>
      </c>
      <c r="H496" s="36">
        <v>0</v>
      </c>
      <c r="I496" s="37">
        <v>121</v>
      </c>
    </row>
    <row r="497" spans="1:9" x14ac:dyDescent="0.2">
      <c r="A497" s="9"/>
      <c r="B497" s="2" t="s">
        <v>1169</v>
      </c>
      <c r="C497" s="13">
        <v>46085</v>
      </c>
      <c r="D497" s="2">
        <v>85</v>
      </c>
      <c r="E497" s="35">
        <v>121</v>
      </c>
      <c r="F497" s="36">
        <v>0</v>
      </c>
      <c r="G497" s="36">
        <v>0</v>
      </c>
      <c r="H497" s="36">
        <v>121</v>
      </c>
      <c r="I497" s="37">
        <v>0</v>
      </c>
    </row>
    <row r="498" spans="1:9" x14ac:dyDescent="0.2">
      <c r="A498" s="9"/>
      <c r="B498" s="2" t="s">
        <v>750</v>
      </c>
      <c r="C498" s="13">
        <v>46115</v>
      </c>
      <c r="D498" s="2">
        <v>55</v>
      </c>
      <c r="E498" s="35">
        <v>121</v>
      </c>
      <c r="F498" s="36">
        <v>0</v>
      </c>
      <c r="G498" s="36">
        <v>121</v>
      </c>
      <c r="H498" s="36">
        <v>0</v>
      </c>
      <c r="I498" s="37">
        <v>0</v>
      </c>
    </row>
    <row r="499" spans="1:9" x14ac:dyDescent="0.2">
      <c r="A499" s="9"/>
      <c r="B499" s="2" t="s">
        <v>58</v>
      </c>
      <c r="C499" s="13">
        <v>46121</v>
      </c>
      <c r="D499" s="2">
        <v>49</v>
      </c>
      <c r="E499" s="35">
        <v>-121</v>
      </c>
      <c r="F499" s="36">
        <v>0</v>
      </c>
      <c r="G499" s="36">
        <v>-121</v>
      </c>
      <c r="H499" s="36">
        <v>0</v>
      </c>
      <c r="I499" s="37">
        <v>0</v>
      </c>
    </row>
    <row r="500" spans="1:9" x14ac:dyDescent="0.2">
      <c r="A500" s="9"/>
      <c r="B500" s="2" t="s">
        <v>1186</v>
      </c>
      <c r="C500" s="13">
        <v>46121</v>
      </c>
      <c r="D500" s="2">
        <v>49</v>
      </c>
      <c r="E500" s="35">
        <v>121</v>
      </c>
      <c r="F500" s="36">
        <v>0</v>
      </c>
      <c r="G500" s="36">
        <v>121</v>
      </c>
      <c r="H500" s="36">
        <v>0</v>
      </c>
      <c r="I500" s="37">
        <v>0</v>
      </c>
    </row>
    <row r="501" spans="1:9" x14ac:dyDescent="0.2">
      <c r="A501" s="9"/>
      <c r="B501" s="2" t="s">
        <v>431</v>
      </c>
      <c r="C501" s="13">
        <v>46134</v>
      </c>
      <c r="D501" s="2">
        <v>36</v>
      </c>
      <c r="E501" s="35">
        <v>1721.71</v>
      </c>
      <c r="F501" s="36">
        <v>0</v>
      </c>
      <c r="G501" s="36">
        <v>1721.71</v>
      </c>
      <c r="H501" s="36">
        <v>0</v>
      </c>
      <c r="I501" s="37">
        <v>0</v>
      </c>
    </row>
    <row r="502" spans="1:9" x14ac:dyDescent="0.2">
      <c r="A502" s="9"/>
      <c r="B502" s="2" t="s">
        <v>33</v>
      </c>
      <c r="C502" s="13">
        <v>46148</v>
      </c>
      <c r="D502" s="2">
        <v>22</v>
      </c>
      <c r="E502" s="35">
        <v>121</v>
      </c>
      <c r="F502" s="36">
        <v>121</v>
      </c>
      <c r="G502" s="36">
        <v>0</v>
      </c>
      <c r="H502" s="36">
        <v>0</v>
      </c>
      <c r="I502" s="37">
        <v>0</v>
      </c>
    </row>
    <row r="503" spans="1:9" x14ac:dyDescent="0.2">
      <c r="A503" s="9"/>
      <c r="B503" s="2" t="s">
        <v>888</v>
      </c>
      <c r="C503" s="13">
        <v>46155</v>
      </c>
      <c r="D503" s="2">
        <v>15</v>
      </c>
      <c r="E503" s="35">
        <v>-121</v>
      </c>
      <c r="F503" s="36">
        <v>-121</v>
      </c>
      <c r="G503" s="36">
        <v>0</v>
      </c>
      <c r="H503" s="36">
        <v>0</v>
      </c>
      <c r="I503" s="37">
        <v>0</v>
      </c>
    </row>
    <row r="504" spans="1:9" x14ac:dyDescent="0.2">
      <c r="A504" s="9"/>
      <c r="B504" s="2" t="s">
        <v>505</v>
      </c>
      <c r="C504" s="13">
        <v>46156</v>
      </c>
      <c r="D504" s="2">
        <v>14</v>
      </c>
      <c r="E504" s="35">
        <v>-121</v>
      </c>
      <c r="F504" s="36">
        <v>-121</v>
      </c>
      <c r="G504" s="36">
        <v>0</v>
      </c>
      <c r="H504" s="36">
        <v>0</v>
      </c>
      <c r="I504" s="37">
        <v>0</v>
      </c>
    </row>
    <row r="505" spans="1:9" x14ac:dyDescent="0.2">
      <c r="A505" s="9"/>
      <c r="B505" s="2" t="s">
        <v>504</v>
      </c>
      <c r="C505" s="13">
        <v>46156</v>
      </c>
      <c r="D505" s="2">
        <v>14</v>
      </c>
      <c r="E505" s="35">
        <v>-121</v>
      </c>
      <c r="F505" s="36">
        <v>-121</v>
      </c>
      <c r="G505" s="36">
        <v>0</v>
      </c>
      <c r="H505" s="36">
        <v>0</v>
      </c>
      <c r="I505" s="37">
        <v>0</v>
      </c>
    </row>
    <row r="506" spans="1:9" x14ac:dyDescent="0.2">
      <c r="A506" s="9"/>
      <c r="B506" s="2" t="s">
        <v>83</v>
      </c>
      <c r="C506" s="13">
        <v>46156</v>
      </c>
      <c r="D506" s="2">
        <v>14</v>
      </c>
      <c r="E506" s="35">
        <v>-121</v>
      </c>
      <c r="F506" s="36">
        <v>-121</v>
      </c>
      <c r="G506" s="36">
        <v>0</v>
      </c>
      <c r="H506" s="36">
        <v>0</v>
      </c>
      <c r="I506" s="37">
        <v>0</v>
      </c>
    </row>
    <row r="507" spans="1:9" x14ac:dyDescent="0.2">
      <c r="A507" s="9"/>
      <c r="B507" s="2" t="s">
        <v>85</v>
      </c>
      <c r="C507" s="13">
        <v>45480</v>
      </c>
      <c r="D507" s="2">
        <v>690</v>
      </c>
      <c r="E507" s="35">
        <v>2643.73</v>
      </c>
      <c r="F507" s="36">
        <v>0</v>
      </c>
      <c r="G507" s="36">
        <v>0</v>
      </c>
      <c r="H507" s="36">
        <v>0</v>
      </c>
      <c r="I507" s="37">
        <v>2643.73</v>
      </c>
    </row>
    <row r="508" spans="1:9" x14ac:dyDescent="0.2">
      <c r="A508" s="9"/>
      <c r="B508" s="2" t="s">
        <v>1164</v>
      </c>
      <c r="C508" s="13">
        <v>45511</v>
      </c>
      <c r="D508" s="2">
        <v>659</v>
      </c>
      <c r="E508" s="35">
        <v>121</v>
      </c>
      <c r="F508" s="36">
        <v>0</v>
      </c>
      <c r="G508" s="36">
        <v>0</v>
      </c>
      <c r="H508" s="36">
        <v>0</v>
      </c>
      <c r="I508" s="37">
        <v>121</v>
      </c>
    </row>
    <row r="509" spans="1:9" x14ac:dyDescent="0.2">
      <c r="A509" s="9"/>
      <c r="B509" s="2" t="s">
        <v>875</v>
      </c>
      <c r="C509" s="13">
        <v>45511</v>
      </c>
      <c r="D509" s="2">
        <v>659</v>
      </c>
      <c r="E509" s="35">
        <v>968</v>
      </c>
      <c r="F509" s="36">
        <v>0</v>
      </c>
      <c r="G509" s="36">
        <v>0</v>
      </c>
      <c r="H509" s="36">
        <v>0</v>
      </c>
      <c r="I509" s="37">
        <v>968</v>
      </c>
    </row>
    <row r="510" spans="1:9" x14ac:dyDescent="0.2">
      <c r="A510" s="9"/>
      <c r="B510" s="2" t="s">
        <v>605</v>
      </c>
      <c r="C510" s="13">
        <v>45511</v>
      </c>
      <c r="D510" s="2">
        <v>659</v>
      </c>
      <c r="E510" s="35">
        <v>35.090000000000003</v>
      </c>
      <c r="F510" s="36">
        <v>0</v>
      </c>
      <c r="G510" s="36">
        <v>0</v>
      </c>
      <c r="H510" s="36">
        <v>0</v>
      </c>
      <c r="I510" s="37">
        <v>35.090000000000003</v>
      </c>
    </row>
    <row r="511" spans="1:9" x14ac:dyDescent="0.2">
      <c r="A511" s="9"/>
      <c r="B511" s="2" t="s">
        <v>189</v>
      </c>
      <c r="C511" s="13">
        <v>45511</v>
      </c>
      <c r="D511" s="2">
        <v>659</v>
      </c>
      <c r="E511" s="35">
        <v>24.2</v>
      </c>
      <c r="F511" s="36">
        <v>0</v>
      </c>
      <c r="G511" s="36">
        <v>0</v>
      </c>
      <c r="H511" s="36">
        <v>0</v>
      </c>
      <c r="I511" s="37">
        <v>24.2</v>
      </c>
    </row>
    <row r="512" spans="1:9" x14ac:dyDescent="0.2">
      <c r="A512" s="9"/>
      <c r="B512" s="2" t="s">
        <v>1236</v>
      </c>
      <c r="C512" s="13">
        <v>45539</v>
      </c>
      <c r="D512" s="2">
        <v>631</v>
      </c>
      <c r="E512" s="35">
        <v>121</v>
      </c>
      <c r="F512" s="36">
        <v>0</v>
      </c>
      <c r="G512" s="36">
        <v>0</v>
      </c>
      <c r="H512" s="36">
        <v>0</v>
      </c>
      <c r="I512" s="37">
        <v>121</v>
      </c>
    </row>
    <row r="513" spans="1:9" x14ac:dyDescent="0.2">
      <c r="A513" s="9"/>
      <c r="B513" s="2" t="s">
        <v>1247</v>
      </c>
      <c r="C513" s="13">
        <v>45539</v>
      </c>
      <c r="D513" s="2">
        <v>631</v>
      </c>
      <c r="E513" s="35">
        <v>968</v>
      </c>
      <c r="F513" s="36">
        <v>0</v>
      </c>
      <c r="G513" s="36">
        <v>0</v>
      </c>
      <c r="H513" s="36">
        <v>0</v>
      </c>
      <c r="I513" s="37">
        <v>968</v>
      </c>
    </row>
    <row r="514" spans="1:9" x14ac:dyDescent="0.2">
      <c r="A514" s="9"/>
      <c r="B514" s="2" t="s">
        <v>194</v>
      </c>
      <c r="C514" s="13">
        <v>45539</v>
      </c>
      <c r="D514" s="2">
        <v>631</v>
      </c>
      <c r="E514" s="35">
        <v>35.090000000000003</v>
      </c>
      <c r="F514" s="36">
        <v>0</v>
      </c>
      <c r="G514" s="36">
        <v>0</v>
      </c>
      <c r="H514" s="36">
        <v>0</v>
      </c>
      <c r="I514" s="37">
        <v>35.090000000000003</v>
      </c>
    </row>
    <row r="515" spans="1:9" x14ac:dyDescent="0.2">
      <c r="A515" s="9"/>
      <c r="B515" s="2" t="s">
        <v>735</v>
      </c>
      <c r="C515" s="13">
        <v>45539</v>
      </c>
      <c r="D515" s="2">
        <v>631</v>
      </c>
      <c r="E515" s="35">
        <v>24.2</v>
      </c>
      <c r="F515" s="36">
        <v>0</v>
      </c>
      <c r="G515" s="36">
        <v>0</v>
      </c>
      <c r="H515" s="36">
        <v>0</v>
      </c>
      <c r="I515" s="37">
        <v>24.2</v>
      </c>
    </row>
    <row r="516" spans="1:9" x14ac:dyDescent="0.2">
      <c r="A516" s="9"/>
      <c r="B516" s="2" t="s">
        <v>1189</v>
      </c>
      <c r="C516" s="13">
        <v>45567</v>
      </c>
      <c r="D516" s="2">
        <v>603</v>
      </c>
      <c r="E516" s="35">
        <v>121</v>
      </c>
      <c r="F516" s="36">
        <v>0</v>
      </c>
      <c r="G516" s="36">
        <v>0</v>
      </c>
      <c r="H516" s="36">
        <v>0</v>
      </c>
      <c r="I516" s="37">
        <v>121</v>
      </c>
    </row>
    <row r="517" spans="1:9" x14ac:dyDescent="0.2">
      <c r="A517" s="9"/>
      <c r="B517" s="2" t="s">
        <v>830</v>
      </c>
      <c r="C517" s="13">
        <v>45567</v>
      </c>
      <c r="D517" s="2">
        <v>603</v>
      </c>
      <c r="E517" s="35">
        <v>968</v>
      </c>
      <c r="F517" s="36">
        <v>0</v>
      </c>
      <c r="G517" s="36">
        <v>0</v>
      </c>
      <c r="H517" s="36">
        <v>0</v>
      </c>
      <c r="I517" s="37">
        <v>968</v>
      </c>
    </row>
    <row r="518" spans="1:9" x14ac:dyDescent="0.2">
      <c r="A518" s="9"/>
      <c r="B518" s="2" t="s">
        <v>158</v>
      </c>
      <c r="C518" s="13">
        <v>45567</v>
      </c>
      <c r="D518" s="2">
        <v>603</v>
      </c>
      <c r="E518" s="35">
        <v>24.2</v>
      </c>
      <c r="F518" s="36">
        <v>0</v>
      </c>
      <c r="G518" s="36">
        <v>0</v>
      </c>
      <c r="H518" s="36">
        <v>0</v>
      </c>
      <c r="I518" s="37">
        <v>24.2</v>
      </c>
    </row>
    <row r="519" spans="1:9" x14ac:dyDescent="0.2">
      <c r="A519" s="9"/>
      <c r="B519" s="2" t="s">
        <v>156</v>
      </c>
      <c r="C519" s="13">
        <v>45567</v>
      </c>
      <c r="D519" s="2">
        <v>603</v>
      </c>
      <c r="E519" s="35">
        <v>35.090000000000003</v>
      </c>
      <c r="F519" s="36">
        <v>0</v>
      </c>
      <c r="G519" s="36">
        <v>0</v>
      </c>
      <c r="H519" s="36">
        <v>0</v>
      </c>
      <c r="I519" s="37">
        <v>35.090000000000003</v>
      </c>
    </row>
    <row r="520" spans="1:9" x14ac:dyDescent="0.2">
      <c r="A520" s="9"/>
      <c r="B520" s="2" t="s">
        <v>1113</v>
      </c>
      <c r="C520" s="13">
        <v>45602</v>
      </c>
      <c r="D520" s="2">
        <v>568</v>
      </c>
      <c r="E520" s="35">
        <v>121</v>
      </c>
      <c r="F520" s="36">
        <v>0</v>
      </c>
      <c r="G520" s="36">
        <v>0</v>
      </c>
      <c r="H520" s="36">
        <v>0</v>
      </c>
      <c r="I520" s="37">
        <v>121</v>
      </c>
    </row>
    <row r="521" spans="1:9" x14ac:dyDescent="0.2">
      <c r="A521" s="9"/>
      <c r="B521" s="2" t="s">
        <v>304</v>
      </c>
      <c r="C521" s="13">
        <v>45602</v>
      </c>
      <c r="D521" s="2">
        <v>568</v>
      </c>
      <c r="E521" s="35">
        <v>968</v>
      </c>
      <c r="F521" s="36">
        <v>0</v>
      </c>
      <c r="G521" s="36">
        <v>0</v>
      </c>
      <c r="H521" s="36">
        <v>0</v>
      </c>
      <c r="I521" s="37">
        <v>968</v>
      </c>
    </row>
    <row r="522" spans="1:9" x14ac:dyDescent="0.2">
      <c r="A522" s="9"/>
      <c r="B522" s="2" t="s">
        <v>1076</v>
      </c>
      <c r="C522" s="13">
        <v>45602</v>
      </c>
      <c r="D522" s="2">
        <v>568</v>
      </c>
      <c r="E522" s="35">
        <v>35.090000000000003</v>
      </c>
      <c r="F522" s="36">
        <v>0</v>
      </c>
      <c r="G522" s="36">
        <v>0</v>
      </c>
      <c r="H522" s="36">
        <v>0</v>
      </c>
      <c r="I522" s="37">
        <v>35.090000000000003</v>
      </c>
    </row>
    <row r="523" spans="1:9" x14ac:dyDescent="0.2">
      <c r="A523" s="9"/>
      <c r="B523" s="2" t="s">
        <v>1000</v>
      </c>
      <c r="C523" s="13">
        <v>45602</v>
      </c>
      <c r="D523" s="2">
        <v>568</v>
      </c>
      <c r="E523" s="35">
        <v>24.2</v>
      </c>
      <c r="F523" s="36">
        <v>0</v>
      </c>
      <c r="G523" s="36">
        <v>0</v>
      </c>
      <c r="H523" s="36">
        <v>0</v>
      </c>
      <c r="I523" s="37">
        <v>24.2</v>
      </c>
    </row>
    <row r="524" spans="1:9" x14ac:dyDescent="0.2">
      <c r="A524" s="9"/>
      <c r="B524" s="2" t="s">
        <v>1209</v>
      </c>
      <c r="C524" s="13">
        <v>45630</v>
      </c>
      <c r="D524" s="2">
        <v>540</v>
      </c>
      <c r="E524" s="35">
        <v>121</v>
      </c>
      <c r="F524" s="36">
        <v>0</v>
      </c>
      <c r="G524" s="36">
        <v>0</v>
      </c>
      <c r="H524" s="36">
        <v>0</v>
      </c>
      <c r="I524" s="37">
        <v>121</v>
      </c>
    </row>
    <row r="525" spans="1:9" x14ac:dyDescent="0.2">
      <c r="A525" s="9"/>
      <c r="B525" s="2" t="s">
        <v>784</v>
      </c>
      <c r="C525" s="13">
        <v>45630</v>
      </c>
      <c r="D525" s="2">
        <v>540</v>
      </c>
      <c r="E525" s="35">
        <v>968</v>
      </c>
      <c r="F525" s="36">
        <v>0</v>
      </c>
      <c r="G525" s="36">
        <v>0</v>
      </c>
      <c r="H525" s="36">
        <v>0</v>
      </c>
      <c r="I525" s="37">
        <v>968</v>
      </c>
    </row>
    <row r="526" spans="1:9" x14ac:dyDescent="0.2">
      <c r="A526" s="9"/>
      <c r="B526" s="2" t="s">
        <v>619</v>
      </c>
      <c r="C526" s="13">
        <v>45630</v>
      </c>
      <c r="D526" s="2">
        <v>540</v>
      </c>
      <c r="E526" s="35">
        <v>24.2</v>
      </c>
      <c r="F526" s="36">
        <v>0</v>
      </c>
      <c r="G526" s="36">
        <v>0</v>
      </c>
      <c r="H526" s="36">
        <v>0</v>
      </c>
      <c r="I526" s="37">
        <v>24.2</v>
      </c>
    </row>
    <row r="527" spans="1:9" x14ac:dyDescent="0.2">
      <c r="A527" s="9"/>
      <c r="B527" s="2" t="s">
        <v>1085</v>
      </c>
      <c r="C527" s="13">
        <v>45630</v>
      </c>
      <c r="D527" s="2">
        <v>540</v>
      </c>
      <c r="E527" s="35">
        <v>35.090000000000003</v>
      </c>
      <c r="F527" s="36">
        <v>0</v>
      </c>
      <c r="G527" s="36">
        <v>0</v>
      </c>
      <c r="H527" s="36">
        <v>0</v>
      </c>
      <c r="I527" s="37">
        <v>35.090000000000003</v>
      </c>
    </row>
    <row r="528" spans="1:9" x14ac:dyDescent="0.2">
      <c r="A528" s="9"/>
      <c r="B528" s="2" t="s">
        <v>664</v>
      </c>
      <c r="C528" s="13">
        <v>45658</v>
      </c>
      <c r="D528" s="2">
        <v>512</v>
      </c>
      <c r="E528" s="35">
        <v>121</v>
      </c>
      <c r="F528" s="36">
        <v>0</v>
      </c>
      <c r="G528" s="36">
        <v>0</v>
      </c>
      <c r="H528" s="36">
        <v>0</v>
      </c>
      <c r="I528" s="37">
        <v>121</v>
      </c>
    </row>
    <row r="529" spans="1:9" x14ac:dyDescent="0.2">
      <c r="A529" s="9"/>
      <c r="B529" s="2" t="s">
        <v>713</v>
      </c>
      <c r="C529" s="13">
        <v>45658</v>
      </c>
      <c r="D529" s="2">
        <v>512</v>
      </c>
      <c r="E529" s="35">
        <v>968</v>
      </c>
      <c r="F529" s="36">
        <v>0</v>
      </c>
      <c r="G529" s="36">
        <v>0</v>
      </c>
      <c r="H529" s="36">
        <v>0</v>
      </c>
      <c r="I529" s="37">
        <v>968</v>
      </c>
    </row>
    <row r="530" spans="1:9" x14ac:dyDescent="0.2">
      <c r="A530" s="9"/>
      <c r="B530" s="2" t="s">
        <v>554</v>
      </c>
      <c r="C530" s="13">
        <v>45658</v>
      </c>
      <c r="D530" s="2">
        <v>512</v>
      </c>
      <c r="E530" s="35">
        <v>35.090000000000003</v>
      </c>
      <c r="F530" s="36">
        <v>0</v>
      </c>
      <c r="G530" s="36">
        <v>0</v>
      </c>
      <c r="H530" s="36">
        <v>0</v>
      </c>
      <c r="I530" s="37">
        <v>35.090000000000003</v>
      </c>
    </row>
    <row r="531" spans="1:9" x14ac:dyDescent="0.2">
      <c r="A531" s="9"/>
      <c r="B531" s="2" t="s">
        <v>541</v>
      </c>
      <c r="C531" s="13">
        <v>45658</v>
      </c>
      <c r="D531" s="2">
        <v>512</v>
      </c>
      <c r="E531" s="35">
        <v>24.2</v>
      </c>
      <c r="F531" s="36">
        <v>0</v>
      </c>
      <c r="G531" s="36">
        <v>0</v>
      </c>
      <c r="H531" s="36">
        <v>0</v>
      </c>
      <c r="I531" s="37">
        <v>24.2</v>
      </c>
    </row>
    <row r="532" spans="1:9" x14ac:dyDescent="0.2">
      <c r="A532" s="9"/>
      <c r="B532" s="2" t="s">
        <v>351</v>
      </c>
      <c r="C532" s="13">
        <v>45702</v>
      </c>
      <c r="D532" s="2">
        <v>468</v>
      </c>
      <c r="E532" s="35">
        <v>968</v>
      </c>
      <c r="F532" s="36">
        <v>0</v>
      </c>
      <c r="G532" s="36">
        <v>0</v>
      </c>
      <c r="H532" s="36">
        <v>0</v>
      </c>
      <c r="I532" s="37">
        <v>968</v>
      </c>
    </row>
    <row r="533" spans="1:9" x14ac:dyDescent="0.2">
      <c r="A533" s="9"/>
      <c r="B533" s="2" t="s">
        <v>828</v>
      </c>
      <c r="C533" s="13">
        <v>45702</v>
      </c>
      <c r="D533" s="2">
        <v>468</v>
      </c>
      <c r="E533" s="35">
        <v>121</v>
      </c>
      <c r="F533" s="36">
        <v>0</v>
      </c>
      <c r="G533" s="36">
        <v>0</v>
      </c>
      <c r="H533" s="36">
        <v>0</v>
      </c>
      <c r="I533" s="37">
        <v>121</v>
      </c>
    </row>
    <row r="534" spans="1:9" x14ac:dyDescent="0.2">
      <c r="A534" s="9"/>
      <c r="B534" s="2" t="s">
        <v>1005</v>
      </c>
      <c r="C534" s="13">
        <v>45703</v>
      </c>
      <c r="D534" s="2">
        <v>467</v>
      </c>
      <c r="E534" s="35">
        <v>24.2</v>
      </c>
      <c r="F534" s="36">
        <v>0</v>
      </c>
      <c r="G534" s="36">
        <v>0</v>
      </c>
      <c r="H534" s="36">
        <v>0</v>
      </c>
      <c r="I534" s="37">
        <v>24.2</v>
      </c>
    </row>
    <row r="535" spans="1:9" x14ac:dyDescent="0.2">
      <c r="A535" s="9"/>
      <c r="B535" s="2" t="s">
        <v>1070</v>
      </c>
      <c r="C535" s="13">
        <v>45703</v>
      </c>
      <c r="D535" s="2">
        <v>467</v>
      </c>
      <c r="E535" s="35">
        <v>36.909999999999997</v>
      </c>
      <c r="F535" s="36">
        <v>0</v>
      </c>
      <c r="G535" s="36">
        <v>0</v>
      </c>
      <c r="H535" s="36">
        <v>0</v>
      </c>
      <c r="I535" s="37">
        <v>36.909999999999997</v>
      </c>
    </row>
    <row r="536" spans="1:9" x14ac:dyDescent="0.2">
      <c r="A536" s="9"/>
      <c r="B536" s="2" t="s">
        <v>1233</v>
      </c>
      <c r="C536" s="13">
        <v>45721</v>
      </c>
      <c r="D536" s="2">
        <v>449</v>
      </c>
      <c r="E536" s="35">
        <v>121</v>
      </c>
      <c r="F536" s="36">
        <v>0</v>
      </c>
      <c r="G536" s="36">
        <v>0</v>
      </c>
      <c r="H536" s="36">
        <v>0</v>
      </c>
      <c r="I536" s="37">
        <v>121</v>
      </c>
    </row>
    <row r="537" spans="1:9" x14ac:dyDescent="0.2">
      <c r="A537" s="9"/>
      <c r="B537" s="2" t="s">
        <v>581</v>
      </c>
      <c r="C537" s="13">
        <v>45721</v>
      </c>
      <c r="D537" s="2">
        <v>449</v>
      </c>
      <c r="E537" s="35">
        <v>968</v>
      </c>
      <c r="F537" s="36">
        <v>0</v>
      </c>
      <c r="G537" s="36">
        <v>0</v>
      </c>
      <c r="H537" s="36">
        <v>0</v>
      </c>
      <c r="I537" s="37">
        <v>968</v>
      </c>
    </row>
    <row r="538" spans="1:9" x14ac:dyDescent="0.2">
      <c r="A538" s="9"/>
      <c r="B538" s="2" t="s">
        <v>1039</v>
      </c>
      <c r="C538" s="13">
        <v>45721</v>
      </c>
      <c r="D538" s="2">
        <v>449</v>
      </c>
      <c r="E538" s="35">
        <v>36.909999999999997</v>
      </c>
      <c r="F538" s="36">
        <v>0</v>
      </c>
      <c r="G538" s="36">
        <v>0</v>
      </c>
      <c r="H538" s="36">
        <v>0</v>
      </c>
      <c r="I538" s="37">
        <v>36.909999999999997</v>
      </c>
    </row>
    <row r="539" spans="1:9" x14ac:dyDescent="0.2">
      <c r="A539" s="9"/>
      <c r="B539" s="2" t="s">
        <v>717</v>
      </c>
      <c r="C539" s="13">
        <v>45756</v>
      </c>
      <c r="D539" s="2">
        <v>414</v>
      </c>
      <c r="E539" s="35">
        <v>1662.9</v>
      </c>
      <c r="F539" s="36">
        <v>0</v>
      </c>
      <c r="G539" s="36">
        <v>0</v>
      </c>
      <c r="H539" s="36">
        <v>0</v>
      </c>
      <c r="I539" s="37">
        <v>1662.9</v>
      </c>
    </row>
    <row r="540" spans="1:9" x14ac:dyDescent="0.2">
      <c r="A540" s="11" t="s">
        <v>1375</v>
      </c>
      <c r="B540" s="12"/>
      <c r="C540" s="12"/>
      <c r="D540" s="12"/>
      <c r="E540" s="38">
        <v>23075.470000000005</v>
      </c>
      <c r="F540" s="39">
        <v>-363</v>
      </c>
      <c r="G540" s="39">
        <v>1842.71</v>
      </c>
      <c r="H540" s="39">
        <v>121</v>
      </c>
      <c r="I540" s="40">
        <v>21474.760000000006</v>
      </c>
    </row>
    <row r="541" spans="1:9" x14ac:dyDescent="0.2">
      <c r="A541" s="2" t="s">
        <v>138</v>
      </c>
      <c r="B541" s="2" t="s">
        <v>932</v>
      </c>
      <c r="C541" s="13">
        <v>46066</v>
      </c>
      <c r="D541" s="2">
        <v>104</v>
      </c>
      <c r="E541" s="35">
        <v>464.64</v>
      </c>
      <c r="F541" s="36">
        <v>0</v>
      </c>
      <c r="G541" s="36">
        <v>0</v>
      </c>
      <c r="H541" s="36">
        <v>0</v>
      </c>
      <c r="I541" s="37">
        <v>464.64</v>
      </c>
    </row>
    <row r="542" spans="1:9" x14ac:dyDescent="0.2">
      <c r="A542" s="9"/>
      <c r="B542" s="2" t="s">
        <v>64</v>
      </c>
      <c r="C542" s="13">
        <v>46065</v>
      </c>
      <c r="D542" s="2">
        <v>105</v>
      </c>
      <c r="E542" s="35">
        <v>464.64</v>
      </c>
      <c r="F542" s="36">
        <v>0</v>
      </c>
      <c r="G542" s="36">
        <v>0</v>
      </c>
      <c r="H542" s="36">
        <v>0</v>
      </c>
      <c r="I542" s="37">
        <v>464.64</v>
      </c>
    </row>
    <row r="543" spans="1:9" x14ac:dyDescent="0.2">
      <c r="A543" s="9"/>
      <c r="B543" s="2" t="s">
        <v>592</v>
      </c>
      <c r="C543" s="13">
        <v>46069</v>
      </c>
      <c r="D543" s="2">
        <v>101</v>
      </c>
      <c r="E543" s="35">
        <v>232.32</v>
      </c>
      <c r="F543" s="36">
        <v>0</v>
      </c>
      <c r="G543" s="36">
        <v>0</v>
      </c>
      <c r="H543" s="36">
        <v>0</v>
      </c>
      <c r="I543" s="37">
        <v>232.32</v>
      </c>
    </row>
    <row r="544" spans="1:9" x14ac:dyDescent="0.2">
      <c r="A544" s="9"/>
      <c r="B544" s="2" t="s">
        <v>649</v>
      </c>
      <c r="C544" s="13">
        <v>46085</v>
      </c>
      <c r="D544" s="2">
        <v>85</v>
      </c>
      <c r="E544" s="35">
        <v>319.44</v>
      </c>
      <c r="F544" s="36">
        <v>0</v>
      </c>
      <c r="G544" s="36">
        <v>0</v>
      </c>
      <c r="H544" s="36">
        <v>319.44</v>
      </c>
      <c r="I544" s="37">
        <v>0</v>
      </c>
    </row>
    <row r="545" spans="1:9" x14ac:dyDescent="0.2">
      <c r="A545" s="9"/>
      <c r="B545" s="2" t="s">
        <v>490</v>
      </c>
      <c r="C545" s="13">
        <v>46079</v>
      </c>
      <c r="D545" s="2">
        <v>91</v>
      </c>
      <c r="E545" s="35">
        <v>-232.32</v>
      </c>
      <c r="F545" s="36">
        <v>0</v>
      </c>
      <c r="G545" s="36">
        <v>0</v>
      </c>
      <c r="H545" s="36">
        <v>0</v>
      </c>
      <c r="I545" s="37">
        <v>-232.32</v>
      </c>
    </row>
    <row r="546" spans="1:9" x14ac:dyDescent="0.2">
      <c r="A546" s="9"/>
      <c r="B546" s="2" t="s">
        <v>485</v>
      </c>
      <c r="C546" s="13">
        <v>46095</v>
      </c>
      <c r="D546" s="2">
        <v>75</v>
      </c>
      <c r="E546" s="35">
        <v>-319.44</v>
      </c>
      <c r="F546" s="36">
        <v>0</v>
      </c>
      <c r="G546" s="36">
        <v>0</v>
      </c>
      <c r="H546" s="36">
        <v>-319.44</v>
      </c>
      <c r="I546" s="37">
        <v>0</v>
      </c>
    </row>
    <row r="547" spans="1:9" x14ac:dyDescent="0.2">
      <c r="A547" s="9"/>
      <c r="B547" s="2" t="s">
        <v>938</v>
      </c>
      <c r="C547" s="13">
        <v>46079</v>
      </c>
      <c r="D547" s="2">
        <v>91</v>
      </c>
      <c r="E547" s="35">
        <v>-464.64</v>
      </c>
      <c r="F547" s="36">
        <v>0</v>
      </c>
      <c r="G547" s="36">
        <v>0</v>
      </c>
      <c r="H547" s="36">
        <v>0</v>
      </c>
      <c r="I547" s="37">
        <v>-464.64</v>
      </c>
    </row>
    <row r="548" spans="1:9" x14ac:dyDescent="0.2">
      <c r="A548" s="9"/>
      <c r="B548" s="2" t="s">
        <v>1065</v>
      </c>
      <c r="C548" s="13">
        <v>46079</v>
      </c>
      <c r="D548" s="2">
        <v>91</v>
      </c>
      <c r="E548" s="35">
        <v>-464.64</v>
      </c>
      <c r="F548" s="36">
        <v>0</v>
      </c>
      <c r="G548" s="36">
        <v>0</v>
      </c>
      <c r="H548" s="36">
        <v>0</v>
      </c>
      <c r="I548" s="37">
        <v>-464.64</v>
      </c>
    </row>
    <row r="549" spans="1:9" x14ac:dyDescent="0.2">
      <c r="A549" s="11" t="s">
        <v>1376</v>
      </c>
      <c r="B549" s="12"/>
      <c r="C549" s="12"/>
      <c r="D549" s="12"/>
      <c r="E549" s="38">
        <v>0</v>
      </c>
      <c r="F549" s="39">
        <v>0</v>
      </c>
      <c r="G549" s="39">
        <v>0</v>
      </c>
      <c r="H549" s="39">
        <v>0</v>
      </c>
      <c r="I549" s="40">
        <v>0</v>
      </c>
    </row>
    <row r="550" spans="1:9" x14ac:dyDescent="0.2">
      <c r="A550" s="2" t="s">
        <v>673</v>
      </c>
      <c r="B550" s="2" t="s">
        <v>1142</v>
      </c>
      <c r="C550" s="13">
        <v>46023</v>
      </c>
      <c r="D550" s="2">
        <v>147</v>
      </c>
      <c r="E550" s="35">
        <v>126</v>
      </c>
      <c r="F550" s="36">
        <v>0</v>
      </c>
      <c r="G550" s="36">
        <v>0</v>
      </c>
      <c r="H550" s="36">
        <v>0</v>
      </c>
      <c r="I550" s="37">
        <v>126</v>
      </c>
    </row>
    <row r="551" spans="1:9" x14ac:dyDescent="0.2">
      <c r="A551" s="9"/>
      <c r="B551" s="2" t="s">
        <v>1265</v>
      </c>
      <c r="C551" s="13">
        <v>46148</v>
      </c>
      <c r="D551" s="2">
        <v>22</v>
      </c>
      <c r="E551" s="35">
        <v>193.6</v>
      </c>
      <c r="F551" s="36">
        <v>193.6</v>
      </c>
      <c r="G551" s="36">
        <v>0</v>
      </c>
      <c r="H551" s="36">
        <v>0</v>
      </c>
      <c r="I551" s="37">
        <v>0</v>
      </c>
    </row>
    <row r="552" spans="1:9" x14ac:dyDescent="0.2">
      <c r="A552" s="9"/>
      <c r="B552" s="2" t="s">
        <v>258</v>
      </c>
      <c r="C552" s="13">
        <v>46148</v>
      </c>
      <c r="D552" s="2">
        <v>22</v>
      </c>
      <c r="E552" s="35">
        <v>126.05</v>
      </c>
      <c r="F552" s="36">
        <v>126.05</v>
      </c>
      <c r="G552" s="36">
        <v>0</v>
      </c>
      <c r="H552" s="36">
        <v>0</v>
      </c>
      <c r="I552" s="37">
        <v>0</v>
      </c>
    </row>
    <row r="553" spans="1:9" x14ac:dyDescent="0.2">
      <c r="A553" s="11" t="s">
        <v>1377</v>
      </c>
      <c r="B553" s="12"/>
      <c r="C553" s="12"/>
      <c r="D553" s="12"/>
      <c r="E553" s="38">
        <v>445.65000000000003</v>
      </c>
      <c r="F553" s="39">
        <v>319.64999999999998</v>
      </c>
      <c r="G553" s="39">
        <v>0</v>
      </c>
      <c r="H553" s="39">
        <v>0</v>
      </c>
      <c r="I553" s="40">
        <v>126</v>
      </c>
    </row>
    <row r="554" spans="1:9" x14ac:dyDescent="0.2">
      <c r="A554" s="2" t="s">
        <v>393</v>
      </c>
      <c r="B554" s="2" t="s">
        <v>1207</v>
      </c>
      <c r="C554" s="13">
        <v>46039</v>
      </c>
      <c r="D554" s="2">
        <v>131</v>
      </c>
      <c r="E554" s="35">
        <v>28645.24</v>
      </c>
      <c r="F554" s="36">
        <v>0</v>
      </c>
      <c r="G554" s="36">
        <v>0</v>
      </c>
      <c r="H554" s="36">
        <v>0</v>
      </c>
      <c r="I554" s="37">
        <v>28645.24</v>
      </c>
    </row>
    <row r="555" spans="1:9" x14ac:dyDescent="0.2">
      <c r="A555" s="11" t="s">
        <v>1378</v>
      </c>
      <c r="B555" s="12"/>
      <c r="C555" s="12"/>
      <c r="D555" s="12"/>
      <c r="E555" s="38">
        <v>28645.24</v>
      </c>
      <c r="F555" s="39">
        <v>0</v>
      </c>
      <c r="G555" s="39">
        <v>0</v>
      </c>
      <c r="H555" s="39">
        <v>0</v>
      </c>
      <c r="I555" s="40">
        <v>28645.24</v>
      </c>
    </row>
    <row r="556" spans="1:9" x14ac:dyDescent="0.2">
      <c r="A556" s="2" t="s">
        <v>1118</v>
      </c>
      <c r="B556" s="2" t="s">
        <v>920</v>
      </c>
      <c r="C556" s="13">
        <v>43895</v>
      </c>
      <c r="D556" s="2">
        <v>2275</v>
      </c>
      <c r="E556" s="35">
        <v>72.599999999999994</v>
      </c>
      <c r="F556" s="36">
        <v>0</v>
      </c>
      <c r="G556" s="36">
        <v>0</v>
      </c>
      <c r="H556" s="36">
        <v>0</v>
      </c>
      <c r="I556" s="37">
        <v>72.599999999999994</v>
      </c>
    </row>
    <row r="557" spans="1:9" x14ac:dyDescent="0.2">
      <c r="A557" s="9"/>
      <c r="B557" s="2" t="s">
        <v>369</v>
      </c>
      <c r="C557" s="13">
        <v>43895</v>
      </c>
      <c r="D557" s="2">
        <v>2275</v>
      </c>
      <c r="E557" s="35">
        <v>72.599999999999994</v>
      </c>
      <c r="F557" s="36">
        <v>0</v>
      </c>
      <c r="G557" s="36">
        <v>0</v>
      </c>
      <c r="H557" s="36">
        <v>0</v>
      </c>
      <c r="I557" s="37">
        <v>72.599999999999994</v>
      </c>
    </row>
    <row r="558" spans="1:9" x14ac:dyDescent="0.2">
      <c r="A558" s="9"/>
      <c r="B558" s="2" t="s">
        <v>395</v>
      </c>
      <c r="C558" s="13">
        <v>43923</v>
      </c>
      <c r="D558" s="2">
        <v>2247</v>
      </c>
      <c r="E558" s="35">
        <v>72.599999999999994</v>
      </c>
      <c r="F558" s="36">
        <v>0</v>
      </c>
      <c r="G558" s="36">
        <v>0</v>
      </c>
      <c r="H558" s="36">
        <v>0</v>
      </c>
      <c r="I558" s="37">
        <v>72.599999999999994</v>
      </c>
    </row>
    <row r="559" spans="1:9" x14ac:dyDescent="0.2">
      <c r="A559" s="9"/>
      <c r="B559" s="2" t="s">
        <v>147</v>
      </c>
      <c r="C559" s="13">
        <v>43958</v>
      </c>
      <c r="D559" s="2">
        <v>2212</v>
      </c>
      <c r="E559" s="35">
        <v>72.599999999999994</v>
      </c>
      <c r="F559" s="36">
        <v>0</v>
      </c>
      <c r="G559" s="36">
        <v>0</v>
      </c>
      <c r="H559" s="36">
        <v>0</v>
      </c>
      <c r="I559" s="37">
        <v>72.599999999999994</v>
      </c>
    </row>
    <row r="560" spans="1:9" x14ac:dyDescent="0.2">
      <c r="A560" s="9"/>
      <c r="B560" s="2" t="s">
        <v>96</v>
      </c>
      <c r="C560" s="13">
        <v>43987</v>
      </c>
      <c r="D560" s="2">
        <v>2183</v>
      </c>
      <c r="E560" s="35">
        <v>72.599999999999994</v>
      </c>
      <c r="F560" s="36">
        <v>0</v>
      </c>
      <c r="G560" s="36">
        <v>0</v>
      </c>
      <c r="H560" s="36">
        <v>0</v>
      </c>
      <c r="I560" s="37">
        <v>72.599999999999994</v>
      </c>
    </row>
    <row r="561" spans="1:9" x14ac:dyDescent="0.2">
      <c r="A561" s="9"/>
      <c r="B561" s="2" t="s">
        <v>452</v>
      </c>
      <c r="C561" s="13">
        <v>44014</v>
      </c>
      <c r="D561" s="2">
        <v>2156</v>
      </c>
      <c r="E561" s="35">
        <v>72.599999999999994</v>
      </c>
      <c r="F561" s="36">
        <v>0</v>
      </c>
      <c r="G561" s="36">
        <v>0</v>
      </c>
      <c r="H561" s="36">
        <v>0</v>
      </c>
      <c r="I561" s="37">
        <v>72.599999999999994</v>
      </c>
    </row>
    <row r="562" spans="1:9" x14ac:dyDescent="0.2">
      <c r="A562" s="9"/>
      <c r="B562" s="2" t="s">
        <v>299</v>
      </c>
      <c r="C562" s="13">
        <v>44043</v>
      </c>
      <c r="D562" s="2">
        <v>2127</v>
      </c>
      <c r="E562" s="35">
        <v>72.599999999999994</v>
      </c>
      <c r="F562" s="36">
        <v>0</v>
      </c>
      <c r="G562" s="36">
        <v>0</v>
      </c>
      <c r="H562" s="36">
        <v>0</v>
      </c>
      <c r="I562" s="37">
        <v>72.599999999999994</v>
      </c>
    </row>
    <row r="563" spans="1:9" x14ac:dyDescent="0.2">
      <c r="A563" s="9"/>
      <c r="B563" s="2" t="s">
        <v>226</v>
      </c>
      <c r="C563" s="13">
        <v>44077</v>
      </c>
      <c r="D563" s="2">
        <v>2093</v>
      </c>
      <c r="E563" s="35">
        <v>72.599999999999994</v>
      </c>
      <c r="F563" s="36">
        <v>0</v>
      </c>
      <c r="G563" s="36">
        <v>0</v>
      </c>
      <c r="H563" s="36">
        <v>0</v>
      </c>
      <c r="I563" s="37">
        <v>72.599999999999994</v>
      </c>
    </row>
    <row r="564" spans="1:9" x14ac:dyDescent="0.2">
      <c r="A564" s="9"/>
      <c r="B564" s="2" t="s">
        <v>615</v>
      </c>
      <c r="C564" s="13">
        <v>44105</v>
      </c>
      <c r="D564" s="2">
        <v>2065</v>
      </c>
      <c r="E564" s="35">
        <v>72.599999999999994</v>
      </c>
      <c r="F564" s="36">
        <v>0</v>
      </c>
      <c r="G564" s="36">
        <v>0</v>
      </c>
      <c r="H564" s="36">
        <v>0</v>
      </c>
      <c r="I564" s="37">
        <v>72.599999999999994</v>
      </c>
    </row>
    <row r="565" spans="1:9" x14ac:dyDescent="0.2">
      <c r="A565" s="9"/>
      <c r="B565" s="2" t="s">
        <v>372</v>
      </c>
      <c r="C565" s="13">
        <v>44140</v>
      </c>
      <c r="D565" s="2">
        <v>2030</v>
      </c>
      <c r="E565" s="35">
        <v>72.599999999999994</v>
      </c>
      <c r="F565" s="36">
        <v>0</v>
      </c>
      <c r="G565" s="36">
        <v>0</v>
      </c>
      <c r="H565" s="36">
        <v>0</v>
      </c>
      <c r="I565" s="37">
        <v>72.599999999999994</v>
      </c>
    </row>
    <row r="566" spans="1:9" x14ac:dyDescent="0.2">
      <c r="A566" s="9"/>
      <c r="B566" s="2" t="s">
        <v>328</v>
      </c>
      <c r="C566" s="13">
        <v>44168</v>
      </c>
      <c r="D566" s="2">
        <v>2002</v>
      </c>
      <c r="E566" s="35">
        <v>72.599999999999994</v>
      </c>
      <c r="F566" s="36">
        <v>0</v>
      </c>
      <c r="G566" s="36">
        <v>0</v>
      </c>
      <c r="H566" s="36">
        <v>0</v>
      </c>
      <c r="I566" s="37">
        <v>72.599999999999994</v>
      </c>
    </row>
    <row r="567" spans="1:9" x14ac:dyDescent="0.2">
      <c r="A567" s="9"/>
      <c r="B567" s="2" t="s">
        <v>817</v>
      </c>
      <c r="C567" s="13">
        <v>44196</v>
      </c>
      <c r="D567" s="2">
        <v>1974</v>
      </c>
      <c r="E567" s="35">
        <v>72.599999999999994</v>
      </c>
      <c r="F567" s="36">
        <v>0</v>
      </c>
      <c r="G567" s="36">
        <v>0</v>
      </c>
      <c r="H567" s="36">
        <v>0</v>
      </c>
      <c r="I567" s="37">
        <v>72.599999999999994</v>
      </c>
    </row>
    <row r="568" spans="1:9" x14ac:dyDescent="0.2">
      <c r="A568" s="9"/>
      <c r="B568" s="2" t="s">
        <v>674</v>
      </c>
      <c r="C568" s="13">
        <v>44233</v>
      </c>
      <c r="D568" s="2">
        <v>1937</v>
      </c>
      <c r="E568" s="35">
        <v>72.599999999999994</v>
      </c>
      <c r="F568" s="36">
        <v>0</v>
      </c>
      <c r="G568" s="36">
        <v>0</v>
      </c>
      <c r="H568" s="36">
        <v>0</v>
      </c>
      <c r="I568" s="37">
        <v>72.599999999999994</v>
      </c>
    </row>
    <row r="569" spans="1:9" x14ac:dyDescent="0.2">
      <c r="A569" s="9"/>
      <c r="B569" s="2" t="s">
        <v>606</v>
      </c>
      <c r="C569" s="13">
        <v>44273</v>
      </c>
      <c r="D569" s="2">
        <v>1897</v>
      </c>
      <c r="E569" s="35">
        <v>72.599999999999994</v>
      </c>
      <c r="F569" s="36">
        <v>0</v>
      </c>
      <c r="G569" s="36">
        <v>0</v>
      </c>
      <c r="H569" s="36">
        <v>0</v>
      </c>
      <c r="I569" s="37">
        <v>72.599999999999994</v>
      </c>
    </row>
    <row r="570" spans="1:9" x14ac:dyDescent="0.2">
      <c r="A570" s="9"/>
      <c r="B570" s="2" t="s">
        <v>140</v>
      </c>
      <c r="C570" s="13">
        <v>44286</v>
      </c>
      <c r="D570" s="2">
        <v>1884</v>
      </c>
      <c r="E570" s="35">
        <v>384.78</v>
      </c>
      <c r="F570" s="36">
        <v>0</v>
      </c>
      <c r="G570" s="36">
        <v>0</v>
      </c>
      <c r="H570" s="36">
        <v>0</v>
      </c>
      <c r="I570" s="37">
        <v>384.78</v>
      </c>
    </row>
    <row r="571" spans="1:9" x14ac:dyDescent="0.2">
      <c r="A571" s="9"/>
      <c r="B571" s="2" t="s">
        <v>332</v>
      </c>
      <c r="C571" s="13">
        <v>44287</v>
      </c>
      <c r="D571" s="2">
        <v>1883</v>
      </c>
      <c r="E571" s="35">
        <v>72.599999999999994</v>
      </c>
      <c r="F571" s="36">
        <v>0</v>
      </c>
      <c r="G571" s="36">
        <v>0</v>
      </c>
      <c r="H571" s="36">
        <v>0</v>
      </c>
      <c r="I571" s="37">
        <v>72.599999999999994</v>
      </c>
    </row>
    <row r="572" spans="1:9" x14ac:dyDescent="0.2">
      <c r="A572" s="9"/>
      <c r="B572" s="2" t="s">
        <v>70</v>
      </c>
      <c r="C572" s="13">
        <v>44288</v>
      </c>
      <c r="D572" s="2">
        <v>1882</v>
      </c>
      <c r="E572" s="35">
        <v>514.25</v>
      </c>
      <c r="F572" s="36">
        <v>0</v>
      </c>
      <c r="G572" s="36">
        <v>0</v>
      </c>
      <c r="H572" s="36">
        <v>0</v>
      </c>
      <c r="I572" s="37">
        <v>514.25</v>
      </c>
    </row>
    <row r="573" spans="1:9" x14ac:dyDescent="0.2">
      <c r="A573" s="9"/>
      <c r="B573" s="2" t="s">
        <v>276</v>
      </c>
      <c r="C573" s="13">
        <v>43804</v>
      </c>
      <c r="D573" s="2">
        <v>2366</v>
      </c>
      <c r="E573" s="35">
        <v>17.8</v>
      </c>
      <c r="F573" s="36">
        <v>0</v>
      </c>
      <c r="G573" s="36">
        <v>0</v>
      </c>
      <c r="H573" s="36">
        <v>0</v>
      </c>
      <c r="I573" s="37">
        <v>17.8</v>
      </c>
    </row>
    <row r="574" spans="1:9" x14ac:dyDescent="0.2">
      <c r="A574" s="9"/>
      <c r="B574" s="2" t="s">
        <v>818</v>
      </c>
      <c r="C574" s="13">
        <v>43832</v>
      </c>
      <c r="D574" s="2">
        <v>2338</v>
      </c>
      <c r="E574" s="35">
        <v>72.599999999999994</v>
      </c>
      <c r="F574" s="36">
        <v>0</v>
      </c>
      <c r="G574" s="36">
        <v>0</v>
      </c>
      <c r="H574" s="36">
        <v>0</v>
      </c>
      <c r="I574" s="37">
        <v>72.599999999999994</v>
      </c>
    </row>
    <row r="575" spans="1:9" x14ac:dyDescent="0.2">
      <c r="A575" s="11" t="s">
        <v>1379</v>
      </c>
      <c r="B575" s="12"/>
      <c r="C575" s="12"/>
      <c r="D575" s="12"/>
      <c r="E575" s="38">
        <v>2078.4300000000003</v>
      </c>
      <c r="F575" s="39">
        <v>0</v>
      </c>
      <c r="G575" s="39">
        <v>0</v>
      </c>
      <c r="H575" s="39">
        <v>0</v>
      </c>
      <c r="I575" s="40">
        <v>2078.4300000000003</v>
      </c>
    </row>
    <row r="576" spans="1:9" x14ac:dyDescent="0.2">
      <c r="A576" s="2" t="s">
        <v>34</v>
      </c>
      <c r="B576" s="2" t="s">
        <v>263</v>
      </c>
      <c r="C576" s="13">
        <v>46134</v>
      </c>
      <c r="D576" s="2">
        <v>36</v>
      </c>
      <c r="E576" s="35">
        <v>1253.44</v>
      </c>
      <c r="F576" s="36">
        <v>0</v>
      </c>
      <c r="G576" s="36">
        <v>1253.44</v>
      </c>
      <c r="H576" s="36">
        <v>0</v>
      </c>
      <c r="I576" s="37">
        <v>0</v>
      </c>
    </row>
    <row r="577" spans="1:9" x14ac:dyDescent="0.2">
      <c r="A577" s="9"/>
      <c r="B577" s="2" t="s">
        <v>1191</v>
      </c>
      <c r="C577" s="13">
        <v>45756</v>
      </c>
      <c r="D577" s="2">
        <v>414</v>
      </c>
      <c r="E577" s="35">
        <v>1149.5</v>
      </c>
      <c r="F577" s="36">
        <v>0</v>
      </c>
      <c r="G577" s="36">
        <v>0</v>
      </c>
      <c r="H577" s="36">
        <v>0</v>
      </c>
      <c r="I577" s="37">
        <v>1149.5</v>
      </c>
    </row>
    <row r="578" spans="1:9" x14ac:dyDescent="0.2">
      <c r="A578" s="11" t="s">
        <v>1380</v>
      </c>
      <c r="B578" s="12"/>
      <c r="C578" s="12"/>
      <c r="D578" s="12"/>
      <c r="E578" s="38">
        <v>2402.94</v>
      </c>
      <c r="F578" s="39">
        <v>0</v>
      </c>
      <c r="G578" s="39">
        <v>1253.44</v>
      </c>
      <c r="H578" s="39">
        <v>0</v>
      </c>
      <c r="I578" s="40">
        <v>1149.5</v>
      </c>
    </row>
    <row r="579" spans="1:9" x14ac:dyDescent="0.2">
      <c r="A579" s="2" t="s">
        <v>1273</v>
      </c>
      <c r="B579" s="2" t="s">
        <v>919</v>
      </c>
      <c r="C579" s="13">
        <v>43895</v>
      </c>
      <c r="D579" s="2">
        <v>2275</v>
      </c>
      <c r="E579" s="35">
        <v>95.59</v>
      </c>
      <c r="F579" s="36">
        <v>0</v>
      </c>
      <c r="G579" s="36">
        <v>0</v>
      </c>
      <c r="H579" s="36">
        <v>0</v>
      </c>
      <c r="I579" s="37">
        <v>95.59</v>
      </c>
    </row>
    <row r="580" spans="1:9" x14ac:dyDescent="0.2">
      <c r="A580" s="9"/>
      <c r="B580" s="2" t="s">
        <v>734</v>
      </c>
      <c r="C580" s="13">
        <v>43895</v>
      </c>
      <c r="D580" s="2">
        <v>2275</v>
      </c>
      <c r="E580" s="35">
        <v>95.59</v>
      </c>
      <c r="F580" s="36">
        <v>0</v>
      </c>
      <c r="G580" s="36">
        <v>0</v>
      </c>
      <c r="H580" s="36">
        <v>0</v>
      </c>
      <c r="I580" s="37">
        <v>95.59</v>
      </c>
    </row>
    <row r="581" spans="1:9" x14ac:dyDescent="0.2">
      <c r="A581" s="9"/>
      <c r="B581" s="2" t="s">
        <v>880</v>
      </c>
      <c r="C581" s="13">
        <v>43923</v>
      </c>
      <c r="D581" s="2">
        <v>2247</v>
      </c>
      <c r="E581" s="35">
        <v>95.59</v>
      </c>
      <c r="F581" s="36">
        <v>0</v>
      </c>
      <c r="G581" s="36">
        <v>0</v>
      </c>
      <c r="H581" s="36">
        <v>0</v>
      </c>
      <c r="I581" s="37">
        <v>95.59</v>
      </c>
    </row>
    <row r="582" spans="1:9" x14ac:dyDescent="0.2">
      <c r="A582" s="9"/>
      <c r="B582" s="2" t="s">
        <v>982</v>
      </c>
      <c r="C582" s="13">
        <v>43958</v>
      </c>
      <c r="D582" s="2">
        <v>2212</v>
      </c>
      <c r="E582" s="35">
        <v>95.59</v>
      </c>
      <c r="F582" s="36">
        <v>0</v>
      </c>
      <c r="G582" s="36">
        <v>0</v>
      </c>
      <c r="H582" s="36">
        <v>0</v>
      </c>
      <c r="I582" s="37">
        <v>95.59</v>
      </c>
    </row>
    <row r="583" spans="1:9" x14ac:dyDescent="0.2">
      <c r="A583" s="9"/>
      <c r="B583" s="2" t="s">
        <v>1192</v>
      </c>
      <c r="C583" s="13">
        <v>43987</v>
      </c>
      <c r="D583" s="2">
        <v>2183</v>
      </c>
      <c r="E583" s="35">
        <v>95.59</v>
      </c>
      <c r="F583" s="36">
        <v>0</v>
      </c>
      <c r="G583" s="36">
        <v>0</v>
      </c>
      <c r="H583" s="36">
        <v>0</v>
      </c>
      <c r="I583" s="37">
        <v>95.59</v>
      </c>
    </row>
    <row r="584" spans="1:9" x14ac:dyDescent="0.2">
      <c r="A584" s="9"/>
      <c r="B584" s="2" t="s">
        <v>199</v>
      </c>
      <c r="C584" s="13">
        <v>44014</v>
      </c>
      <c r="D584" s="2">
        <v>2156</v>
      </c>
      <c r="E584" s="35">
        <v>95.59</v>
      </c>
      <c r="F584" s="36">
        <v>0</v>
      </c>
      <c r="G584" s="36">
        <v>0</v>
      </c>
      <c r="H584" s="36">
        <v>0</v>
      </c>
      <c r="I584" s="37">
        <v>95.59</v>
      </c>
    </row>
    <row r="585" spans="1:9" x14ac:dyDescent="0.2">
      <c r="A585" s="9"/>
      <c r="B585" s="2" t="s">
        <v>795</v>
      </c>
      <c r="C585" s="13">
        <v>44043</v>
      </c>
      <c r="D585" s="2">
        <v>2127</v>
      </c>
      <c r="E585" s="35">
        <v>95.59</v>
      </c>
      <c r="F585" s="36">
        <v>0</v>
      </c>
      <c r="G585" s="36">
        <v>0</v>
      </c>
      <c r="H585" s="36">
        <v>0</v>
      </c>
      <c r="I585" s="37">
        <v>95.59</v>
      </c>
    </row>
    <row r="586" spans="1:9" x14ac:dyDescent="0.2">
      <c r="A586" s="9"/>
      <c r="B586" s="2" t="s">
        <v>225</v>
      </c>
      <c r="C586" s="13">
        <v>44077</v>
      </c>
      <c r="D586" s="2">
        <v>2093</v>
      </c>
      <c r="E586" s="35">
        <v>95.59</v>
      </c>
      <c r="F586" s="36">
        <v>0</v>
      </c>
      <c r="G586" s="36">
        <v>0</v>
      </c>
      <c r="H586" s="36">
        <v>0</v>
      </c>
      <c r="I586" s="37">
        <v>95.59</v>
      </c>
    </row>
    <row r="587" spans="1:9" x14ac:dyDescent="0.2">
      <c r="A587" s="9"/>
      <c r="B587" s="2" t="s">
        <v>616</v>
      </c>
      <c r="C587" s="13">
        <v>44105</v>
      </c>
      <c r="D587" s="2">
        <v>2065</v>
      </c>
      <c r="E587" s="35">
        <v>95.59</v>
      </c>
      <c r="F587" s="36">
        <v>0</v>
      </c>
      <c r="G587" s="36">
        <v>0</v>
      </c>
      <c r="H587" s="36">
        <v>0</v>
      </c>
      <c r="I587" s="37">
        <v>95.59</v>
      </c>
    </row>
    <row r="588" spans="1:9" x14ac:dyDescent="0.2">
      <c r="A588" s="9"/>
      <c r="B588" s="2" t="s">
        <v>129</v>
      </c>
      <c r="C588" s="13">
        <v>44140</v>
      </c>
      <c r="D588" s="2">
        <v>2030</v>
      </c>
      <c r="E588" s="35">
        <v>95.59</v>
      </c>
      <c r="F588" s="36">
        <v>0</v>
      </c>
      <c r="G588" s="36">
        <v>0</v>
      </c>
      <c r="H588" s="36">
        <v>0</v>
      </c>
      <c r="I588" s="37">
        <v>95.59</v>
      </c>
    </row>
    <row r="589" spans="1:9" x14ac:dyDescent="0.2">
      <c r="A589" s="9"/>
      <c r="B589" s="2" t="s">
        <v>329</v>
      </c>
      <c r="C589" s="13">
        <v>44168</v>
      </c>
      <c r="D589" s="2">
        <v>2002</v>
      </c>
      <c r="E589" s="35">
        <v>95.59</v>
      </c>
      <c r="F589" s="36">
        <v>0</v>
      </c>
      <c r="G589" s="36">
        <v>0</v>
      </c>
      <c r="H589" s="36">
        <v>0</v>
      </c>
      <c r="I589" s="37">
        <v>95.59</v>
      </c>
    </row>
    <row r="590" spans="1:9" x14ac:dyDescent="0.2">
      <c r="A590" s="9"/>
      <c r="B590" s="2" t="s">
        <v>617</v>
      </c>
      <c r="C590" s="13">
        <v>44196</v>
      </c>
      <c r="D590" s="2">
        <v>1974</v>
      </c>
      <c r="E590" s="35">
        <v>95.59</v>
      </c>
      <c r="F590" s="36">
        <v>0</v>
      </c>
      <c r="G590" s="36">
        <v>0</v>
      </c>
      <c r="H590" s="36">
        <v>0</v>
      </c>
      <c r="I590" s="37">
        <v>95.59</v>
      </c>
    </row>
    <row r="591" spans="1:9" x14ac:dyDescent="0.2">
      <c r="A591" s="9"/>
      <c r="B591" s="2" t="s">
        <v>183</v>
      </c>
      <c r="C591" s="13">
        <v>44233</v>
      </c>
      <c r="D591" s="2">
        <v>1937</v>
      </c>
      <c r="E591" s="35">
        <v>95.59</v>
      </c>
      <c r="F591" s="36">
        <v>0</v>
      </c>
      <c r="G591" s="36">
        <v>0</v>
      </c>
      <c r="H591" s="36">
        <v>0</v>
      </c>
      <c r="I591" s="37">
        <v>95.59</v>
      </c>
    </row>
    <row r="592" spans="1:9" x14ac:dyDescent="0.2">
      <c r="A592" s="9"/>
      <c r="B592" s="2" t="s">
        <v>1052</v>
      </c>
      <c r="C592" s="13">
        <v>44765</v>
      </c>
      <c r="D592" s="2">
        <v>1405</v>
      </c>
      <c r="E592" s="35">
        <v>3932.5</v>
      </c>
      <c r="F592" s="36">
        <v>0</v>
      </c>
      <c r="G592" s="36">
        <v>0</v>
      </c>
      <c r="H592" s="36">
        <v>0</v>
      </c>
      <c r="I592" s="37">
        <v>3932.5</v>
      </c>
    </row>
    <row r="593" spans="1:9" x14ac:dyDescent="0.2">
      <c r="A593" s="9"/>
      <c r="B593" s="2" t="s">
        <v>238</v>
      </c>
      <c r="C593" s="13">
        <v>43497</v>
      </c>
      <c r="D593" s="2">
        <v>2673</v>
      </c>
      <c r="E593" s="35">
        <v>95.59</v>
      </c>
      <c r="F593" s="36">
        <v>0</v>
      </c>
      <c r="G593" s="36">
        <v>0</v>
      </c>
      <c r="H593" s="36">
        <v>0</v>
      </c>
      <c r="I593" s="37">
        <v>95.59</v>
      </c>
    </row>
    <row r="594" spans="1:9" x14ac:dyDescent="0.2">
      <c r="A594" s="9"/>
      <c r="B594" s="2" t="s">
        <v>1100</v>
      </c>
      <c r="C594" s="13">
        <v>43532</v>
      </c>
      <c r="D594" s="2">
        <v>2638</v>
      </c>
      <c r="E594" s="35">
        <v>95.59</v>
      </c>
      <c r="F594" s="36">
        <v>0</v>
      </c>
      <c r="G594" s="36">
        <v>0</v>
      </c>
      <c r="H594" s="36">
        <v>0</v>
      </c>
      <c r="I594" s="37">
        <v>95.59</v>
      </c>
    </row>
    <row r="595" spans="1:9" x14ac:dyDescent="0.2">
      <c r="A595" s="9"/>
      <c r="B595" s="2" t="s">
        <v>1057</v>
      </c>
      <c r="C595" s="13">
        <v>43559</v>
      </c>
      <c r="D595" s="2">
        <v>2611</v>
      </c>
      <c r="E595" s="35">
        <v>95.59</v>
      </c>
      <c r="F595" s="36">
        <v>0</v>
      </c>
      <c r="G595" s="36">
        <v>0</v>
      </c>
      <c r="H595" s="36">
        <v>0</v>
      </c>
      <c r="I595" s="37">
        <v>95.59</v>
      </c>
    </row>
    <row r="596" spans="1:9" x14ac:dyDescent="0.2">
      <c r="A596" s="9"/>
      <c r="B596" s="2" t="s">
        <v>962</v>
      </c>
      <c r="C596" s="13">
        <v>43593</v>
      </c>
      <c r="D596" s="2">
        <v>2577</v>
      </c>
      <c r="E596" s="35">
        <v>95.59</v>
      </c>
      <c r="F596" s="36">
        <v>0</v>
      </c>
      <c r="G596" s="36">
        <v>0</v>
      </c>
      <c r="H596" s="36">
        <v>0</v>
      </c>
      <c r="I596" s="37">
        <v>95.59</v>
      </c>
    </row>
    <row r="597" spans="1:9" x14ac:dyDescent="0.2">
      <c r="A597" s="9"/>
      <c r="B597" s="2" t="s">
        <v>813</v>
      </c>
      <c r="C597" s="13">
        <v>43616</v>
      </c>
      <c r="D597" s="2">
        <v>2554</v>
      </c>
      <c r="E597" s="35">
        <v>95.59</v>
      </c>
      <c r="F597" s="36">
        <v>0</v>
      </c>
      <c r="G597" s="36">
        <v>0</v>
      </c>
      <c r="H597" s="36">
        <v>0</v>
      </c>
      <c r="I597" s="37">
        <v>95.59</v>
      </c>
    </row>
    <row r="598" spans="1:9" x14ac:dyDescent="0.2">
      <c r="A598" s="9"/>
      <c r="B598" s="2" t="s">
        <v>831</v>
      </c>
      <c r="C598" s="13">
        <v>43651</v>
      </c>
      <c r="D598" s="2">
        <v>2519</v>
      </c>
      <c r="E598" s="35">
        <v>95.59</v>
      </c>
      <c r="F598" s="36">
        <v>0</v>
      </c>
      <c r="G598" s="36">
        <v>0</v>
      </c>
      <c r="H598" s="36">
        <v>0</v>
      </c>
      <c r="I598" s="37">
        <v>95.59</v>
      </c>
    </row>
    <row r="599" spans="1:9" x14ac:dyDescent="0.2">
      <c r="A599" s="9"/>
      <c r="B599" s="2" t="s">
        <v>363</v>
      </c>
      <c r="C599" s="13">
        <v>43678</v>
      </c>
      <c r="D599" s="2">
        <v>2492</v>
      </c>
      <c r="E599" s="35">
        <v>95.59</v>
      </c>
      <c r="F599" s="36">
        <v>0</v>
      </c>
      <c r="G599" s="36">
        <v>0</v>
      </c>
      <c r="H599" s="36">
        <v>0</v>
      </c>
      <c r="I599" s="37">
        <v>95.59</v>
      </c>
    </row>
    <row r="600" spans="1:9" x14ac:dyDescent="0.2">
      <c r="A600" s="9"/>
      <c r="B600" s="2" t="s">
        <v>877</v>
      </c>
      <c r="C600" s="13">
        <v>43708</v>
      </c>
      <c r="D600" s="2">
        <v>2462</v>
      </c>
      <c r="E600" s="35">
        <v>95.59</v>
      </c>
      <c r="F600" s="36">
        <v>0</v>
      </c>
      <c r="G600" s="36">
        <v>0</v>
      </c>
      <c r="H600" s="36">
        <v>0</v>
      </c>
      <c r="I600" s="37">
        <v>95.59</v>
      </c>
    </row>
    <row r="601" spans="1:9" x14ac:dyDescent="0.2">
      <c r="A601" s="9"/>
      <c r="B601" s="2" t="s">
        <v>427</v>
      </c>
      <c r="C601" s="13">
        <v>43741</v>
      </c>
      <c r="D601" s="2">
        <v>2429</v>
      </c>
      <c r="E601" s="35">
        <v>95.59</v>
      </c>
      <c r="F601" s="36">
        <v>0</v>
      </c>
      <c r="G601" s="36">
        <v>0</v>
      </c>
      <c r="H601" s="36">
        <v>0</v>
      </c>
      <c r="I601" s="37">
        <v>95.59</v>
      </c>
    </row>
    <row r="602" spans="1:9" x14ac:dyDescent="0.2">
      <c r="A602" s="9"/>
      <c r="B602" s="2" t="s">
        <v>249</v>
      </c>
      <c r="C602" s="13">
        <v>43770</v>
      </c>
      <c r="D602" s="2">
        <v>2400</v>
      </c>
      <c r="E602" s="35">
        <v>95.59</v>
      </c>
      <c r="F602" s="36">
        <v>0</v>
      </c>
      <c r="G602" s="36">
        <v>0</v>
      </c>
      <c r="H602" s="36">
        <v>0</v>
      </c>
      <c r="I602" s="37">
        <v>95.59</v>
      </c>
    </row>
    <row r="603" spans="1:9" x14ac:dyDescent="0.2">
      <c r="A603" s="9"/>
      <c r="B603" s="2" t="s">
        <v>1214</v>
      </c>
      <c r="C603" s="13">
        <v>43804</v>
      </c>
      <c r="D603" s="2">
        <v>2366</v>
      </c>
      <c r="E603" s="35">
        <v>95.59</v>
      </c>
      <c r="F603" s="36">
        <v>0</v>
      </c>
      <c r="G603" s="36">
        <v>0</v>
      </c>
      <c r="H603" s="36">
        <v>0</v>
      </c>
      <c r="I603" s="37">
        <v>95.59</v>
      </c>
    </row>
    <row r="604" spans="1:9" x14ac:dyDescent="0.2">
      <c r="A604" s="9"/>
      <c r="B604" s="2" t="s">
        <v>935</v>
      </c>
      <c r="C604" s="13">
        <v>43832</v>
      </c>
      <c r="D604" s="2">
        <v>2338</v>
      </c>
      <c r="E604" s="35">
        <v>95.59</v>
      </c>
      <c r="F604" s="36">
        <v>0</v>
      </c>
      <c r="G604" s="36">
        <v>0</v>
      </c>
      <c r="H604" s="36">
        <v>0</v>
      </c>
      <c r="I604" s="37">
        <v>95.59</v>
      </c>
    </row>
    <row r="605" spans="1:9" x14ac:dyDescent="0.2">
      <c r="A605" s="11" t="s">
        <v>1381</v>
      </c>
      <c r="B605" s="12"/>
      <c r="C605" s="12"/>
      <c r="D605" s="12"/>
      <c r="E605" s="38">
        <v>6322.2500000000018</v>
      </c>
      <c r="F605" s="39">
        <v>0</v>
      </c>
      <c r="G605" s="39">
        <v>0</v>
      </c>
      <c r="H605" s="39">
        <v>0</v>
      </c>
      <c r="I605" s="40">
        <v>6322.2500000000018</v>
      </c>
    </row>
    <row r="606" spans="1:9" x14ac:dyDescent="0.2">
      <c r="A606" s="2" t="s">
        <v>636</v>
      </c>
      <c r="B606" s="2" t="s">
        <v>254</v>
      </c>
      <c r="C606" s="13">
        <v>43072</v>
      </c>
      <c r="D606" s="2">
        <v>3098</v>
      </c>
      <c r="E606" s="35">
        <v>1210</v>
      </c>
      <c r="F606" s="36">
        <v>0</v>
      </c>
      <c r="G606" s="36">
        <v>0</v>
      </c>
      <c r="H606" s="36">
        <v>0</v>
      </c>
      <c r="I606" s="37">
        <v>1210</v>
      </c>
    </row>
    <row r="607" spans="1:9" x14ac:dyDescent="0.2">
      <c r="A607" s="11" t="s">
        <v>1382</v>
      </c>
      <c r="B607" s="12"/>
      <c r="C607" s="12"/>
      <c r="D607" s="12"/>
      <c r="E607" s="38">
        <v>1210</v>
      </c>
      <c r="F607" s="39">
        <v>0</v>
      </c>
      <c r="G607" s="39">
        <v>0</v>
      </c>
      <c r="H607" s="39">
        <v>0</v>
      </c>
      <c r="I607" s="40">
        <v>1210</v>
      </c>
    </row>
    <row r="608" spans="1:9" x14ac:dyDescent="0.2">
      <c r="A608" s="2" t="s">
        <v>278</v>
      </c>
      <c r="B608" s="2" t="s">
        <v>918</v>
      </c>
      <c r="C608" s="13">
        <v>43879</v>
      </c>
      <c r="D608" s="2">
        <v>2291</v>
      </c>
      <c r="E608" s="35">
        <v>117.37</v>
      </c>
      <c r="F608" s="36">
        <v>0</v>
      </c>
      <c r="G608" s="36">
        <v>0</v>
      </c>
      <c r="H608" s="36">
        <v>0</v>
      </c>
      <c r="I608" s="37">
        <v>117.37</v>
      </c>
    </row>
    <row r="609" spans="1:9" x14ac:dyDescent="0.2">
      <c r="A609" s="9"/>
      <c r="B609" s="2" t="s">
        <v>658</v>
      </c>
      <c r="C609" s="13">
        <v>43879</v>
      </c>
      <c r="D609" s="2">
        <v>2291</v>
      </c>
      <c r="E609" s="35">
        <v>117.37</v>
      </c>
      <c r="F609" s="36">
        <v>0</v>
      </c>
      <c r="G609" s="36">
        <v>0</v>
      </c>
      <c r="H609" s="36">
        <v>0</v>
      </c>
      <c r="I609" s="37">
        <v>117.37</v>
      </c>
    </row>
    <row r="610" spans="1:9" x14ac:dyDescent="0.2">
      <c r="A610" s="9"/>
      <c r="B610" s="2" t="s">
        <v>847</v>
      </c>
      <c r="C610" s="13">
        <v>43894</v>
      </c>
      <c r="D610" s="2">
        <v>2276</v>
      </c>
      <c r="E610" s="35">
        <v>30.25</v>
      </c>
      <c r="F610" s="36">
        <v>0</v>
      </c>
      <c r="G610" s="36">
        <v>0</v>
      </c>
      <c r="H610" s="36">
        <v>0</v>
      </c>
      <c r="I610" s="37">
        <v>30.25</v>
      </c>
    </row>
    <row r="611" spans="1:9" x14ac:dyDescent="0.2">
      <c r="A611" s="9"/>
      <c r="B611" s="2" t="s">
        <v>883</v>
      </c>
      <c r="C611" s="13">
        <v>43907</v>
      </c>
      <c r="D611" s="2">
        <v>2263</v>
      </c>
      <c r="E611" s="35">
        <v>117.37</v>
      </c>
      <c r="F611" s="36">
        <v>0</v>
      </c>
      <c r="G611" s="36">
        <v>0</v>
      </c>
      <c r="H611" s="36">
        <v>0</v>
      </c>
      <c r="I611" s="37">
        <v>117.37</v>
      </c>
    </row>
    <row r="612" spans="1:9" x14ac:dyDescent="0.2">
      <c r="A612" s="9"/>
      <c r="B612" s="2" t="s">
        <v>633</v>
      </c>
      <c r="C612" s="13">
        <v>43936</v>
      </c>
      <c r="D612" s="2">
        <v>2234</v>
      </c>
      <c r="E612" s="35">
        <v>30.25</v>
      </c>
      <c r="F612" s="36">
        <v>0</v>
      </c>
      <c r="G612" s="36">
        <v>0</v>
      </c>
      <c r="H612" s="36">
        <v>0</v>
      </c>
      <c r="I612" s="37">
        <v>30.25</v>
      </c>
    </row>
    <row r="613" spans="1:9" x14ac:dyDescent="0.2">
      <c r="A613" s="9"/>
      <c r="B613" s="2" t="s">
        <v>336</v>
      </c>
      <c r="C613" s="13">
        <v>43942</v>
      </c>
      <c r="D613" s="2">
        <v>2228</v>
      </c>
      <c r="E613" s="35">
        <v>117.37</v>
      </c>
      <c r="F613" s="36">
        <v>0</v>
      </c>
      <c r="G613" s="36">
        <v>0</v>
      </c>
      <c r="H613" s="36">
        <v>0</v>
      </c>
      <c r="I613" s="37">
        <v>117.37</v>
      </c>
    </row>
    <row r="614" spans="1:9" x14ac:dyDescent="0.2">
      <c r="A614" s="9"/>
      <c r="B614" s="2" t="s">
        <v>343</v>
      </c>
      <c r="C614" s="13">
        <v>43963</v>
      </c>
      <c r="D614" s="2">
        <v>2207</v>
      </c>
      <c r="E614" s="35">
        <v>30.25</v>
      </c>
      <c r="F614" s="36">
        <v>0</v>
      </c>
      <c r="G614" s="36">
        <v>0</v>
      </c>
      <c r="H614" s="36">
        <v>0</v>
      </c>
      <c r="I614" s="37">
        <v>30.25</v>
      </c>
    </row>
    <row r="615" spans="1:9" x14ac:dyDescent="0.2">
      <c r="A615" s="9"/>
      <c r="B615" s="2" t="s">
        <v>89</v>
      </c>
      <c r="C615" s="13">
        <v>43971</v>
      </c>
      <c r="D615" s="2">
        <v>2199</v>
      </c>
      <c r="E615" s="35">
        <v>117.37</v>
      </c>
      <c r="F615" s="36">
        <v>0</v>
      </c>
      <c r="G615" s="36">
        <v>0</v>
      </c>
      <c r="H615" s="36">
        <v>0</v>
      </c>
      <c r="I615" s="37">
        <v>117.37</v>
      </c>
    </row>
    <row r="616" spans="1:9" x14ac:dyDescent="0.2">
      <c r="A616" s="9"/>
      <c r="B616" s="2" t="s">
        <v>943</v>
      </c>
      <c r="C616" s="13">
        <v>43998</v>
      </c>
      <c r="D616" s="2">
        <v>2172</v>
      </c>
      <c r="E616" s="35">
        <v>117.37</v>
      </c>
      <c r="F616" s="36">
        <v>0</v>
      </c>
      <c r="G616" s="36">
        <v>0</v>
      </c>
      <c r="H616" s="36">
        <v>0</v>
      </c>
      <c r="I616" s="37">
        <v>117.37</v>
      </c>
    </row>
    <row r="617" spans="1:9" x14ac:dyDescent="0.2">
      <c r="A617" s="9"/>
      <c r="B617" s="2" t="s">
        <v>788</v>
      </c>
      <c r="C617" s="13">
        <v>44027</v>
      </c>
      <c r="D617" s="2">
        <v>2143</v>
      </c>
      <c r="E617" s="35">
        <v>117.37</v>
      </c>
      <c r="F617" s="36">
        <v>0</v>
      </c>
      <c r="G617" s="36">
        <v>0</v>
      </c>
      <c r="H617" s="36">
        <v>0</v>
      </c>
      <c r="I617" s="37">
        <v>117.37</v>
      </c>
    </row>
    <row r="618" spans="1:9" x14ac:dyDescent="0.2">
      <c r="A618" s="9"/>
      <c r="B618" s="2" t="s">
        <v>722</v>
      </c>
      <c r="C618" s="13">
        <v>44061</v>
      </c>
      <c r="D618" s="2">
        <v>2109</v>
      </c>
      <c r="E618" s="35">
        <v>117.37</v>
      </c>
      <c r="F618" s="36">
        <v>0</v>
      </c>
      <c r="G618" s="36">
        <v>0</v>
      </c>
      <c r="H618" s="36">
        <v>0</v>
      </c>
      <c r="I618" s="37">
        <v>117.37</v>
      </c>
    </row>
    <row r="619" spans="1:9" x14ac:dyDescent="0.2">
      <c r="A619" s="9"/>
      <c r="B619" s="2" t="s">
        <v>1086</v>
      </c>
      <c r="C619" s="13">
        <v>44089</v>
      </c>
      <c r="D619" s="2">
        <v>2081</v>
      </c>
      <c r="E619" s="35">
        <v>117.37</v>
      </c>
      <c r="F619" s="36">
        <v>0</v>
      </c>
      <c r="G619" s="36">
        <v>0</v>
      </c>
      <c r="H619" s="36">
        <v>0</v>
      </c>
      <c r="I619" s="37">
        <v>117.37</v>
      </c>
    </row>
    <row r="620" spans="1:9" x14ac:dyDescent="0.2">
      <c r="A620" s="9"/>
      <c r="B620" s="2" t="s">
        <v>867</v>
      </c>
      <c r="C620" s="13">
        <v>44124</v>
      </c>
      <c r="D620" s="2">
        <v>2046</v>
      </c>
      <c r="E620" s="35">
        <v>117.37</v>
      </c>
      <c r="F620" s="36">
        <v>0</v>
      </c>
      <c r="G620" s="36">
        <v>0</v>
      </c>
      <c r="H620" s="36">
        <v>0</v>
      </c>
      <c r="I620" s="37">
        <v>117.37</v>
      </c>
    </row>
    <row r="621" spans="1:9" x14ac:dyDescent="0.2">
      <c r="A621" s="9"/>
      <c r="B621" s="2" t="s">
        <v>719</v>
      </c>
      <c r="C621" s="13">
        <v>44124</v>
      </c>
      <c r="D621" s="2">
        <v>2046</v>
      </c>
      <c r="E621" s="35">
        <v>30.25</v>
      </c>
      <c r="F621" s="36">
        <v>0</v>
      </c>
      <c r="G621" s="36">
        <v>0</v>
      </c>
      <c r="H621" s="36">
        <v>0</v>
      </c>
      <c r="I621" s="37">
        <v>30.25</v>
      </c>
    </row>
    <row r="622" spans="1:9" x14ac:dyDescent="0.2">
      <c r="A622" s="9"/>
      <c r="B622" s="2" t="s">
        <v>333</v>
      </c>
      <c r="C622" s="13">
        <v>44152</v>
      </c>
      <c r="D622" s="2">
        <v>2018</v>
      </c>
      <c r="E622" s="35">
        <v>117.37</v>
      </c>
      <c r="F622" s="36">
        <v>0</v>
      </c>
      <c r="G622" s="36">
        <v>0</v>
      </c>
      <c r="H622" s="36">
        <v>0</v>
      </c>
      <c r="I622" s="37">
        <v>117.37</v>
      </c>
    </row>
    <row r="623" spans="1:9" x14ac:dyDescent="0.2">
      <c r="A623" s="9"/>
      <c r="B623" s="2" t="s">
        <v>444</v>
      </c>
      <c r="C623" s="13">
        <v>44180</v>
      </c>
      <c r="D623" s="2">
        <v>1990</v>
      </c>
      <c r="E623" s="35">
        <v>30.25</v>
      </c>
      <c r="F623" s="36">
        <v>0</v>
      </c>
      <c r="G623" s="36">
        <v>0</v>
      </c>
      <c r="H623" s="36">
        <v>0</v>
      </c>
      <c r="I623" s="37">
        <v>30.25</v>
      </c>
    </row>
    <row r="624" spans="1:9" x14ac:dyDescent="0.2">
      <c r="A624" s="9"/>
      <c r="B624" s="2" t="s">
        <v>515</v>
      </c>
      <c r="C624" s="13">
        <v>43621</v>
      </c>
      <c r="D624" s="2">
        <v>2549</v>
      </c>
      <c r="E624" s="35">
        <v>117.37</v>
      </c>
      <c r="F624" s="36">
        <v>0</v>
      </c>
      <c r="G624" s="36">
        <v>0</v>
      </c>
      <c r="H624" s="36">
        <v>0</v>
      </c>
      <c r="I624" s="37">
        <v>117.37</v>
      </c>
    </row>
    <row r="625" spans="1:9" x14ac:dyDescent="0.2">
      <c r="A625" s="9"/>
      <c r="B625" s="2" t="s">
        <v>860</v>
      </c>
      <c r="C625" s="13">
        <v>43648</v>
      </c>
      <c r="D625" s="2">
        <v>2522</v>
      </c>
      <c r="E625" s="35">
        <v>117.37</v>
      </c>
      <c r="F625" s="36">
        <v>0</v>
      </c>
      <c r="G625" s="36">
        <v>0</v>
      </c>
      <c r="H625" s="36">
        <v>0</v>
      </c>
      <c r="I625" s="37">
        <v>117.37</v>
      </c>
    </row>
    <row r="626" spans="1:9" x14ac:dyDescent="0.2">
      <c r="A626" s="9"/>
      <c r="B626" s="2" t="s">
        <v>876</v>
      </c>
      <c r="C626" s="13">
        <v>43678</v>
      </c>
      <c r="D626" s="2">
        <v>2492</v>
      </c>
      <c r="E626" s="35">
        <v>117.37</v>
      </c>
      <c r="F626" s="36">
        <v>0</v>
      </c>
      <c r="G626" s="36">
        <v>0</v>
      </c>
      <c r="H626" s="36">
        <v>0</v>
      </c>
      <c r="I626" s="37">
        <v>117.37</v>
      </c>
    </row>
    <row r="627" spans="1:9" x14ac:dyDescent="0.2">
      <c r="A627" s="9"/>
      <c r="B627" s="2" t="s">
        <v>898</v>
      </c>
      <c r="C627" s="13">
        <v>43711</v>
      </c>
      <c r="D627" s="2">
        <v>2459</v>
      </c>
      <c r="E627" s="35">
        <v>117.37</v>
      </c>
      <c r="F627" s="36">
        <v>0</v>
      </c>
      <c r="G627" s="36">
        <v>0</v>
      </c>
      <c r="H627" s="36">
        <v>0</v>
      </c>
      <c r="I627" s="37">
        <v>117.37</v>
      </c>
    </row>
    <row r="628" spans="1:9" x14ac:dyDescent="0.2">
      <c r="A628" s="9"/>
      <c r="B628" s="2" t="s">
        <v>921</v>
      </c>
      <c r="C628" s="13">
        <v>43740</v>
      </c>
      <c r="D628" s="2">
        <v>2430</v>
      </c>
      <c r="E628" s="35">
        <v>117.37</v>
      </c>
      <c r="F628" s="36">
        <v>0</v>
      </c>
      <c r="G628" s="36">
        <v>0</v>
      </c>
      <c r="H628" s="36">
        <v>0</v>
      </c>
      <c r="I628" s="37">
        <v>117.37</v>
      </c>
    </row>
    <row r="629" spans="1:9" x14ac:dyDescent="0.2">
      <c r="A629" s="9"/>
      <c r="B629" s="2" t="s">
        <v>911</v>
      </c>
      <c r="C629" s="13">
        <v>43774</v>
      </c>
      <c r="D629" s="2">
        <v>2396</v>
      </c>
      <c r="E629" s="35">
        <v>117.37</v>
      </c>
      <c r="F629" s="36">
        <v>0</v>
      </c>
      <c r="G629" s="36">
        <v>0</v>
      </c>
      <c r="H629" s="36">
        <v>0</v>
      </c>
      <c r="I629" s="37">
        <v>117.37</v>
      </c>
    </row>
    <row r="630" spans="1:9" x14ac:dyDescent="0.2">
      <c r="A630" s="9"/>
      <c r="B630" s="2" t="s">
        <v>501</v>
      </c>
      <c r="C630" s="13">
        <v>43802</v>
      </c>
      <c r="D630" s="2">
        <v>2368</v>
      </c>
      <c r="E630" s="35">
        <v>117.37</v>
      </c>
      <c r="F630" s="36">
        <v>0</v>
      </c>
      <c r="G630" s="36">
        <v>0</v>
      </c>
      <c r="H630" s="36">
        <v>0</v>
      </c>
      <c r="I630" s="37">
        <v>117.37</v>
      </c>
    </row>
    <row r="631" spans="1:9" x14ac:dyDescent="0.2">
      <c r="A631" s="11" t="s">
        <v>1383</v>
      </c>
      <c r="B631" s="12"/>
      <c r="C631" s="12"/>
      <c r="D631" s="12"/>
      <c r="E631" s="38">
        <v>2263.9099999999989</v>
      </c>
      <c r="F631" s="39">
        <v>0</v>
      </c>
      <c r="G631" s="39">
        <v>0</v>
      </c>
      <c r="H631" s="39">
        <v>0</v>
      </c>
      <c r="I631" s="40">
        <v>2263.9099999999989</v>
      </c>
    </row>
    <row r="632" spans="1:9" x14ac:dyDescent="0.2">
      <c r="A632" s="2" t="s">
        <v>1125</v>
      </c>
      <c r="B632" s="2" t="s">
        <v>310</v>
      </c>
      <c r="C632" s="13">
        <v>46023</v>
      </c>
      <c r="D632" s="2">
        <v>147</v>
      </c>
      <c r="E632" s="35">
        <v>1597.2</v>
      </c>
      <c r="F632" s="36">
        <v>0</v>
      </c>
      <c r="G632" s="36">
        <v>0</v>
      </c>
      <c r="H632" s="36">
        <v>0</v>
      </c>
      <c r="I632" s="37">
        <v>1597.2</v>
      </c>
    </row>
    <row r="633" spans="1:9" x14ac:dyDescent="0.2">
      <c r="A633" s="9"/>
      <c r="B633" s="2" t="s">
        <v>1060</v>
      </c>
      <c r="C633" s="13">
        <v>46060</v>
      </c>
      <c r="D633" s="2">
        <v>110</v>
      </c>
      <c r="E633" s="35">
        <v>399.3</v>
      </c>
      <c r="F633" s="36">
        <v>0</v>
      </c>
      <c r="G633" s="36">
        <v>0</v>
      </c>
      <c r="H633" s="36">
        <v>0</v>
      </c>
      <c r="I633" s="37">
        <v>399.3</v>
      </c>
    </row>
    <row r="634" spans="1:9" x14ac:dyDescent="0.2">
      <c r="A634" s="9"/>
      <c r="B634" s="2" t="s">
        <v>987</v>
      </c>
      <c r="C634" s="13">
        <v>46085</v>
      </c>
      <c r="D634" s="2">
        <v>85</v>
      </c>
      <c r="E634" s="35">
        <v>399.3</v>
      </c>
      <c r="F634" s="36">
        <v>0</v>
      </c>
      <c r="G634" s="36">
        <v>0</v>
      </c>
      <c r="H634" s="36">
        <v>399.3</v>
      </c>
      <c r="I634" s="37">
        <v>0</v>
      </c>
    </row>
    <row r="635" spans="1:9" x14ac:dyDescent="0.2">
      <c r="A635" s="9"/>
      <c r="B635" s="2" t="s">
        <v>789</v>
      </c>
      <c r="C635" s="13">
        <v>46115</v>
      </c>
      <c r="D635" s="2">
        <v>55</v>
      </c>
      <c r="E635" s="35">
        <v>399.3</v>
      </c>
      <c r="F635" s="36">
        <v>0</v>
      </c>
      <c r="G635" s="36">
        <v>399.3</v>
      </c>
      <c r="H635" s="36">
        <v>0</v>
      </c>
      <c r="I635" s="37">
        <v>0</v>
      </c>
    </row>
    <row r="636" spans="1:9" x14ac:dyDescent="0.2">
      <c r="A636" s="9"/>
      <c r="B636" s="2" t="s">
        <v>163</v>
      </c>
      <c r="C636" s="13">
        <v>46148</v>
      </c>
      <c r="D636" s="2">
        <v>22</v>
      </c>
      <c r="E636" s="35">
        <v>399.3</v>
      </c>
      <c r="F636" s="36">
        <v>399.3</v>
      </c>
      <c r="G636" s="36">
        <v>0</v>
      </c>
      <c r="H636" s="36">
        <v>0</v>
      </c>
      <c r="I636" s="37">
        <v>0</v>
      </c>
    </row>
    <row r="637" spans="1:9" x14ac:dyDescent="0.2">
      <c r="A637" s="11" t="s">
        <v>1384</v>
      </c>
      <c r="B637" s="12"/>
      <c r="C637" s="12"/>
      <c r="D637" s="12"/>
      <c r="E637" s="38">
        <v>3194.4000000000005</v>
      </c>
      <c r="F637" s="39">
        <v>399.3</v>
      </c>
      <c r="G637" s="39">
        <v>399.3</v>
      </c>
      <c r="H637" s="39">
        <v>399.3</v>
      </c>
      <c r="I637" s="40">
        <v>1996.5</v>
      </c>
    </row>
    <row r="638" spans="1:9" x14ac:dyDescent="0.2">
      <c r="A638" s="2" t="s">
        <v>930</v>
      </c>
      <c r="B638" s="2" t="s">
        <v>488</v>
      </c>
      <c r="C638" s="13">
        <v>43981</v>
      </c>
      <c r="D638" s="2">
        <v>2189</v>
      </c>
      <c r="E638" s="35">
        <v>1017.91</v>
      </c>
      <c r="F638" s="36">
        <v>0</v>
      </c>
      <c r="G638" s="36">
        <v>0</v>
      </c>
      <c r="H638" s="36">
        <v>0</v>
      </c>
      <c r="I638" s="37">
        <v>1017.91</v>
      </c>
    </row>
    <row r="639" spans="1:9" x14ac:dyDescent="0.2">
      <c r="A639" s="11" t="s">
        <v>1385</v>
      </c>
      <c r="B639" s="12"/>
      <c r="C639" s="12"/>
      <c r="D639" s="12"/>
      <c r="E639" s="38">
        <v>1017.91</v>
      </c>
      <c r="F639" s="39">
        <v>0</v>
      </c>
      <c r="G639" s="39">
        <v>0</v>
      </c>
      <c r="H639" s="39">
        <v>0</v>
      </c>
      <c r="I639" s="40">
        <v>1017.91</v>
      </c>
    </row>
    <row r="640" spans="1:9" x14ac:dyDescent="0.2">
      <c r="A640" s="2" t="s">
        <v>561</v>
      </c>
      <c r="B640" s="2" t="s">
        <v>718</v>
      </c>
      <c r="C640" s="13">
        <v>43895</v>
      </c>
      <c r="D640" s="2">
        <v>2275</v>
      </c>
      <c r="E640" s="35">
        <v>240.79</v>
      </c>
      <c r="F640" s="36">
        <v>0</v>
      </c>
      <c r="G640" s="36">
        <v>0</v>
      </c>
      <c r="H640" s="36">
        <v>0</v>
      </c>
      <c r="I640" s="37">
        <v>240.79</v>
      </c>
    </row>
    <row r="641" spans="1:9" x14ac:dyDescent="0.2">
      <c r="A641" s="9"/>
      <c r="B641" s="2" t="s">
        <v>1007</v>
      </c>
      <c r="C641" s="13">
        <v>43895</v>
      </c>
      <c r="D641" s="2">
        <v>2275</v>
      </c>
      <c r="E641" s="35">
        <v>240.79</v>
      </c>
      <c r="F641" s="36">
        <v>0</v>
      </c>
      <c r="G641" s="36">
        <v>0</v>
      </c>
      <c r="H641" s="36">
        <v>0</v>
      </c>
      <c r="I641" s="37">
        <v>240.79</v>
      </c>
    </row>
    <row r="642" spans="1:9" x14ac:dyDescent="0.2">
      <c r="A642" s="9"/>
      <c r="B642" s="2" t="s">
        <v>1243</v>
      </c>
      <c r="C642" s="13">
        <v>43923</v>
      </c>
      <c r="D642" s="2">
        <v>2247</v>
      </c>
      <c r="E642" s="35">
        <v>240.79</v>
      </c>
      <c r="F642" s="36">
        <v>0</v>
      </c>
      <c r="G642" s="36">
        <v>0</v>
      </c>
      <c r="H642" s="36">
        <v>0</v>
      </c>
      <c r="I642" s="37">
        <v>240.79</v>
      </c>
    </row>
    <row r="643" spans="1:9" x14ac:dyDescent="0.2">
      <c r="A643" s="9"/>
      <c r="B643" s="2" t="s">
        <v>411</v>
      </c>
      <c r="C643" s="13">
        <v>43958</v>
      </c>
      <c r="D643" s="2">
        <v>2212</v>
      </c>
      <c r="E643" s="35">
        <v>240.79</v>
      </c>
      <c r="F643" s="36">
        <v>0</v>
      </c>
      <c r="G643" s="36">
        <v>0</v>
      </c>
      <c r="H643" s="36">
        <v>0</v>
      </c>
      <c r="I643" s="37">
        <v>240.79</v>
      </c>
    </row>
    <row r="644" spans="1:9" x14ac:dyDescent="0.2">
      <c r="A644" s="9"/>
      <c r="B644" s="2" t="s">
        <v>139</v>
      </c>
      <c r="C644" s="13">
        <v>43973</v>
      </c>
      <c r="D644" s="2">
        <v>2197</v>
      </c>
      <c r="E644" s="35">
        <v>2265.12</v>
      </c>
      <c r="F644" s="36">
        <v>0</v>
      </c>
      <c r="G644" s="36">
        <v>0</v>
      </c>
      <c r="H644" s="36">
        <v>0</v>
      </c>
      <c r="I644" s="37">
        <v>2265.12</v>
      </c>
    </row>
    <row r="645" spans="1:9" x14ac:dyDescent="0.2">
      <c r="A645" s="9"/>
      <c r="B645" s="2" t="s">
        <v>914</v>
      </c>
      <c r="C645" s="13">
        <v>43774</v>
      </c>
      <c r="D645" s="2">
        <v>2396</v>
      </c>
      <c r="E645" s="35">
        <v>179.49</v>
      </c>
      <c r="F645" s="36">
        <v>0</v>
      </c>
      <c r="G645" s="36">
        <v>0</v>
      </c>
      <c r="H645" s="36">
        <v>0</v>
      </c>
      <c r="I645" s="37">
        <v>179.49</v>
      </c>
    </row>
    <row r="646" spans="1:9" x14ac:dyDescent="0.2">
      <c r="A646" s="9"/>
      <c r="B646" s="2" t="s">
        <v>77</v>
      </c>
      <c r="C646" s="13">
        <v>43802</v>
      </c>
      <c r="D646" s="2">
        <v>2368</v>
      </c>
      <c r="E646" s="35">
        <v>240.79</v>
      </c>
      <c r="F646" s="36">
        <v>0</v>
      </c>
      <c r="G646" s="36">
        <v>0</v>
      </c>
      <c r="H646" s="36">
        <v>0</v>
      </c>
      <c r="I646" s="37">
        <v>240.79</v>
      </c>
    </row>
    <row r="647" spans="1:9" x14ac:dyDescent="0.2">
      <c r="A647" s="9"/>
      <c r="B647" s="2" t="s">
        <v>1200</v>
      </c>
      <c r="C647" s="13">
        <v>43860</v>
      </c>
      <c r="D647" s="2">
        <v>2310</v>
      </c>
      <c r="E647" s="35">
        <v>1089.02</v>
      </c>
      <c r="F647" s="36">
        <v>0</v>
      </c>
      <c r="G647" s="36">
        <v>0</v>
      </c>
      <c r="H647" s="36">
        <v>0</v>
      </c>
      <c r="I647" s="37">
        <v>1089.02</v>
      </c>
    </row>
    <row r="648" spans="1:9" x14ac:dyDescent="0.2">
      <c r="A648" s="11" t="s">
        <v>1386</v>
      </c>
      <c r="B648" s="12"/>
      <c r="C648" s="12"/>
      <c r="D648" s="12"/>
      <c r="E648" s="38">
        <v>4737.58</v>
      </c>
      <c r="F648" s="39">
        <v>0</v>
      </c>
      <c r="G648" s="39">
        <v>0</v>
      </c>
      <c r="H648" s="39">
        <v>0</v>
      </c>
      <c r="I648" s="40">
        <v>4737.58</v>
      </c>
    </row>
    <row r="649" spans="1:9" x14ac:dyDescent="0.2">
      <c r="A649" s="2" t="s">
        <v>1029</v>
      </c>
      <c r="B649" s="2" t="s">
        <v>676</v>
      </c>
      <c r="C649" s="13">
        <v>46148</v>
      </c>
      <c r="D649" s="2">
        <v>22</v>
      </c>
      <c r="E649" s="35">
        <v>356.95</v>
      </c>
      <c r="F649" s="36">
        <v>356.95</v>
      </c>
      <c r="G649" s="36">
        <v>0</v>
      </c>
      <c r="H649" s="36">
        <v>0</v>
      </c>
      <c r="I649" s="37">
        <v>0</v>
      </c>
    </row>
    <row r="650" spans="1:9" x14ac:dyDescent="0.2">
      <c r="A650" s="11" t="s">
        <v>1387</v>
      </c>
      <c r="B650" s="12"/>
      <c r="C650" s="12"/>
      <c r="D650" s="12"/>
      <c r="E650" s="38">
        <v>356.95</v>
      </c>
      <c r="F650" s="39">
        <v>356.95</v>
      </c>
      <c r="G650" s="39">
        <v>0</v>
      </c>
      <c r="H650" s="39">
        <v>0</v>
      </c>
      <c r="I650" s="40">
        <v>0</v>
      </c>
    </row>
    <row r="651" spans="1:9" x14ac:dyDescent="0.2">
      <c r="A651" s="2" t="s">
        <v>577</v>
      </c>
      <c r="B651" s="2" t="s">
        <v>677</v>
      </c>
      <c r="C651" s="13">
        <v>46148</v>
      </c>
      <c r="D651" s="2">
        <v>22</v>
      </c>
      <c r="E651" s="35">
        <v>356.95</v>
      </c>
      <c r="F651" s="36">
        <v>356.95</v>
      </c>
      <c r="G651" s="36">
        <v>0</v>
      </c>
      <c r="H651" s="36">
        <v>0</v>
      </c>
      <c r="I651" s="37">
        <v>0</v>
      </c>
    </row>
    <row r="652" spans="1:9" x14ac:dyDescent="0.2">
      <c r="A652" s="11" t="s">
        <v>1388</v>
      </c>
      <c r="B652" s="12"/>
      <c r="C652" s="12"/>
      <c r="D652" s="12"/>
      <c r="E652" s="38">
        <v>356.95</v>
      </c>
      <c r="F652" s="39">
        <v>356.95</v>
      </c>
      <c r="G652" s="39">
        <v>0</v>
      </c>
      <c r="H652" s="39">
        <v>0</v>
      </c>
      <c r="I652" s="40">
        <v>0</v>
      </c>
    </row>
    <row r="653" spans="1:9" x14ac:dyDescent="0.2">
      <c r="A653" s="2" t="s">
        <v>1155</v>
      </c>
      <c r="B653" s="2" t="s">
        <v>926</v>
      </c>
      <c r="C653" s="13">
        <v>43895</v>
      </c>
      <c r="D653" s="2">
        <v>2275</v>
      </c>
      <c r="E653" s="35">
        <v>117.37</v>
      </c>
      <c r="F653" s="36">
        <v>0</v>
      </c>
      <c r="G653" s="36">
        <v>0</v>
      </c>
      <c r="H653" s="36">
        <v>0</v>
      </c>
      <c r="I653" s="37">
        <v>117.37</v>
      </c>
    </row>
    <row r="654" spans="1:9" x14ac:dyDescent="0.2">
      <c r="A654" s="9"/>
      <c r="B654" s="2" t="s">
        <v>374</v>
      </c>
      <c r="C654" s="13">
        <v>43895</v>
      </c>
      <c r="D654" s="2">
        <v>2275</v>
      </c>
      <c r="E654" s="35">
        <v>117.37</v>
      </c>
      <c r="F654" s="36">
        <v>0</v>
      </c>
      <c r="G654" s="36">
        <v>0</v>
      </c>
      <c r="H654" s="36">
        <v>0</v>
      </c>
      <c r="I654" s="37">
        <v>117.37</v>
      </c>
    </row>
    <row r="655" spans="1:9" x14ac:dyDescent="0.2">
      <c r="A655" s="9"/>
      <c r="B655" s="2" t="s">
        <v>879</v>
      </c>
      <c r="C655" s="13">
        <v>43923</v>
      </c>
      <c r="D655" s="2">
        <v>2247</v>
      </c>
      <c r="E655" s="35">
        <v>117.37</v>
      </c>
      <c r="F655" s="36">
        <v>0</v>
      </c>
      <c r="G655" s="36">
        <v>0</v>
      </c>
      <c r="H655" s="36">
        <v>0</v>
      </c>
      <c r="I655" s="37">
        <v>117.37</v>
      </c>
    </row>
    <row r="656" spans="1:9" x14ac:dyDescent="0.2">
      <c r="A656" s="9"/>
      <c r="B656" s="2" t="s">
        <v>335</v>
      </c>
      <c r="C656" s="13">
        <v>43958</v>
      </c>
      <c r="D656" s="2">
        <v>2212</v>
      </c>
      <c r="E656" s="35">
        <v>117.37</v>
      </c>
      <c r="F656" s="36">
        <v>0</v>
      </c>
      <c r="G656" s="36">
        <v>0</v>
      </c>
      <c r="H656" s="36">
        <v>0</v>
      </c>
      <c r="I656" s="37">
        <v>117.37</v>
      </c>
    </row>
    <row r="657" spans="1:9" x14ac:dyDescent="0.2">
      <c r="A657" s="9"/>
      <c r="B657" s="2" t="s">
        <v>88</v>
      </c>
      <c r="C657" s="13">
        <v>43987</v>
      </c>
      <c r="D657" s="2">
        <v>2183</v>
      </c>
      <c r="E657" s="35">
        <v>117.37</v>
      </c>
      <c r="F657" s="36">
        <v>0</v>
      </c>
      <c r="G657" s="36">
        <v>0</v>
      </c>
      <c r="H657" s="36">
        <v>0</v>
      </c>
      <c r="I657" s="37">
        <v>117.37</v>
      </c>
    </row>
    <row r="658" spans="1:9" x14ac:dyDescent="0.2">
      <c r="A658" s="9"/>
      <c r="B658" s="2" t="s">
        <v>941</v>
      </c>
      <c r="C658" s="13">
        <v>44014</v>
      </c>
      <c r="D658" s="2">
        <v>2156</v>
      </c>
      <c r="E658" s="35">
        <v>117.37</v>
      </c>
      <c r="F658" s="36">
        <v>0</v>
      </c>
      <c r="G658" s="36">
        <v>0</v>
      </c>
      <c r="H658" s="36">
        <v>0</v>
      </c>
      <c r="I658" s="37">
        <v>117.37</v>
      </c>
    </row>
    <row r="659" spans="1:9" x14ac:dyDescent="0.2">
      <c r="A659" s="9"/>
      <c r="B659" s="2" t="s">
        <v>791</v>
      </c>
      <c r="C659" s="13">
        <v>44043</v>
      </c>
      <c r="D659" s="2">
        <v>2127</v>
      </c>
      <c r="E659" s="35">
        <v>117.37</v>
      </c>
      <c r="F659" s="36">
        <v>0</v>
      </c>
      <c r="G659" s="36">
        <v>0</v>
      </c>
      <c r="H659" s="36">
        <v>0</v>
      </c>
      <c r="I659" s="37">
        <v>117.37</v>
      </c>
    </row>
    <row r="660" spans="1:9" x14ac:dyDescent="0.2">
      <c r="A660" s="9"/>
      <c r="B660" s="2" t="s">
        <v>725</v>
      </c>
      <c r="C660" s="13">
        <v>44077</v>
      </c>
      <c r="D660" s="2">
        <v>2093</v>
      </c>
      <c r="E660" s="35">
        <v>117.37</v>
      </c>
      <c r="F660" s="36">
        <v>0</v>
      </c>
      <c r="G660" s="36">
        <v>0</v>
      </c>
      <c r="H660" s="36">
        <v>0</v>
      </c>
      <c r="I660" s="37">
        <v>117.37</v>
      </c>
    </row>
    <row r="661" spans="1:9" x14ac:dyDescent="0.2">
      <c r="A661" s="9"/>
      <c r="B661" s="2" t="s">
        <v>1087</v>
      </c>
      <c r="C661" s="13">
        <v>44105</v>
      </c>
      <c r="D661" s="2">
        <v>2065</v>
      </c>
      <c r="E661" s="35">
        <v>117.37</v>
      </c>
      <c r="F661" s="36">
        <v>0</v>
      </c>
      <c r="G661" s="36">
        <v>0</v>
      </c>
      <c r="H661" s="36">
        <v>0</v>
      </c>
      <c r="I661" s="37">
        <v>117.37</v>
      </c>
    </row>
    <row r="662" spans="1:9" x14ac:dyDescent="0.2">
      <c r="A662" s="9"/>
      <c r="B662" s="2" t="s">
        <v>376</v>
      </c>
      <c r="C662" s="13">
        <v>44140</v>
      </c>
      <c r="D662" s="2">
        <v>2030</v>
      </c>
      <c r="E662" s="35">
        <v>117.37</v>
      </c>
      <c r="F662" s="36">
        <v>0</v>
      </c>
      <c r="G662" s="36">
        <v>0</v>
      </c>
      <c r="H662" s="36">
        <v>0</v>
      </c>
      <c r="I662" s="37">
        <v>117.37</v>
      </c>
    </row>
    <row r="663" spans="1:9" x14ac:dyDescent="0.2">
      <c r="A663" s="9"/>
      <c r="B663" s="2" t="s">
        <v>331</v>
      </c>
      <c r="C663" s="13">
        <v>44168</v>
      </c>
      <c r="D663" s="2">
        <v>2002</v>
      </c>
      <c r="E663" s="35">
        <v>117.37</v>
      </c>
      <c r="F663" s="36">
        <v>0</v>
      </c>
      <c r="G663" s="36">
        <v>0</v>
      </c>
      <c r="H663" s="36">
        <v>0</v>
      </c>
      <c r="I663" s="37">
        <v>117.37</v>
      </c>
    </row>
    <row r="664" spans="1:9" x14ac:dyDescent="0.2">
      <c r="A664" s="9"/>
      <c r="B664" s="2" t="s">
        <v>792</v>
      </c>
      <c r="C664" s="13">
        <v>44196</v>
      </c>
      <c r="D664" s="2">
        <v>1974</v>
      </c>
      <c r="E664" s="35">
        <v>117.37</v>
      </c>
      <c r="F664" s="36">
        <v>0</v>
      </c>
      <c r="G664" s="36">
        <v>0</v>
      </c>
      <c r="H664" s="36">
        <v>0</v>
      </c>
      <c r="I664" s="37">
        <v>117.37</v>
      </c>
    </row>
    <row r="665" spans="1:9" x14ac:dyDescent="0.2">
      <c r="A665" s="9"/>
      <c r="B665" s="2" t="s">
        <v>316</v>
      </c>
      <c r="C665" s="13">
        <v>44233</v>
      </c>
      <c r="D665" s="2">
        <v>1937</v>
      </c>
      <c r="E665" s="35">
        <v>117.37</v>
      </c>
      <c r="F665" s="36">
        <v>0</v>
      </c>
      <c r="G665" s="36">
        <v>0</v>
      </c>
      <c r="H665" s="36">
        <v>0</v>
      </c>
      <c r="I665" s="37">
        <v>117.37</v>
      </c>
    </row>
    <row r="666" spans="1:9" x14ac:dyDescent="0.2">
      <c r="A666" s="9"/>
      <c r="B666" s="2" t="s">
        <v>450</v>
      </c>
      <c r="C666" s="13">
        <v>44273</v>
      </c>
      <c r="D666" s="2">
        <v>1897</v>
      </c>
      <c r="E666" s="35">
        <v>117.37</v>
      </c>
      <c r="F666" s="36">
        <v>0</v>
      </c>
      <c r="G666" s="36">
        <v>0</v>
      </c>
      <c r="H666" s="36">
        <v>0</v>
      </c>
      <c r="I666" s="37">
        <v>117.37</v>
      </c>
    </row>
    <row r="667" spans="1:9" x14ac:dyDescent="0.2">
      <c r="A667" s="9"/>
      <c r="B667" s="2" t="s">
        <v>811</v>
      </c>
      <c r="C667" s="13">
        <v>44287</v>
      </c>
      <c r="D667" s="2">
        <v>1883</v>
      </c>
      <c r="E667" s="35">
        <v>117.37</v>
      </c>
      <c r="F667" s="36">
        <v>0</v>
      </c>
      <c r="G667" s="36">
        <v>0</v>
      </c>
      <c r="H667" s="36">
        <v>0</v>
      </c>
      <c r="I667" s="37">
        <v>117.37</v>
      </c>
    </row>
    <row r="668" spans="1:9" x14ac:dyDescent="0.2">
      <c r="A668" s="9"/>
      <c r="B668" s="2" t="s">
        <v>564</v>
      </c>
      <c r="C668" s="13">
        <v>44315</v>
      </c>
      <c r="D668" s="2">
        <v>1855</v>
      </c>
      <c r="E668" s="35">
        <v>117.37</v>
      </c>
      <c r="F668" s="36">
        <v>0</v>
      </c>
      <c r="G668" s="36">
        <v>0</v>
      </c>
      <c r="H668" s="36">
        <v>0</v>
      </c>
      <c r="I668" s="37">
        <v>117.37</v>
      </c>
    </row>
    <row r="669" spans="1:9" x14ac:dyDescent="0.2">
      <c r="A669" s="9"/>
      <c r="B669" s="2" t="s">
        <v>764</v>
      </c>
      <c r="C669" s="13">
        <v>44350</v>
      </c>
      <c r="D669" s="2">
        <v>1820</v>
      </c>
      <c r="E669" s="35">
        <v>117.37</v>
      </c>
      <c r="F669" s="36">
        <v>0</v>
      </c>
      <c r="G669" s="36">
        <v>0</v>
      </c>
      <c r="H669" s="36">
        <v>0</v>
      </c>
      <c r="I669" s="37">
        <v>117.37</v>
      </c>
    </row>
    <row r="670" spans="1:9" x14ac:dyDescent="0.2">
      <c r="A670" s="9"/>
      <c r="B670" s="2" t="s">
        <v>550</v>
      </c>
      <c r="C670" s="13">
        <v>44378</v>
      </c>
      <c r="D670" s="2">
        <v>1792</v>
      </c>
      <c r="E670" s="35">
        <v>117.37</v>
      </c>
      <c r="F670" s="36">
        <v>0</v>
      </c>
      <c r="G670" s="36">
        <v>0</v>
      </c>
      <c r="H670" s="36">
        <v>0</v>
      </c>
      <c r="I670" s="37">
        <v>117.37</v>
      </c>
    </row>
    <row r="671" spans="1:9" x14ac:dyDescent="0.2">
      <c r="A671" s="9"/>
      <c r="B671" s="2" t="s">
        <v>543</v>
      </c>
      <c r="C671" s="13">
        <v>44408</v>
      </c>
      <c r="D671" s="2">
        <v>1762</v>
      </c>
      <c r="E671" s="35">
        <v>117.37</v>
      </c>
      <c r="F671" s="36">
        <v>0</v>
      </c>
      <c r="G671" s="36">
        <v>0</v>
      </c>
      <c r="H671" s="36">
        <v>0</v>
      </c>
      <c r="I671" s="37">
        <v>117.37</v>
      </c>
    </row>
    <row r="672" spans="1:9" x14ac:dyDescent="0.2">
      <c r="A672" s="9"/>
      <c r="B672" s="2" t="s">
        <v>159</v>
      </c>
      <c r="C672" s="13">
        <v>44442</v>
      </c>
      <c r="D672" s="2">
        <v>1728</v>
      </c>
      <c r="E672" s="35">
        <v>117.37</v>
      </c>
      <c r="F672" s="36">
        <v>0</v>
      </c>
      <c r="G672" s="36">
        <v>0</v>
      </c>
      <c r="H672" s="36">
        <v>0</v>
      </c>
      <c r="I672" s="37">
        <v>117.37</v>
      </c>
    </row>
    <row r="673" spans="1:9" x14ac:dyDescent="0.2">
      <c r="A673" s="9"/>
      <c r="B673" s="2" t="s">
        <v>1223</v>
      </c>
      <c r="C673" s="13">
        <v>44478</v>
      </c>
      <c r="D673" s="2">
        <v>1692</v>
      </c>
      <c r="E673" s="35">
        <v>117.37</v>
      </c>
      <c r="F673" s="36">
        <v>0</v>
      </c>
      <c r="G673" s="36">
        <v>0</v>
      </c>
      <c r="H673" s="36">
        <v>0</v>
      </c>
      <c r="I673" s="37">
        <v>117.37</v>
      </c>
    </row>
    <row r="674" spans="1:9" x14ac:dyDescent="0.2">
      <c r="A674" s="9"/>
      <c r="B674" s="2" t="s">
        <v>118</v>
      </c>
      <c r="C674" s="13">
        <v>44500</v>
      </c>
      <c r="D674" s="2">
        <v>1670</v>
      </c>
      <c r="E674" s="35">
        <v>117.37</v>
      </c>
      <c r="F674" s="36">
        <v>0</v>
      </c>
      <c r="G674" s="36">
        <v>0</v>
      </c>
      <c r="H674" s="36">
        <v>0</v>
      </c>
      <c r="I674" s="37">
        <v>117.37</v>
      </c>
    </row>
    <row r="675" spans="1:9" x14ac:dyDescent="0.2">
      <c r="A675" s="9"/>
      <c r="B675" s="2" t="s">
        <v>442</v>
      </c>
      <c r="C675" s="13">
        <v>44533</v>
      </c>
      <c r="D675" s="2">
        <v>1637</v>
      </c>
      <c r="E675" s="35">
        <v>117.37</v>
      </c>
      <c r="F675" s="36">
        <v>0</v>
      </c>
      <c r="G675" s="36">
        <v>0</v>
      </c>
      <c r="H675" s="36">
        <v>0</v>
      </c>
      <c r="I675" s="37">
        <v>117.37</v>
      </c>
    </row>
    <row r="676" spans="1:9" x14ac:dyDescent="0.2">
      <c r="A676" s="9"/>
      <c r="B676" s="2" t="s">
        <v>1104</v>
      </c>
      <c r="C676" s="13">
        <v>44562</v>
      </c>
      <c r="D676" s="2">
        <v>1608</v>
      </c>
      <c r="E676" s="35">
        <v>117.37</v>
      </c>
      <c r="F676" s="36">
        <v>0</v>
      </c>
      <c r="G676" s="36">
        <v>0</v>
      </c>
      <c r="H676" s="36">
        <v>0</v>
      </c>
      <c r="I676" s="37">
        <v>117.37</v>
      </c>
    </row>
    <row r="677" spans="1:9" x14ac:dyDescent="0.2">
      <c r="A677" s="9"/>
      <c r="B677" s="2" t="s">
        <v>453</v>
      </c>
      <c r="C677" s="13">
        <v>44603</v>
      </c>
      <c r="D677" s="2">
        <v>1567</v>
      </c>
      <c r="E677" s="35">
        <v>117.37</v>
      </c>
      <c r="F677" s="36">
        <v>0</v>
      </c>
      <c r="G677" s="36">
        <v>0</v>
      </c>
      <c r="H677" s="36">
        <v>0</v>
      </c>
      <c r="I677" s="37">
        <v>117.37</v>
      </c>
    </row>
    <row r="678" spans="1:9" x14ac:dyDescent="0.2">
      <c r="A678" s="9"/>
      <c r="B678" s="2" t="s">
        <v>874</v>
      </c>
      <c r="C678" s="13">
        <v>43678</v>
      </c>
      <c r="D678" s="2">
        <v>2492</v>
      </c>
      <c r="E678" s="35">
        <v>117.37</v>
      </c>
      <c r="F678" s="36">
        <v>0</v>
      </c>
      <c r="G678" s="36">
        <v>0</v>
      </c>
      <c r="H678" s="36">
        <v>0</v>
      </c>
      <c r="I678" s="37">
        <v>117.37</v>
      </c>
    </row>
    <row r="679" spans="1:9" x14ac:dyDescent="0.2">
      <c r="A679" s="9"/>
      <c r="B679" s="2" t="s">
        <v>410</v>
      </c>
      <c r="C679" s="13">
        <v>43741</v>
      </c>
      <c r="D679" s="2">
        <v>2429</v>
      </c>
      <c r="E679" s="35">
        <v>117.37</v>
      </c>
      <c r="F679" s="36">
        <v>0</v>
      </c>
      <c r="G679" s="36">
        <v>0</v>
      </c>
      <c r="H679" s="36">
        <v>0</v>
      </c>
      <c r="I679" s="37">
        <v>117.37</v>
      </c>
    </row>
    <row r="680" spans="1:9" x14ac:dyDescent="0.2">
      <c r="A680" s="9"/>
      <c r="B680" s="2" t="s">
        <v>1252</v>
      </c>
      <c r="C680" s="13">
        <v>43770</v>
      </c>
      <c r="D680" s="2">
        <v>2400</v>
      </c>
      <c r="E680" s="35">
        <v>117.37</v>
      </c>
      <c r="F680" s="36">
        <v>0</v>
      </c>
      <c r="G680" s="36">
        <v>0</v>
      </c>
      <c r="H680" s="36">
        <v>0</v>
      </c>
      <c r="I680" s="37">
        <v>117.37</v>
      </c>
    </row>
    <row r="681" spans="1:9" x14ac:dyDescent="0.2">
      <c r="A681" s="9"/>
      <c r="B681" s="2" t="s">
        <v>913</v>
      </c>
      <c r="C681" s="13">
        <v>43804</v>
      </c>
      <c r="D681" s="2">
        <v>2366</v>
      </c>
      <c r="E681" s="35">
        <v>117.37</v>
      </c>
      <c r="F681" s="36">
        <v>0</v>
      </c>
      <c r="G681" s="36">
        <v>0</v>
      </c>
      <c r="H681" s="36">
        <v>0</v>
      </c>
      <c r="I681" s="37">
        <v>117.37</v>
      </c>
    </row>
    <row r="682" spans="1:9" x14ac:dyDescent="0.2">
      <c r="A682" s="9"/>
      <c r="B682" s="2" t="s">
        <v>503</v>
      </c>
      <c r="C682" s="13">
        <v>43832</v>
      </c>
      <c r="D682" s="2">
        <v>2338</v>
      </c>
      <c r="E682" s="35">
        <v>117.37</v>
      </c>
      <c r="F682" s="36">
        <v>0</v>
      </c>
      <c r="G682" s="36">
        <v>0</v>
      </c>
      <c r="H682" s="36">
        <v>0</v>
      </c>
      <c r="I682" s="37">
        <v>117.37</v>
      </c>
    </row>
    <row r="683" spans="1:9" x14ac:dyDescent="0.2">
      <c r="A683" s="11" t="s">
        <v>1389</v>
      </c>
      <c r="B683" s="12"/>
      <c r="C683" s="12"/>
      <c r="D683" s="12"/>
      <c r="E683" s="38">
        <v>3521.0999999999976</v>
      </c>
      <c r="F683" s="39">
        <v>0</v>
      </c>
      <c r="G683" s="39">
        <v>0</v>
      </c>
      <c r="H683" s="39">
        <v>0</v>
      </c>
      <c r="I683" s="40">
        <v>3521.0999999999976</v>
      </c>
    </row>
    <row r="684" spans="1:9" x14ac:dyDescent="0.2">
      <c r="A684" s="2" t="s">
        <v>165</v>
      </c>
      <c r="B684" s="2" t="s">
        <v>900</v>
      </c>
      <c r="C684" s="13">
        <v>45981</v>
      </c>
      <c r="D684" s="2">
        <v>189</v>
      </c>
      <c r="E684" s="35">
        <v>361.77</v>
      </c>
      <c r="F684" s="36">
        <v>0</v>
      </c>
      <c r="G684" s="36">
        <v>0</v>
      </c>
      <c r="H684" s="36">
        <v>0</v>
      </c>
      <c r="I684" s="37">
        <v>361.77</v>
      </c>
    </row>
    <row r="685" spans="1:9" x14ac:dyDescent="0.2">
      <c r="A685" s="11" t="s">
        <v>1390</v>
      </c>
      <c r="B685" s="12"/>
      <c r="C685" s="12"/>
      <c r="D685" s="12"/>
      <c r="E685" s="38">
        <v>361.77</v>
      </c>
      <c r="F685" s="39">
        <v>0</v>
      </c>
      <c r="G685" s="39">
        <v>0</v>
      </c>
      <c r="H685" s="39">
        <v>0</v>
      </c>
      <c r="I685" s="40">
        <v>361.77</v>
      </c>
    </row>
    <row r="686" spans="1:9" x14ac:dyDescent="0.2">
      <c r="A686" s="2" t="s">
        <v>477</v>
      </c>
      <c r="B686" s="2" t="s">
        <v>1187</v>
      </c>
      <c r="C686" s="13">
        <v>46026</v>
      </c>
      <c r="D686" s="2">
        <v>144</v>
      </c>
      <c r="E686" s="35">
        <v>181.5</v>
      </c>
      <c r="F686" s="36">
        <v>0</v>
      </c>
      <c r="G686" s="36">
        <v>0</v>
      </c>
      <c r="H686" s="36">
        <v>0</v>
      </c>
      <c r="I686" s="37">
        <v>181.5</v>
      </c>
    </row>
    <row r="687" spans="1:9" x14ac:dyDescent="0.2">
      <c r="A687" s="9"/>
      <c r="B687" s="2" t="s">
        <v>425</v>
      </c>
      <c r="C687" s="13">
        <v>46120</v>
      </c>
      <c r="D687" s="2">
        <v>50</v>
      </c>
      <c r="E687" s="35">
        <v>181.5</v>
      </c>
      <c r="F687" s="36">
        <v>0</v>
      </c>
      <c r="G687" s="36">
        <v>181.5</v>
      </c>
      <c r="H687" s="36">
        <v>0</v>
      </c>
      <c r="I687" s="37">
        <v>0</v>
      </c>
    </row>
    <row r="688" spans="1:9" x14ac:dyDescent="0.2">
      <c r="A688" s="11" t="s">
        <v>1391</v>
      </c>
      <c r="B688" s="12"/>
      <c r="C688" s="12"/>
      <c r="D688" s="12"/>
      <c r="E688" s="38">
        <v>363</v>
      </c>
      <c r="F688" s="39">
        <v>0</v>
      </c>
      <c r="G688" s="39">
        <v>181.5</v>
      </c>
      <c r="H688" s="39">
        <v>0</v>
      </c>
      <c r="I688" s="40">
        <v>181.5</v>
      </c>
    </row>
    <row r="689" spans="1:9" x14ac:dyDescent="0.2">
      <c r="A689" s="2" t="s">
        <v>647</v>
      </c>
      <c r="B689" s="2" t="s">
        <v>2</v>
      </c>
      <c r="C689" s="13">
        <v>46092</v>
      </c>
      <c r="D689" s="2">
        <v>78</v>
      </c>
      <c r="E689" s="35">
        <v>484</v>
      </c>
      <c r="F689" s="36">
        <v>0</v>
      </c>
      <c r="G689" s="36">
        <v>0</v>
      </c>
      <c r="H689" s="36">
        <v>484</v>
      </c>
      <c r="I689" s="37">
        <v>0</v>
      </c>
    </row>
    <row r="690" spans="1:9" x14ac:dyDescent="0.2">
      <c r="A690" s="11" t="s">
        <v>1392</v>
      </c>
      <c r="B690" s="12"/>
      <c r="C690" s="12"/>
      <c r="D690" s="12"/>
      <c r="E690" s="38">
        <v>484</v>
      </c>
      <c r="F690" s="39">
        <v>0</v>
      </c>
      <c r="G690" s="39">
        <v>0</v>
      </c>
      <c r="H690" s="39">
        <v>484</v>
      </c>
      <c r="I690" s="40">
        <v>0</v>
      </c>
    </row>
    <row r="691" spans="1:9" x14ac:dyDescent="0.2">
      <c r="A691" s="2" t="s">
        <v>8</v>
      </c>
      <c r="B691" s="2" t="s">
        <v>123</v>
      </c>
      <c r="C691" s="13">
        <v>46142</v>
      </c>
      <c r="D691" s="2">
        <v>28</v>
      </c>
      <c r="E691" s="35">
        <v>500</v>
      </c>
      <c r="F691" s="36">
        <v>500</v>
      </c>
      <c r="G691" s="36">
        <v>0</v>
      </c>
      <c r="H691" s="36">
        <v>0</v>
      </c>
      <c r="I691" s="37">
        <v>0</v>
      </c>
    </row>
    <row r="692" spans="1:9" x14ac:dyDescent="0.2">
      <c r="A692" s="9"/>
      <c r="B692" s="2" t="s">
        <v>511</v>
      </c>
      <c r="C692" s="13">
        <v>46148</v>
      </c>
      <c r="D692" s="2">
        <v>22</v>
      </c>
      <c r="E692" s="35">
        <v>3278.55</v>
      </c>
      <c r="F692" s="36">
        <v>3278.55</v>
      </c>
      <c r="G692" s="36">
        <v>0</v>
      </c>
      <c r="H692" s="36">
        <v>0</v>
      </c>
      <c r="I692" s="37">
        <v>0</v>
      </c>
    </row>
    <row r="693" spans="1:9" x14ac:dyDescent="0.2">
      <c r="A693" s="9"/>
      <c r="B693" s="2" t="s">
        <v>514</v>
      </c>
      <c r="C693" s="13">
        <v>46149</v>
      </c>
      <c r="D693" s="2">
        <v>21</v>
      </c>
      <c r="E693" s="35">
        <v>-3278.55</v>
      </c>
      <c r="F693" s="36">
        <v>-3278.55</v>
      </c>
      <c r="G693" s="36">
        <v>0</v>
      </c>
      <c r="H693" s="36">
        <v>0</v>
      </c>
      <c r="I693" s="37">
        <v>0</v>
      </c>
    </row>
    <row r="694" spans="1:9" x14ac:dyDescent="0.2">
      <c r="A694" s="9"/>
      <c r="B694" s="2" t="s">
        <v>744</v>
      </c>
      <c r="C694" s="13">
        <v>44603</v>
      </c>
      <c r="D694" s="2">
        <v>1567</v>
      </c>
      <c r="E694" s="35">
        <v>27</v>
      </c>
      <c r="F694" s="36">
        <v>0</v>
      </c>
      <c r="G694" s="36">
        <v>0</v>
      </c>
      <c r="H694" s="36">
        <v>0</v>
      </c>
      <c r="I694" s="37">
        <v>27</v>
      </c>
    </row>
    <row r="695" spans="1:9" x14ac:dyDescent="0.2">
      <c r="A695" s="11" t="s">
        <v>1393</v>
      </c>
      <c r="B695" s="12"/>
      <c r="C695" s="12"/>
      <c r="D695" s="12"/>
      <c r="E695" s="38">
        <v>527</v>
      </c>
      <c r="F695" s="39">
        <v>500</v>
      </c>
      <c r="G695" s="39">
        <v>0</v>
      </c>
      <c r="H695" s="39">
        <v>0</v>
      </c>
      <c r="I695" s="40">
        <v>27</v>
      </c>
    </row>
    <row r="696" spans="1:9" x14ac:dyDescent="0.2">
      <c r="A696" s="2" t="s">
        <v>405</v>
      </c>
      <c r="B696" s="2" t="s">
        <v>255</v>
      </c>
      <c r="C696" s="13">
        <v>46148</v>
      </c>
      <c r="D696" s="2">
        <v>22</v>
      </c>
      <c r="E696" s="35">
        <v>484</v>
      </c>
      <c r="F696" s="36">
        <v>484</v>
      </c>
      <c r="G696" s="36">
        <v>0</v>
      </c>
      <c r="H696" s="36">
        <v>0</v>
      </c>
      <c r="I696" s="37">
        <v>0</v>
      </c>
    </row>
    <row r="697" spans="1:9" x14ac:dyDescent="0.2">
      <c r="A697" s="9"/>
      <c r="B697" s="2" t="s">
        <v>184</v>
      </c>
      <c r="C697" s="13">
        <v>46148</v>
      </c>
      <c r="D697" s="2">
        <v>22</v>
      </c>
      <c r="E697" s="35">
        <v>79.86</v>
      </c>
      <c r="F697" s="36">
        <v>79.86</v>
      </c>
      <c r="G697" s="36">
        <v>0</v>
      </c>
      <c r="H697" s="36">
        <v>0</v>
      </c>
      <c r="I697" s="37">
        <v>0</v>
      </c>
    </row>
    <row r="698" spans="1:9" x14ac:dyDescent="0.2">
      <c r="A698" s="11" t="s">
        <v>1394</v>
      </c>
      <c r="B698" s="12"/>
      <c r="C698" s="12"/>
      <c r="D698" s="12"/>
      <c r="E698" s="38">
        <v>563.86</v>
      </c>
      <c r="F698" s="39">
        <v>563.86</v>
      </c>
      <c r="G698" s="39">
        <v>0</v>
      </c>
      <c r="H698" s="39">
        <v>0</v>
      </c>
      <c r="I698" s="40">
        <v>0</v>
      </c>
    </row>
    <row r="699" spans="1:9" x14ac:dyDescent="0.2">
      <c r="A699" s="2" t="s">
        <v>864</v>
      </c>
      <c r="B699" s="2" t="s">
        <v>1211</v>
      </c>
      <c r="C699" s="13">
        <v>46134</v>
      </c>
      <c r="D699" s="2">
        <v>36</v>
      </c>
      <c r="E699" s="35">
        <v>500</v>
      </c>
      <c r="F699" s="36">
        <v>0</v>
      </c>
      <c r="G699" s="36">
        <v>500</v>
      </c>
      <c r="H699" s="36">
        <v>0</v>
      </c>
      <c r="I699" s="37">
        <v>0</v>
      </c>
    </row>
    <row r="700" spans="1:9" x14ac:dyDescent="0.2">
      <c r="A700" s="9"/>
      <c r="B700" s="2" t="s">
        <v>121</v>
      </c>
      <c r="C700" s="13">
        <v>46141</v>
      </c>
      <c r="D700" s="2">
        <v>29</v>
      </c>
      <c r="E700" s="35">
        <v>-500</v>
      </c>
      <c r="F700" s="36">
        <v>-500</v>
      </c>
      <c r="G700" s="36">
        <v>0</v>
      </c>
      <c r="H700" s="36">
        <v>0</v>
      </c>
      <c r="I700" s="37">
        <v>0</v>
      </c>
    </row>
    <row r="701" spans="1:9" x14ac:dyDescent="0.2">
      <c r="A701" s="9"/>
      <c r="B701" s="2" t="s">
        <v>630</v>
      </c>
      <c r="C701" s="13">
        <v>44279</v>
      </c>
      <c r="D701" s="2">
        <v>1891</v>
      </c>
      <c r="E701" s="35">
        <v>848.52</v>
      </c>
      <c r="F701" s="36">
        <v>0</v>
      </c>
      <c r="G701" s="36">
        <v>0</v>
      </c>
      <c r="H701" s="36">
        <v>0</v>
      </c>
      <c r="I701" s="37">
        <v>848.52</v>
      </c>
    </row>
    <row r="702" spans="1:9" x14ac:dyDescent="0.2">
      <c r="A702" s="11" t="s">
        <v>1395</v>
      </c>
      <c r="B702" s="12"/>
      <c r="C702" s="12"/>
      <c r="D702" s="12"/>
      <c r="E702" s="38">
        <v>848.52</v>
      </c>
      <c r="F702" s="39">
        <v>-500</v>
      </c>
      <c r="G702" s="39">
        <v>500</v>
      </c>
      <c r="H702" s="39">
        <v>0</v>
      </c>
      <c r="I702" s="40">
        <v>848.52</v>
      </c>
    </row>
    <row r="703" spans="1:9" x14ac:dyDescent="0.2">
      <c r="A703" s="2" t="s">
        <v>1159</v>
      </c>
      <c r="B703" s="2" t="s">
        <v>699</v>
      </c>
      <c r="C703" s="13">
        <v>45932</v>
      </c>
      <c r="D703" s="2">
        <v>238</v>
      </c>
      <c r="E703" s="35">
        <v>5075</v>
      </c>
      <c r="F703" s="36">
        <v>0</v>
      </c>
      <c r="G703" s="36">
        <v>0</v>
      </c>
      <c r="H703" s="36">
        <v>0</v>
      </c>
      <c r="I703" s="37">
        <v>5075</v>
      </c>
    </row>
    <row r="704" spans="1:9" x14ac:dyDescent="0.2">
      <c r="A704" s="9"/>
      <c r="B704" s="2" t="s">
        <v>686</v>
      </c>
      <c r="C704" s="13">
        <v>45932</v>
      </c>
      <c r="D704" s="2">
        <v>238</v>
      </c>
      <c r="E704" s="35">
        <v>9075</v>
      </c>
      <c r="F704" s="36">
        <v>0</v>
      </c>
      <c r="G704" s="36">
        <v>0</v>
      </c>
      <c r="H704" s="36">
        <v>0</v>
      </c>
      <c r="I704" s="37">
        <v>9075</v>
      </c>
    </row>
    <row r="705" spans="1:9" x14ac:dyDescent="0.2">
      <c r="A705" s="9"/>
      <c r="B705" s="2" t="s">
        <v>274</v>
      </c>
      <c r="C705" s="13">
        <v>45714</v>
      </c>
      <c r="D705" s="2">
        <v>456</v>
      </c>
      <c r="E705" s="35">
        <v>5865</v>
      </c>
      <c r="F705" s="36">
        <v>0</v>
      </c>
      <c r="G705" s="36">
        <v>0</v>
      </c>
      <c r="H705" s="36">
        <v>0</v>
      </c>
      <c r="I705" s="37">
        <v>5865</v>
      </c>
    </row>
    <row r="706" spans="1:9" x14ac:dyDescent="0.2">
      <c r="A706" s="9"/>
      <c r="B706" s="2" t="s">
        <v>760</v>
      </c>
      <c r="C706" s="13">
        <v>45714</v>
      </c>
      <c r="D706" s="2">
        <v>456</v>
      </c>
      <c r="E706" s="35">
        <v>7865</v>
      </c>
      <c r="F706" s="36">
        <v>0</v>
      </c>
      <c r="G706" s="36">
        <v>0</v>
      </c>
      <c r="H706" s="36">
        <v>0</v>
      </c>
      <c r="I706" s="37">
        <v>7865</v>
      </c>
    </row>
    <row r="707" spans="1:9" x14ac:dyDescent="0.2">
      <c r="A707" s="9"/>
      <c r="B707" s="2" t="s">
        <v>761</v>
      </c>
      <c r="C707" s="13">
        <v>45714</v>
      </c>
      <c r="D707" s="2">
        <v>456</v>
      </c>
      <c r="E707" s="35">
        <v>8470</v>
      </c>
      <c r="F707" s="36">
        <v>0</v>
      </c>
      <c r="G707" s="36">
        <v>0</v>
      </c>
      <c r="H707" s="36">
        <v>0</v>
      </c>
      <c r="I707" s="37">
        <v>8470</v>
      </c>
    </row>
    <row r="708" spans="1:9" x14ac:dyDescent="0.2">
      <c r="A708" s="9"/>
      <c r="B708" s="2" t="s">
        <v>759</v>
      </c>
      <c r="C708" s="13">
        <v>45714</v>
      </c>
      <c r="D708" s="2">
        <v>456</v>
      </c>
      <c r="E708" s="35">
        <v>8075</v>
      </c>
      <c r="F708" s="36">
        <v>0</v>
      </c>
      <c r="G708" s="36">
        <v>0</v>
      </c>
      <c r="H708" s="36">
        <v>0</v>
      </c>
      <c r="I708" s="37">
        <v>8075</v>
      </c>
    </row>
    <row r="709" spans="1:9" x14ac:dyDescent="0.2">
      <c r="A709" s="11" t="s">
        <v>1396</v>
      </c>
      <c r="B709" s="12"/>
      <c r="C709" s="12"/>
      <c r="D709" s="12"/>
      <c r="E709" s="38">
        <v>44425</v>
      </c>
      <c r="F709" s="39">
        <v>0</v>
      </c>
      <c r="G709" s="39">
        <v>0</v>
      </c>
      <c r="H709" s="39">
        <v>0</v>
      </c>
      <c r="I709" s="40">
        <v>44425</v>
      </c>
    </row>
    <row r="710" spans="1:9" x14ac:dyDescent="0.2">
      <c r="A710" s="2" t="s">
        <v>217</v>
      </c>
      <c r="B710" s="2" t="s">
        <v>513</v>
      </c>
      <c r="C710" s="13">
        <v>46163</v>
      </c>
      <c r="D710" s="2">
        <v>7</v>
      </c>
      <c r="E710" s="35">
        <v>3444.77</v>
      </c>
      <c r="F710" s="36">
        <v>3444.77</v>
      </c>
      <c r="G710" s="36">
        <v>0</v>
      </c>
      <c r="H710" s="36">
        <v>0</v>
      </c>
      <c r="I710" s="37">
        <v>0</v>
      </c>
    </row>
    <row r="711" spans="1:9" x14ac:dyDescent="0.2">
      <c r="A711" s="11" t="s">
        <v>1397</v>
      </c>
      <c r="B711" s="12"/>
      <c r="C711" s="12"/>
      <c r="D711" s="12"/>
      <c r="E711" s="38">
        <v>3444.77</v>
      </c>
      <c r="F711" s="39">
        <v>3444.77</v>
      </c>
      <c r="G711" s="39">
        <v>0</v>
      </c>
      <c r="H711" s="39">
        <v>0</v>
      </c>
      <c r="I711" s="40">
        <v>0</v>
      </c>
    </row>
    <row r="712" spans="1:9" x14ac:dyDescent="0.2">
      <c r="A712" s="2" t="s">
        <v>785</v>
      </c>
      <c r="B712" s="2" t="s">
        <v>323</v>
      </c>
      <c r="C712" s="13">
        <v>44192</v>
      </c>
      <c r="D712" s="2">
        <v>1978</v>
      </c>
      <c r="E712" s="35">
        <v>302.5</v>
      </c>
      <c r="F712" s="36">
        <v>0</v>
      </c>
      <c r="G712" s="36">
        <v>0</v>
      </c>
      <c r="H712" s="36">
        <v>0</v>
      </c>
      <c r="I712" s="37">
        <v>302.5</v>
      </c>
    </row>
    <row r="713" spans="1:9" x14ac:dyDescent="0.2">
      <c r="A713" s="9"/>
      <c r="B713" s="2" t="s">
        <v>1161</v>
      </c>
      <c r="C713" s="13">
        <v>43128</v>
      </c>
      <c r="D713" s="2">
        <v>3042</v>
      </c>
      <c r="E713" s="35">
        <v>1734.75</v>
      </c>
      <c r="F713" s="36">
        <v>0</v>
      </c>
      <c r="G713" s="36">
        <v>0</v>
      </c>
      <c r="H713" s="36">
        <v>0</v>
      </c>
      <c r="I713" s="37">
        <v>1734.75</v>
      </c>
    </row>
    <row r="714" spans="1:9" x14ac:dyDescent="0.2">
      <c r="A714" s="9"/>
      <c r="B714" s="2" t="s">
        <v>1160</v>
      </c>
      <c r="C714" s="13">
        <v>43128</v>
      </c>
      <c r="D714" s="2">
        <v>3042</v>
      </c>
      <c r="E714" s="35">
        <v>3274.3</v>
      </c>
      <c r="F714" s="36">
        <v>0</v>
      </c>
      <c r="G714" s="36">
        <v>0</v>
      </c>
      <c r="H714" s="36">
        <v>0</v>
      </c>
      <c r="I714" s="37">
        <v>3274.3</v>
      </c>
    </row>
    <row r="715" spans="1:9" x14ac:dyDescent="0.2">
      <c r="A715" s="9"/>
      <c r="B715" s="2" t="s">
        <v>638</v>
      </c>
      <c r="C715" s="13">
        <v>43341</v>
      </c>
      <c r="D715" s="2">
        <v>2829</v>
      </c>
      <c r="E715" s="35">
        <v>30306.43</v>
      </c>
      <c r="F715" s="36">
        <v>0</v>
      </c>
      <c r="G715" s="36">
        <v>0</v>
      </c>
      <c r="H715" s="36">
        <v>0</v>
      </c>
      <c r="I715" s="37">
        <v>30306.43</v>
      </c>
    </row>
    <row r="716" spans="1:9" x14ac:dyDescent="0.2">
      <c r="A716" s="9"/>
      <c r="B716" s="2" t="s">
        <v>1130</v>
      </c>
      <c r="C716" s="13">
        <v>43657</v>
      </c>
      <c r="D716" s="2">
        <v>2513</v>
      </c>
      <c r="E716" s="35">
        <v>4652.78</v>
      </c>
      <c r="F716" s="36">
        <v>0</v>
      </c>
      <c r="G716" s="36">
        <v>0</v>
      </c>
      <c r="H716" s="36">
        <v>0</v>
      </c>
      <c r="I716" s="37">
        <v>4652.78</v>
      </c>
    </row>
    <row r="717" spans="1:9" x14ac:dyDescent="0.2">
      <c r="A717" s="11" t="s">
        <v>1398</v>
      </c>
      <c r="B717" s="12"/>
      <c r="C717" s="12"/>
      <c r="D717" s="12"/>
      <c r="E717" s="38">
        <v>40270.76</v>
      </c>
      <c r="F717" s="39">
        <v>0</v>
      </c>
      <c r="G717" s="39">
        <v>0</v>
      </c>
      <c r="H717" s="39">
        <v>0</v>
      </c>
      <c r="I717" s="40">
        <v>40270.76</v>
      </c>
    </row>
    <row r="718" spans="1:9" x14ac:dyDescent="0.2">
      <c r="A718" s="2" t="s">
        <v>319</v>
      </c>
      <c r="B718" s="2" t="s">
        <v>1165</v>
      </c>
      <c r="C718" s="13">
        <v>43709</v>
      </c>
      <c r="D718" s="2">
        <v>2461</v>
      </c>
      <c r="E718" s="35">
        <v>4640.37</v>
      </c>
      <c r="F718" s="36">
        <v>0</v>
      </c>
      <c r="G718" s="36">
        <v>0</v>
      </c>
      <c r="H718" s="36">
        <v>0</v>
      </c>
      <c r="I718" s="37">
        <v>4640.37</v>
      </c>
    </row>
    <row r="719" spans="1:9" x14ac:dyDescent="0.2">
      <c r="A719" s="11" t="s">
        <v>1399</v>
      </c>
      <c r="B719" s="12"/>
      <c r="C719" s="12"/>
      <c r="D719" s="12"/>
      <c r="E719" s="38">
        <v>4640.37</v>
      </c>
      <c r="F719" s="39">
        <v>0</v>
      </c>
      <c r="G719" s="39">
        <v>0</v>
      </c>
      <c r="H719" s="39">
        <v>0</v>
      </c>
      <c r="I719" s="40">
        <v>4640.37</v>
      </c>
    </row>
    <row r="720" spans="1:9" x14ac:dyDescent="0.2">
      <c r="A720" s="2" t="s">
        <v>1084</v>
      </c>
      <c r="B720" s="2" t="s">
        <v>845</v>
      </c>
      <c r="C720" s="13">
        <v>45987</v>
      </c>
      <c r="D720" s="2">
        <v>183</v>
      </c>
      <c r="E720" s="35">
        <v>3584.63</v>
      </c>
      <c r="F720" s="36">
        <v>0</v>
      </c>
      <c r="G720" s="36">
        <v>0</v>
      </c>
      <c r="H720" s="36">
        <v>0</v>
      </c>
      <c r="I720" s="37">
        <v>3584.63</v>
      </c>
    </row>
    <row r="721" spans="1:9" x14ac:dyDescent="0.2">
      <c r="A721" s="11" t="s">
        <v>1400</v>
      </c>
      <c r="B721" s="12"/>
      <c r="C721" s="12"/>
      <c r="D721" s="12"/>
      <c r="E721" s="38">
        <v>3584.63</v>
      </c>
      <c r="F721" s="39">
        <v>0</v>
      </c>
      <c r="G721" s="39">
        <v>0</v>
      </c>
      <c r="H721" s="39">
        <v>0</v>
      </c>
      <c r="I721" s="40">
        <v>3584.63</v>
      </c>
    </row>
    <row r="722" spans="1:9" x14ac:dyDescent="0.2">
      <c r="A722" s="2" t="s">
        <v>1042</v>
      </c>
      <c r="B722" s="2" t="s">
        <v>922</v>
      </c>
      <c r="C722" s="13">
        <v>45796</v>
      </c>
      <c r="D722" s="2">
        <v>374</v>
      </c>
      <c r="E722" s="35">
        <v>121</v>
      </c>
      <c r="F722" s="36">
        <v>0</v>
      </c>
      <c r="G722" s="36">
        <v>0</v>
      </c>
      <c r="H722" s="36">
        <v>0</v>
      </c>
      <c r="I722" s="37">
        <v>121</v>
      </c>
    </row>
    <row r="723" spans="1:9" x14ac:dyDescent="0.2">
      <c r="A723" s="9"/>
      <c r="B723" s="2" t="s">
        <v>808</v>
      </c>
      <c r="C723" s="13">
        <v>45824</v>
      </c>
      <c r="D723" s="2">
        <v>346</v>
      </c>
      <c r="E723" s="35">
        <v>121</v>
      </c>
      <c r="F723" s="36">
        <v>0</v>
      </c>
      <c r="G723" s="36">
        <v>0</v>
      </c>
      <c r="H723" s="36">
        <v>0</v>
      </c>
      <c r="I723" s="37">
        <v>121</v>
      </c>
    </row>
    <row r="724" spans="1:9" x14ac:dyDescent="0.2">
      <c r="A724" s="9"/>
      <c r="B724" s="2" t="s">
        <v>969</v>
      </c>
      <c r="C724" s="13">
        <v>45853</v>
      </c>
      <c r="D724" s="2">
        <v>317</v>
      </c>
      <c r="E724" s="35">
        <v>121</v>
      </c>
      <c r="F724" s="36">
        <v>0</v>
      </c>
      <c r="G724" s="36">
        <v>0</v>
      </c>
      <c r="H724" s="36">
        <v>0</v>
      </c>
      <c r="I724" s="37">
        <v>121</v>
      </c>
    </row>
    <row r="725" spans="1:9" x14ac:dyDescent="0.2">
      <c r="A725" s="9"/>
      <c r="B725" s="2" t="s">
        <v>1277</v>
      </c>
      <c r="C725" s="13">
        <v>45887</v>
      </c>
      <c r="D725" s="2">
        <v>283</v>
      </c>
      <c r="E725" s="35">
        <v>121</v>
      </c>
      <c r="F725" s="36">
        <v>0</v>
      </c>
      <c r="G725" s="36">
        <v>0</v>
      </c>
      <c r="H725" s="36">
        <v>0</v>
      </c>
      <c r="I725" s="37">
        <v>121</v>
      </c>
    </row>
    <row r="726" spans="1:9" x14ac:dyDescent="0.2">
      <c r="A726" s="9"/>
      <c r="B726" s="2" t="s">
        <v>691</v>
      </c>
      <c r="C726" s="13">
        <v>45915</v>
      </c>
      <c r="D726" s="2">
        <v>255</v>
      </c>
      <c r="E726" s="35">
        <v>121</v>
      </c>
      <c r="F726" s="36">
        <v>0</v>
      </c>
      <c r="G726" s="36">
        <v>0</v>
      </c>
      <c r="H726" s="36">
        <v>0</v>
      </c>
      <c r="I726" s="37">
        <v>121</v>
      </c>
    </row>
    <row r="727" spans="1:9" x14ac:dyDescent="0.2">
      <c r="A727" s="9"/>
      <c r="B727" s="2" t="s">
        <v>526</v>
      </c>
      <c r="C727" s="13">
        <v>45950</v>
      </c>
      <c r="D727" s="2">
        <v>220</v>
      </c>
      <c r="E727" s="35">
        <v>121</v>
      </c>
      <c r="F727" s="36">
        <v>0</v>
      </c>
      <c r="G727" s="36">
        <v>0</v>
      </c>
      <c r="H727" s="36">
        <v>0</v>
      </c>
      <c r="I727" s="37">
        <v>121</v>
      </c>
    </row>
    <row r="728" spans="1:9" x14ac:dyDescent="0.2">
      <c r="A728" s="9"/>
      <c r="B728" s="2" t="s">
        <v>773</v>
      </c>
      <c r="C728" s="13">
        <v>45980</v>
      </c>
      <c r="D728" s="2">
        <v>190</v>
      </c>
      <c r="E728" s="35">
        <v>121</v>
      </c>
      <c r="F728" s="36">
        <v>0</v>
      </c>
      <c r="G728" s="36">
        <v>0</v>
      </c>
      <c r="H728" s="36">
        <v>0</v>
      </c>
      <c r="I728" s="37">
        <v>121</v>
      </c>
    </row>
    <row r="729" spans="1:9" x14ac:dyDescent="0.2">
      <c r="A729" s="9"/>
      <c r="B729" s="2" t="s">
        <v>1139</v>
      </c>
      <c r="C729" s="13">
        <v>46007</v>
      </c>
      <c r="D729" s="2">
        <v>163</v>
      </c>
      <c r="E729" s="35">
        <v>121</v>
      </c>
      <c r="F729" s="36">
        <v>0</v>
      </c>
      <c r="G729" s="36">
        <v>0</v>
      </c>
      <c r="H729" s="36">
        <v>0</v>
      </c>
      <c r="I729" s="37">
        <v>121</v>
      </c>
    </row>
    <row r="730" spans="1:9" x14ac:dyDescent="0.2">
      <c r="A730" s="9"/>
      <c r="B730" s="2" t="s">
        <v>35</v>
      </c>
      <c r="C730" s="13">
        <v>46044</v>
      </c>
      <c r="D730" s="2">
        <v>126</v>
      </c>
      <c r="E730" s="35">
        <v>121</v>
      </c>
      <c r="F730" s="36">
        <v>0</v>
      </c>
      <c r="G730" s="36">
        <v>0</v>
      </c>
      <c r="H730" s="36">
        <v>0</v>
      </c>
      <c r="I730" s="37">
        <v>121</v>
      </c>
    </row>
    <row r="731" spans="1:9" x14ac:dyDescent="0.2">
      <c r="A731" s="9"/>
      <c r="B731" s="2" t="s">
        <v>1246</v>
      </c>
      <c r="C731" s="13">
        <v>46069</v>
      </c>
      <c r="D731" s="2">
        <v>101</v>
      </c>
      <c r="E731" s="35">
        <v>121</v>
      </c>
      <c r="F731" s="36">
        <v>0</v>
      </c>
      <c r="G731" s="36">
        <v>0</v>
      </c>
      <c r="H731" s="36">
        <v>0</v>
      </c>
      <c r="I731" s="37">
        <v>121</v>
      </c>
    </row>
    <row r="732" spans="1:9" x14ac:dyDescent="0.2">
      <c r="A732" s="9"/>
      <c r="B732" s="2" t="s">
        <v>1134</v>
      </c>
      <c r="C732" s="13">
        <v>46099</v>
      </c>
      <c r="D732" s="2">
        <v>71</v>
      </c>
      <c r="E732" s="35">
        <v>121</v>
      </c>
      <c r="F732" s="36">
        <v>0</v>
      </c>
      <c r="G732" s="36">
        <v>0</v>
      </c>
      <c r="H732" s="36">
        <v>121</v>
      </c>
      <c r="I732" s="37">
        <v>0</v>
      </c>
    </row>
    <row r="733" spans="1:9" x14ac:dyDescent="0.2">
      <c r="A733" s="9"/>
      <c r="B733" s="2" t="s">
        <v>22</v>
      </c>
      <c r="C733" s="13">
        <v>46136</v>
      </c>
      <c r="D733" s="2">
        <v>34</v>
      </c>
      <c r="E733" s="35">
        <v>121</v>
      </c>
      <c r="F733" s="36">
        <v>0</v>
      </c>
      <c r="G733" s="36">
        <v>121</v>
      </c>
      <c r="H733" s="36">
        <v>0</v>
      </c>
      <c r="I733" s="37">
        <v>0</v>
      </c>
    </row>
    <row r="734" spans="1:9" x14ac:dyDescent="0.2">
      <c r="A734" s="9"/>
      <c r="B734" s="2" t="s">
        <v>330</v>
      </c>
      <c r="C734" s="13">
        <v>46162</v>
      </c>
      <c r="D734" s="2">
        <v>8</v>
      </c>
      <c r="E734" s="35">
        <v>121</v>
      </c>
      <c r="F734" s="36">
        <v>121</v>
      </c>
      <c r="G734" s="36">
        <v>0</v>
      </c>
      <c r="H734" s="36">
        <v>0</v>
      </c>
      <c r="I734" s="37">
        <v>0</v>
      </c>
    </row>
    <row r="735" spans="1:9" x14ac:dyDescent="0.2">
      <c r="A735" s="9"/>
      <c r="B735" s="2" t="s">
        <v>1188</v>
      </c>
      <c r="C735" s="13">
        <v>45740</v>
      </c>
      <c r="D735" s="2">
        <v>430</v>
      </c>
      <c r="E735" s="35">
        <v>72.599999999999994</v>
      </c>
      <c r="F735" s="36">
        <v>0</v>
      </c>
      <c r="G735" s="36">
        <v>0</v>
      </c>
      <c r="H735" s="36">
        <v>0</v>
      </c>
      <c r="I735" s="37">
        <v>72.599999999999994</v>
      </c>
    </row>
    <row r="736" spans="1:9" x14ac:dyDescent="0.2">
      <c r="A736" s="9"/>
      <c r="B736" s="2" t="s">
        <v>848</v>
      </c>
      <c r="C736" s="13">
        <v>45764</v>
      </c>
      <c r="D736" s="2">
        <v>406</v>
      </c>
      <c r="E736" s="35">
        <v>242</v>
      </c>
      <c r="F736" s="36">
        <v>0</v>
      </c>
      <c r="G736" s="36">
        <v>0</v>
      </c>
      <c r="H736" s="36">
        <v>0</v>
      </c>
      <c r="I736" s="37">
        <v>242</v>
      </c>
    </row>
    <row r="737" spans="1:9" x14ac:dyDescent="0.2">
      <c r="A737" s="11" t="s">
        <v>1401</v>
      </c>
      <c r="B737" s="12"/>
      <c r="C737" s="12"/>
      <c r="D737" s="12"/>
      <c r="E737" s="38">
        <v>1887.6</v>
      </c>
      <c r="F737" s="39">
        <v>121</v>
      </c>
      <c r="G737" s="39">
        <v>121</v>
      </c>
      <c r="H737" s="39">
        <v>121</v>
      </c>
      <c r="I737" s="40">
        <v>1524.6</v>
      </c>
    </row>
    <row r="738" spans="1:9" x14ac:dyDescent="0.2">
      <c r="A738" s="2" t="s">
        <v>1011</v>
      </c>
      <c r="B738" s="2" t="s">
        <v>51</v>
      </c>
      <c r="C738" s="13">
        <v>45063</v>
      </c>
      <c r="D738" s="2">
        <v>1107</v>
      </c>
      <c r="E738" s="35">
        <v>1452</v>
      </c>
      <c r="F738" s="36">
        <v>0</v>
      </c>
      <c r="G738" s="36">
        <v>0</v>
      </c>
      <c r="H738" s="36">
        <v>0</v>
      </c>
      <c r="I738" s="37">
        <v>1452</v>
      </c>
    </row>
    <row r="739" spans="1:9" x14ac:dyDescent="0.2">
      <c r="A739" s="11" t="s">
        <v>1402</v>
      </c>
      <c r="B739" s="12"/>
      <c r="C739" s="12"/>
      <c r="D739" s="12"/>
      <c r="E739" s="38">
        <v>1452</v>
      </c>
      <c r="F739" s="39">
        <v>0</v>
      </c>
      <c r="G739" s="39">
        <v>0</v>
      </c>
      <c r="H739" s="39">
        <v>0</v>
      </c>
      <c r="I739" s="40">
        <v>1452</v>
      </c>
    </row>
    <row r="740" spans="1:9" x14ac:dyDescent="0.2">
      <c r="A740" s="2" t="s">
        <v>1131</v>
      </c>
      <c r="B740" s="2" t="s">
        <v>188</v>
      </c>
      <c r="C740" s="13">
        <v>44392</v>
      </c>
      <c r="D740" s="2">
        <v>1778</v>
      </c>
      <c r="E740" s="35">
        <v>240.79</v>
      </c>
      <c r="F740" s="36">
        <v>0</v>
      </c>
      <c r="G740" s="36">
        <v>0</v>
      </c>
      <c r="H740" s="36">
        <v>0</v>
      </c>
      <c r="I740" s="37">
        <v>240.79</v>
      </c>
    </row>
    <row r="741" spans="1:9" x14ac:dyDescent="0.2">
      <c r="A741" s="9"/>
      <c r="B741" s="2" t="s">
        <v>91</v>
      </c>
      <c r="C741" s="13">
        <v>44426</v>
      </c>
      <c r="D741" s="2">
        <v>1744</v>
      </c>
      <c r="E741" s="35">
        <v>240.79</v>
      </c>
      <c r="F741" s="36">
        <v>0</v>
      </c>
      <c r="G741" s="36">
        <v>0</v>
      </c>
      <c r="H741" s="36">
        <v>0</v>
      </c>
      <c r="I741" s="37">
        <v>240.79</v>
      </c>
    </row>
    <row r="742" spans="1:9" x14ac:dyDescent="0.2">
      <c r="A742" s="9"/>
      <c r="B742" s="2" t="s">
        <v>1261</v>
      </c>
      <c r="C742" s="13">
        <v>44462</v>
      </c>
      <c r="D742" s="2">
        <v>1708</v>
      </c>
      <c r="E742" s="35">
        <v>240.79</v>
      </c>
      <c r="F742" s="36">
        <v>0</v>
      </c>
      <c r="G742" s="36">
        <v>0</v>
      </c>
      <c r="H742" s="36">
        <v>0</v>
      </c>
      <c r="I742" s="37">
        <v>240.79</v>
      </c>
    </row>
    <row r="743" spans="1:9" x14ac:dyDescent="0.2">
      <c r="A743" s="9"/>
      <c r="B743" s="2" t="s">
        <v>1135</v>
      </c>
      <c r="C743" s="13">
        <v>44484</v>
      </c>
      <c r="D743" s="2">
        <v>1686</v>
      </c>
      <c r="E743" s="35">
        <v>240.79</v>
      </c>
      <c r="F743" s="36">
        <v>0</v>
      </c>
      <c r="G743" s="36">
        <v>0</v>
      </c>
      <c r="H743" s="36">
        <v>0</v>
      </c>
      <c r="I743" s="37">
        <v>240.79</v>
      </c>
    </row>
    <row r="744" spans="1:9" x14ac:dyDescent="0.2">
      <c r="A744" s="9"/>
      <c r="B744" s="2" t="s">
        <v>1294</v>
      </c>
      <c r="C744" s="13">
        <v>44517</v>
      </c>
      <c r="D744" s="2">
        <v>1653</v>
      </c>
      <c r="E744" s="35">
        <v>240.79</v>
      </c>
      <c r="F744" s="36">
        <v>0</v>
      </c>
      <c r="G744" s="36">
        <v>0</v>
      </c>
      <c r="H744" s="36">
        <v>0</v>
      </c>
      <c r="I744" s="37">
        <v>240.79</v>
      </c>
    </row>
    <row r="745" spans="1:9" x14ac:dyDescent="0.2">
      <c r="A745" s="9"/>
      <c r="B745" s="2" t="s">
        <v>1251</v>
      </c>
      <c r="C745" s="13">
        <v>44546</v>
      </c>
      <c r="D745" s="2">
        <v>1624</v>
      </c>
      <c r="E745" s="35">
        <v>240.79</v>
      </c>
      <c r="F745" s="36">
        <v>0</v>
      </c>
      <c r="G745" s="36">
        <v>0</v>
      </c>
      <c r="H745" s="36">
        <v>0</v>
      </c>
      <c r="I745" s="37">
        <v>240.79</v>
      </c>
    </row>
    <row r="746" spans="1:9" x14ac:dyDescent="0.2">
      <c r="A746" s="9"/>
      <c r="B746" s="2" t="s">
        <v>936</v>
      </c>
      <c r="C746" s="13">
        <v>44587</v>
      </c>
      <c r="D746" s="2">
        <v>1583</v>
      </c>
      <c r="E746" s="35">
        <v>240.79</v>
      </c>
      <c r="F746" s="36">
        <v>0</v>
      </c>
      <c r="G746" s="36">
        <v>0</v>
      </c>
      <c r="H746" s="36">
        <v>0</v>
      </c>
      <c r="I746" s="37">
        <v>240.79</v>
      </c>
    </row>
    <row r="747" spans="1:9" x14ac:dyDescent="0.2">
      <c r="A747" s="9"/>
      <c r="B747" s="2" t="s">
        <v>623</v>
      </c>
      <c r="C747" s="13">
        <v>44610</v>
      </c>
      <c r="D747" s="2">
        <v>1560</v>
      </c>
      <c r="E747" s="35">
        <v>240.79</v>
      </c>
      <c r="F747" s="36">
        <v>0</v>
      </c>
      <c r="G747" s="36">
        <v>0</v>
      </c>
      <c r="H747" s="36">
        <v>0</v>
      </c>
      <c r="I747" s="37">
        <v>240.79</v>
      </c>
    </row>
    <row r="748" spans="1:9" x14ac:dyDescent="0.2">
      <c r="A748" s="9"/>
      <c r="B748" s="2" t="s">
        <v>81</v>
      </c>
      <c r="C748" s="13">
        <v>44642</v>
      </c>
      <c r="D748" s="2">
        <v>1528</v>
      </c>
      <c r="E748" s="35">
        <v>240.79</v>
      </c>
      <c r="F748" s="36">
        <v>0</v>
      </c>
      <c r="G748" s="36">
        <v>0</v>
      </c>
      <c r="H748" s="36">
        <v>0</v>
      </c>
      <c r="I748" s="37">
        <v>240.79</v>
      </c>
    </row>
    <row r="749" spans="1:9" x14ac:dyDescent="0.2">
      <c r="A749" s="9"/>
      <c r="B749" s="2" t="s">
        <v>55</v>
      </c>
      <c r="C749" s="13">
        <v>44672</v>
      </c>
      <c r="D749" s="2">
        <v>1498</v>
      </c>
      <c r="E749" s="35">
        <v>240.79</v>
      </c>
      <c r="F749" s="36">
        <v>0</v>
      </c>
      <c r="G749" s="36">
        <v>0</v>
      </c>
      <c r="H749" s="36">
        <v>0</v>
      </c>
      <c r="I749" s="37">
        <v>240.79</v>
      </c>
    </row>
    <row r="750" spans="1:9" x14ac:dyDescent="0.2">
      <c r="A750" s="9"/>
      <c r="B750" s="2" t="s">
        <v>966</v>
      </c>
      <c r="C750" s="13">
        <v>44698</v>
      </c>
      <c r="D750" s="2">
        <v>1472</v>
      </c>
      <c r="E750" s="35">
        <v>240.79</v>
      </c>
      <c r="F750" s="36">
        <v>0</v>
      </c>
      <c r="G750" s="36">
        <v>0</v>
      </c>
      <c r="H750" s="36">
        <v>0</v>
      </c>
      <c r="I750" s="37">
        <v>240.79</v>
      </c>
    </row>
    <row r="751" spans="1:9" x14ac:dyDescent="0.2">
      <c r="A751" s="9"/>
      <c r="B751" s="2" t="s">
        <v>1003</v>
      </c>
      <c r="C751" s="13">
        <v>44728</v>
      </c>
      <c r="D751" s="2">
        <v>1442</v>
      </c>
      <c r="E751" s="35">
        <v>240.79</v>
      </c>
      <c r="F751" s="36">
        <v>0</v>
      </c>
      <c r="G751" s="36">
        <v>0</v>
      </c>
      <c r="H751" s="36">
        <v>0</v>
      </c>
      <c r="I751" s="37">
        <v>240.79</v>
      </c>
    </row>
    <row r="752" spans="1:9" x14ac:dyDescent="0.2">
      <c r="A752" s="9"/>
      <c r="B752" s="2" t="s">
        <v>275</v>
      </c>
      <c r="C752" s="13">
        <v>44768</v>
      </c>
      <c r="D752" s="2">
        <v>1402</v>
      </c>
      <c r="E752" s="35">
        <v>240.79</v>
      </c>
      <c r="F752" s="36">
        <v>0</v>
      </c>
      <c r="G752" s="36">
        <v>0</v>
      </c>
      <c r="H752" s="36">
        <v>0</v>
      </c>
      <c r="I752" s="37">
        <v>240.79</v>
      </c>
    </row>
    <row r="753" spans="1:9" x14ac:dyDescent="0.2">
      <c r="A753" s="9"/>
      <c r="B753" s="2" t="s">
        <v>645</v>
      </c>
      <c r="C753" s="13">
        <v>44791</v>
      </c>
      <c r="D753" s="2">
        <v>1379</v>
      </c>
      <c r="E753" s="35">
        <v>240.79</v>
      </c>
      <c r="F753" s="36">
        <v>0</v>
      </c>
      <c r="G753" s="36">
        <v>0</v>
      </c>
      <c r="H753" s="36">
        <v>0</v>
      </c>
      <c r="I753" s="37">
        <v>240.79</v>
      </c>
    </row>
    <row r="754" spans="1:9" x14ac:dyDescent="0.2">
      <c r="A754" s="9"/>
      <c r="B754" s="2" t="s">
        <v>382</v>
      </c>
      <c r="C754" s="13">
        <v>44826</v>
      </c>
      <c r="D754" s="2">
        <v>1344</v>
      </c>
      <c r="E754" s="35">
        <v>240.79</v>
      </c>
      <c r="F754" s="36">
        <v>0</v>
      </c>
      <c r="G754" s="36">
        <v>0</v>
      </c>
      <c r="H754" s="36">
        <v>0</v>
      </c>
      <c r="I754" s="37">
        <v>240.79</v>
      </c>
    </row>
    <row r="755" spans="1:9" x14ac:dyDescent="0.2">
      <c r="A755" s="9"/>
      <c r="B755" s="2" t="s">
        <v>161</v>
      </c>
      <c r="C755" s="13">
        <v>44851</v>
      </c>
      <c r="D755" s="2">
        <v>1319</v>
      </c>
      <c r="E755" s="35">
        <v>240.79</v>
      </c>
      <c r="F755" s="36">
        <v>0</v>
      </c>
      <c r="G755" s="36">
        <v>0</v>
      </c>
      <c r="H755" s="36">
        <v>0</v>
      </c>
      <c r="I755" s="37">
        <v>240.79</v>
      </c>
    </row>
    <row r="756" spans="1:9" x14ac:dyDescent="0.2">
      <c r="A756" s="9"/>
      <c r="B756" s="2" t="s">
        <v>1112</v>
      </c>
      <c r="C756" s="13">
        <v>44882</v>
      </c>
      <c r="D756" s="2">
        <v>1288</v>
      </c>
      <c r="E756" s="35">
        <v>240.79</v>
      </c>
      <c r="F756" s="36">
        <v>0</v>
      </c>
      <c r="G756" s="36">
        <v>0</v>
      </c>
      <c r="H756" s="36">
        <v>0</v>
      </c>
      <c r="I756" s="37">
        <v>240.79</v>
      </c>
    </row>
    <row r="757" spans="1:9" x14ac:dyDescent="0.2">
      <c r="A757" s="9"/>
      <c r="B757" s="2" t="s">
        <v>1108</v>
      </c>
      <c r="C757" s="13">
        <v>44910</v>
      </c>
      <c r="D757" s="2">
        <v>1260</v>
      </c>
      <c r="E757" s="35">
        <v>240.79</v>
      </c>
      <c r="F757" s="36">
        <v>0</v>
      </c>
      <c r="G757" s="36">
        <v>0</v>
      </c>
      <c r="H757" s="36">
        <v>0</v>
      </c>
      <c r="I757" s="37">
        <v>240.79</v>
      </c>
    </row>
    <row r="758" spans="1:9" x14ac:dyDescent="0.2">
      <c r="A758" s="9"/>
      <c r="B758" s="2" t="s">
        <v>1050</v>
      </c>
      <c r="C758" s="13">
        <v>44956</v>
      </c>
      <c r="D758" s="2">
        <v>1214</v>
      </c>
      <c r="E758" s="35">
        <v>240.79</v>
      </c>
      <c r="F758" s="36">
        <v>0</v>
      </c>
      <c r="G758" s="36">
        <v>0</v>
      </c>
      <c r="H758" s="36">
        <v>0</v>
      </c>
      <c r="I758" s="37">
        <v>240.79</v>
      </c>
    </row>
    <row r="759" spans="1:9" x14ac:dyDescent="0.2">
      <c r="A759" s="9"/>
      <c r="B759" s="2" t="s">
        <v>130</v>
      </c>
      <c r="C759" s="13">
        <v>44979</v>
      </c>
      <c r="D759" s="2">
        <v>1191</v>
      </c>
      <c r="E759" s="35">
        <v>240.79</v>
      </c>
      <c r="F759" s="36">
        <v>0</v>
      </c>
      <c r="G759" s="36">
        <v>0</v>
      </c>
      <c r="H759" s="36">
        <v>0</v>
      </c>
      <c r="I759" s="37">
        <v>240.79</v>
      </c>
    </row>
    <row r="760" spans="1:9" x14ac:dyDescent="0.2">
      <c r="A760" s="9"/>
      <c r="B760" s="2" t="s">
        <v>618</v>
      </c>
      <c r="C760" s="13">
        <v>44986</v>
      </c>
      <c r="D760" s="2">
        <v>1184</v>
      </c>
      <c r="E760" s="35">
        <v>646.08000000000004</v>
      </c>
      <c r="F760" s="36">
        <v>0</v>
      </c>
      <c r="G760" s="36">
        <v>0</v>
      </c>
      <c r="H760" s="36">
        <v>0</v>
      </c>
      <c r="I760" s="37">
        <v>646.08000000000004</v>
      </c>
    </row>
    <row r="761" spans="1:9" x14ac:dyDescent="0.2">
      <c r="A761" s="9"/>
      <c r="B761" s="2" t="s">
        <v>12</v>
      </c>
      <c r="C761" s="13">
        <v>45005</v>
      </c>
      <c r="D761" s="2">
        <v>1165</v>
      </c>
      <c r="E761" s="35">
        <v>240.79</v>
      </c>
      <c r="F761" s="36">
        <v>0</v>
      </c>
      <c r="G761" s="36">
        <v>0</v>
      </c>
      <c r="H761" s="36">
        <v>0</v>
      </c>
      <c r="I761" s="37">
        <v>240.79</v>
      </c>
    </row>
    <row r="762" spans="1:9" x14ac:dyDescent="0.2">
      <c r="A762" s="9"/>
      <c r="B762" s="2" t="s">
        <v>356</v>
      </c>
      <c r="C762" s="13">
        <v>45027</v>
      </c>
      <c r="D762" s="2">
        <v>1143</v>
      </c>
      <c r="E762" s="35">
        <v>1346.13</v>
      </c>
      <c r="F762" s="36">
        <v>0</v>
      </c>
      <c r="G762" s="36">
        <v>0</v>
      </c>
      <c r="H762" s="36">
        <v>0</v>
      </c>
      <c r="I762" s="37">
        <v>1346.13</v>
      </c>
    </row>
    <row r="763" spans="1:9" x14ac:dyDescent="0.2">
      <c r="A763" s="9"/>
      <c r="B763" s="2" t="s">
        <v>75</v>
      </c>
      <c r="C763" s="13">
        <v>45034</v>
      </c>
      <c r="D763" s="2">
        <v>1136</v>
      </c>
      <c r="E763" s="35">
        <v>240.79</v>
      </c>
      <c r="F763" s="36">
        <v>0</v>
      </c>
      <c r="G763" s="36">
        <v>0</v>
      </c>
      <c r="H763" s="36">
        <v>0</v>
      </c>
      <c r="I763" s="37">
        <v>240.79</v>
      </c>
    </row>
    <row r="764" spans="1:9" x14ac:dyDescent="0.2">
      <c r="A764" s="9"/>
      <c r="B764" s="2" t="s">
        <v>1184</v>
      </c>
      <c r="C764" s="13">
        <v>45062</v>
      </c>
      <c r="D764" s="2">
        <v>1108</v>
      </c>
      <c r="E764" s="35">
        <v>240.79</v>
      </c>
      <c r="F764" s="36">
        <v>0</v>
      </c>
      <c r="G764" s="36">
        <v>0</v>
      </c>
      <c r="H764" s="36">
        <v>0</v>
      </c>
      <c r="I764" s="37">
        <v>240.79</v>
      </c>
    </row>
    <row r="765" spans="1:9" x14ac:dyDescent="0.2">
      <c r="A765" s="9"/>
      <c r="B765" s="2" t="s">
        <v>727</v>
      </c>
      <c r="C765" s="13">
        <v>45096</v>
      </c>
      <c r="D765" s="2">
        <v>1074</v>
      </c>
      <c r="E765" s="35">
        <v>240.79</v>
      </c>
      <c r="F765" s="36">
        <v>0</v>
      </c>
      <c r="G765" s="36">
        <v>0</v>
      </c>
      <c r="H765" s="36">
        <v>0</v>
      </c>
      <c r="I765" s="37">
        <v>240.79</v>
      </c>
    </row>
    <row r="766" spans="1:9" x14ac:dyDescent="0.2">
      <c r="A766" s="9"/>
      <c r="B766" s="2" t="s">
        <v>208</v>
      </c>
      <c r="C766" s="13">
        <v>45124</v>
      </c>
      <c r="D766" s="2">
        <v>1046</v>
      </c>
      <c r="E766" s="35">
        <v>240.79</v>
      </c>
      <c r="F766" s="36">
        <v>0</v>
      </c>
      <c r="G766" s="36">
        <v>0</v>
      </c>
      <c r="H766" s="36">
        <v>0</v>
      </c>
      <c r="I766" s="37">
        <v>240.79</v>
      </c>
    </row>
    <row r="767" spans="1:9" x14ac:dyDescent="0.2">
      <c r="A767" s="9"/>
      <c r="B767" s="2" t="s">
        <v>82</v>
      </c>
      <c r="C767" s="13">
        <v>45155</v>
      </c>
      <c r="D767" s="2">
        <v>1015</v>
      </c>
      <c r="E767" s="35">
        <v>240.79</v>
      </c>
      <c r="F767" s="36">
        <v>0</v>
      </c>
      <c r="G767" s="36">
        <v>0</v>
      </c>
      <c r="H767" s="36">
        <v>0</v>
      </c>
      <c r="I767" s="37">
        <v>240.79</v>
      </c>
    </row>
    <row r="768" spans="1:9" x14ac:dyDescent="0.2">
      <c r="A768" s="9"/>
      <c r="B768" s="2" t="s">
        <v>133</v>
      </c>
      <c r="C768" s="13">
        <v>45188</v>
      </c>
      <c r="D768" s="2">
        <v>982</v>
      </c>
      <c r="E768" s="35">
        <v>240.79</v>
      </c>
      <c r="F768" s="36">
        <v>0</v>
      </c>
      <c r="G768" s="36">
        <v>0</v>
      </c>
      <c r="H768" s="36">
        <v>0</v>
      </c>
      <c r="I768" s="37">
        <v>240.79</v>
      </c>
    </row>
    <row r="769" spans="1:9" x14ac:dyDescent="0.2">
      <c r="A769" s="9"/>
      <c r="B769" s="2" t="s">
        <v>31</v>
      </c>
      <c r="C769" s="13">
        <v>45201</v>
      </c>
      <c r="D769" s="2">
        <v>969</v>
      </c>
      <c r="E769" s="35">
        <v>1886.09</v>
      </c>
      <c r="F769" s="36">
        <v>0</v>
      </c>
      <c r="G769" s="36">
        <v>0</v>
      </c>
      <c r="H769" s="36">
        <v>0</v>
      </c>
      <c r="I769" s="37">
        <v>1886.09</v>
      </c>
    </row>
    <row r="770" spans="1:9" x14ac:dyDescent="0.2">
      <c r="A770" s="9"/>
      <c r="B770" s="2" t="s">
        <v>145</v>
      </c>
      <c r="C770" s="13">
        <v>45216</v>
      </c>
      <c r="D770" s="2">
        <v>954</v>
      </c>
      <c r="E770" s="35">
        <v>240.79</v>
      </c>
      <c r="F770" s="36">
        <v>0</v>
      </c>
      <c r="G770" s="36">
        <v>0</v>
      </c>
      <c r="H770" s="36">
        <v>0</v>
      </c>
      <c r="I770" s="37">
        <v>240.79</v>
      </c>
    </row>
    <row r="771" spans="1:9" x14ac:dyDescent="0.2">
      <c r="A771" s="9"/>
      <c r="B771" s="2" t="s">
        <v>338</v>
      </c>
      <c r="C771" s="13">
        <v>45251</v>
      </c>
      <c r="D771" s="2">
        <v>919</v>
      </c>
      <c r="E771" s="35">
        <v>240.79</v>
      </c>
      <c r="F771" s="36">
        <v>0</v>
      </c>
      <c r="G771" s="36">
        <v>0</v>
      </c>
      <c r="H771" s="36">
        <v>0</v>
      </c>
      <c r="I771" s="37">
        <v>240.79</v>
      </c>
    </row>
    <row r="772" spans="1:9" x14ac:dyDescent="0.2">
      <c r="A772" s="9"/>
      <c r="B772" s="2" t="s">
        <v>1245</v>
      </c>
      <c r="C772" s="13">
        <v>45279</v>
      </c>
      <c r="D772" s="2">
        <v>891</v>
      </c>
      <c r="E772" s="35">
        <v>240.79</v>
      </c>
      <c r="F772" s="36">
        <v>0</v>
      </c>
      <c r="G772" s="36">
        <v>0</v>
      </c>
      <c r="H772" s="36">
        <v>0</v>
      </c>
      <c r="I772" s="37">
        <v>240.79</v>
      </c>
    </row>
    <row r="773" spans="1:9" x14ac:dyDescent="0.2">
      <c r="A773" s="9"/>
      <c r="B773" s="2" t="s">
        <v>137</v>
      </c>
      <c r="C773" s="13">
        <v>45407</v>
      </c>
      <c r="D773" s="2">
        <v>763</v>
      </c>
      <c r="E773" s="35">
        <v>127.17</v>
      </c>
      <c r="F773" s="36">
        <v>0</v>
      </c>
      <c r="G773" s="36">
        <v>0</v>
      </c>
      <c r="H773" s="36">
        <v>0</v>
      </c>
      <c r="I773" s="37">
        <v>127.17</v>
      </c>
    </row>
    <row r="774" spans="1:9" x14ac:dyDescent="0.2">
      <c r="A774" s="9"/>
      <c r="B774" s="2" t="s">
        <v>459</v>
      </c>
      <c r="C774" s="13">
        <v>45407</v>
      </c>
      <c r="D774" s="2">
        <v>763</v>
      </c>
      <c r="E774" s="35">
        <v>784.99</v>
      </c>
      <c r="F774" s="36">
        <v>0</v>
      </c>
      <c r="G774" s="36">
        <v>0</v>
      </c>
      <c r="H774" s="36">
        <v>0</v>
      </c>
      <c r="I774" s="37">
        <v>784.99</v>
      </c>
    </row>
    <row r="775" spans="1:9" x14ac:dyDescent="0.2">
      <c r="A775" s="11" t="s">
        <v>1403</v>
      </c>
      <c r="B775" s="12"/>
      <c r="C775" s="12"/>
      <c r="D775" s="12"/>
      <c r="E775" s="38">
        <v>12014.160000000003</v>
      </c>
      <c r="F775" s="39">
        <v>0</v>
      </c>
      <c r="G775" s="39">
        <v>0</v>
      </c>
      <c r="H775" s="39">
        <v>0</v>
      </c>
      <c r="I775" s="40">
        <v>12014.160000000003</v>
      </c>
    </row>
    <row r="776" spans="1:9" x14ac:dyDescent="0.2">
      <c r="A776" s="2" t="s">
        <v>16</v>
      </c>
      <c r="B776" s="2" t="s">
        <v>1303</v>
      </c>
      <c r="C776" s="13">
        <v>45062</v>
      </c>
      <c r="D776" s="2">
        <v>1108</v>
      </c>
      <c r="E776" s="35">
        <v>211.75</v>
      </c>
      <c r="F776" s="36">
        <v>0</v>
      </c>
      <c r="G776" s="36">
        <v>0</v>
      </c>
      <c r="H776" s="36">
        <v>0</v>
      </c>
      <c r="I776" s="37">
        <v>211.75</v>
      </c>
    </row>
    <row r="777" spans="1:9" x14ac:dyDescent="0.2">
      <c r="A777" s="9"/>
      <c r="B777" s="2" t="s">
        <v>895</v>
      </c>
      <c r="C777" s="13">
        <v>45309</v>
      </c>
      <c r="D777" s="2">
        <v>861</v>
      </c>
      <c r="E777" s="35">
        <v>338.8</v>
      </c>
      <c r="F777" s="36">
        <v>0</v>
      </c>
      <c r="G777" s="36">
        <v>0</v>
      </c>
      <c r="H777" s="36">
        <v>0</v>
      </c>
      <c r="I777" s="37">
        <v>338.8</v>
      </c>
    </row>
    <row r="778" spans="1:9" x14ac:dyDescent="0.2">
      <c r="A778" s="9"/>
      <c r="B778" s="2" t="s">
        <v>152</v>
      </c>
      <c r="C778" s="13">
        <v>45341</v>
      </c>
      <c r="D778" s="2">
        <v>829</v>
      </c>
      <c r="E778" s="35">
        <v>338.8</v>
      </c>
      <c r="F778" s="36">
        <v>0</v>
      </c>
      <c r="G778" s="36">
        <v>0</v>
      </c>
      <c r="H778" s="36">
        <v>0</v>
      </c>
      <c r="I778" s="37">
        <v>338.8</v>
      </c>
    </row>
    <row r="779" spans="1:9" x14ac:dyDescent="0.2">
      <c r="A779" s="9"/>
      <c r="B779" s="2" t="s">
        <v>499</v>
      </c>
      <c r="C779" s="13">
        <v>45371</v>
      </c>
      <c r="D779" s="2">
        <v>799</v>
      </c>
      <c r="E779" s="35">
        <v>338.8</v>
      </c>
      <c r="F779" s="36">
        <v>0</v>
      </c>
      <c r="G779" s="36">
        <v>0</v>
      </c>
      <c r="H779" s="36">
        <v>0</v>
      </c>
      <c r="I779" s="37">
        <v>338.8</v>
      </c>
    </row>
    <row r="780" spans="1:9" x14ac:dyDescent="0.2">
      <c r="A780" s="9"/>
      <c r="B780" s="2" t="s">
        <v>289</v>
      </c>
      <c r="C780" s="13">
        <v>45400</v>
      </c>
      <c r="D780" s="2">
        <v>770</v>
      </c>
      <c r="E780" s="35">
        <v>338.8</v>
      </c>
      <c r="F780" s="36">
        <v>0</v>
      </c>
      <c r="G780" s="36">
        <v>0</v>
      </c>
      <c r="H780" s="36">
        <v>0</v>
      </c>
      <c r="I780" s="37">
        <v>338.8</v>
      </c>
    </row>
    <row r="781" spans="1:9" x14ac:dyDescent="0.2">
      <c r="A781" s="9"/>
      <c r="B781" s="2" t="s">
        <v>312</v>
      </c>
      <c r="C781" s="13">
        <v>45426</v>
      </c>
      <c r="D781" s="2">
        <v>744</v>
      </c>
      <c r="E781" s="35">
        <v>2008.6</v>
      </c>
      <c r="F781" s="36">
        <v>0</v>
      </c>
      <c r="G781" s="36">
        <v>0</v>
      </c>
      <c r="H781" s="36">
        <v>0</v>
      </c>
      <c r="I781" s="37">
        <v>2008.6</v>
      </c>
    </row>
    <row r="782" spans="1:9" x14ac:dyDescent="0.2">
      <c r="A782" s="11" t="s">
        <v>1404</v>
      </c>
      <c r="B782" s="12"/>
      <c r="C782" s="12"/>
      <c r="D782" s="12"/>
      <c r="E782" s="38">
        <v>3575.5499999999997</v>
      </c>
      <c r="F782" s="39">
        <v>0</v>
      </c>
      <c r="G782" s="39">
        <v>0</v>
      </c>
      <c r="H782" s="39">
        <v>0</v>
      </c>
      <c r="I782" s="40">
        <v>3575.5499999999997</v>
      </c>
    </row>
    <row r="783" spans="1:9" x14ac:dyDescent="0.2">
      <c r="A783" s="2" t="s">
        <v>430</v>
      </c>
      <c r="B783" s="2" t="s">
        <v>1153</v>
      </c>
      <c r="C783" s="13">
        <v>45495</v>
      </c>
      <c r="D783" s="2">
        <v>675</v>
      </c>
      <c r="E783" s="35">
        <v>302.5</v>
      </c>
      <c r="F783" s="36">
        <v>0</v>
      </c>
      <c r="G783" s="36">
        <v>0</v>
      </c>
      <c r="H783" s="36">
        <v>0</v>
      </c>
      <c r="I783" s="37">
        <v>302.5</v>
      </c>
    </row>
    <row r="784" spans="1:9" x14ac:dyDescent="0.2">
      <c r="A784" s="9"/>
      <c r="B784" s="2" t="s">
        <v>408</v>
      </c>
      <c r="C784" s="13">
        <v>45523</v>
      </c>
      <c r="D784" s="2">
        <v>647</v>
      </c>
      <c r="E784" s="35">
        <v>302.5</v>
      </c>
      <c r="F784" s="36">
        <v>0</v>
      </c>
      <c r="G784" s="36">
        <v>0</v>
      </c>
      <c r="H784" s="36">
        <v>0</v>
      </c>
      <c r="I784" s="37">
        <v>302.5</v>
      </c>
    </row>
    <row r="785" spans="1:9" x14ac:dyDescent="0.2">
      <c r="A785" s="9"/>
      <c r="B785" s="2" t="s">
        <v>821</v>
      </c>
      <c r="C785" s="13">
        <v>45551</v>
      </c>
      <c r="D785" s="2">
        <v>619</v>
      </c>
      <c r="E785" s="35">
        <v>302.5</v>
      </c>
      <c r="F785" s="36">
        <v>0</v>
      </c>
      <c r="G785" s="36">
        <v>0</v>
      </c>
      <c r="H785" s="36">
        <v>0</v>
      </c>
      <c r="I785" s="37">
        <v>302.5</v>
      </c>
    </row>
    <row r="786" spans="1:9" x14ac:dyDescent="0.2">
      <c r="A786" s="9"/>
      <c r="B786" s="2" t="s">
        <v>794</v>
      </c>
      <c r="C786" s="13">
        <v>45586</v>
      </c>
      <c r="D786" s="2">
        <v>584</v>
      </c>
      <c r="E786" s="35">
        <v>302.5</v>
      </c>
      <c r="F786" s="36">
        <v>0</v>
      </c>
      <c r="G786" s="36">
        <v>0</v>
      </c>
      <c r="H786" s="36">
        <v>0</v>
      </c>
      <c r="I786" s="37">
        <v>302.5</v>
      </c>
    </row>
    <row r="787" spans="1:9" x14ac:dyDescent="0.2">
      <c r="A787" s="9"/>
      <c r="B787" s="2" t="s">
        <v>1222</v>
      </c>
      <c r="C787" s="13">
        <v>45614</v>
      </c>
      <c r="D787" s="2">
        <v>556</v>
      </c>
      <c r="E787" s="35">
        <v>302.5</v>
      </c>
      <c r="F787" s="36">
        <v>0</v>
      </c>
      <c r="G787" s="36">
        <v>0</v>
      </c>
      <c r="H787" s="36">
        <v>0</v>
      </c>
      <c r="I787" s="37">
        <v>302.5</v>
      </c>
    </row>
    <row r="788" spans="1:9" x14ac:dyDescent="0.2">
      <c r="A788" s="9"/>
      <c r="B788" s="2" t="s">
        <v>516</v>
      </c>
      <c r="C788" s="13">
        <v>45614</v>
      </c>
      <c r="D788" s="2">
        <v>556</v>
      </c>
      <c r="E788" s="35">
        <v>30.25</v>
      </c>
      <c r="F788" s="36">
        <v>0</v>
      </c>
      <c r="G788" s="36">
        <v>0</v>
      </c>
      <c r="H788" s="36">
        <v>0</v>
      </c>
      <c r="I788" s="37">
        <v>30.25</v>
      </c>
    </row>
    <row r="789" spans="1:9" x14ac:dyDescent="0.2">
      <c r="A789" s="9"/>
      <c r="B789" s="2" t="s">
        <v>10</v>
      </c>
      <c r="C789" s="13">
        <v>45642</v>
      </c>
      <c r="D789" s="2">
        <v>528</v>
      </c>
      <c r="E789" s="35">
        <v>302.5</v>
      </c>
      <c r="F789" s="36">
        <v>0</v>
      </c>
      <c r="G789" s="36">
        <v>0</v>
      </c>
      <c r="H789" s="36">
        <v>0</v>
      </c>
      <c r="I789" s="37">
        <v>302.5</v>
      </c>
    </row>
    <row r="790" spans="1:9" x14ac:dyDescent="0.2">
      <c r="A790" s="9"/>
      <c r="B790" s="2" t="s">
        <v>1126</v>
      </c>
      <c r="C790" s="13">
        <v>45686</v>
      </c>
      <c r="D790" s="2">
        <v>484</v>
      </c>
      <c r="E790" s="35">
        <v>302.5</v>
      </c>
      <c r="F790" s="36">
        <v>0</v>
      </c>
      <c r="G790" s="36">
        <v>0</v>
      </c>
      <c r="H790" s="36">
        <v>0</v>
      </c>
      <c r="I790" s="37">
        <v>302.5</v>
      </c>
    </row>
    <row r="791" spans="1:9" x14ac:dyDescent="0.2">
      <c r="A791" s="9"/>
      <c r="B791" s="2" t="s">
        <v>1075</v>
      </c>
      <c r="C791" s="13">
        <v>45722</v>
      </c>
      <c r="D791" s="2">
        <v>448</v>
      </c>
      <c r="E791" s="35">
        <v>1534.89</v>
      </c>
      <c r="F791" s="36">
        <v>0</v>
      </c>
      <c r="G791" s="36">
        <v>0</v>
      </c>
      <c r="H791" s="36">
        <v>0</v>
      </c>
      <c r="I791" s="37">
        <v>1534.89</v>
      </c>
    </row>
    <row r="792" spans="1:9" x14ac:dyDescent="0.2">
      <c r="A792" s="11" t="s">
        <v>1405</v>
      </c>
      <c r="B792" s="12"/>
      <c r="C792" s="12"/>
      <c r="D792" s="12"/>
      <c r="E792" s="38">
        <v>3682.6400000000003</v>
      </c>
      <c r="F792" s="39">
        <v>0</v>
      </c>
      <c r="G792" s="39">
        <v>0</v>
      </c>
      <c r="H792" s="39">
        <v>0</v>
      </c>
      <c r="I792" s="40">
        <v>3682.6400000000003</v>
      </c>
    </row>
    <row r="793" spans="1:9" x14ac:dyDescent="0.2">
      <c r="A793" s="2" t="s">
        <v>739</v>
      </c>
      <c r="B793" s="2" t="s">
        <v>119</v>
      </c>
      <c r="C793" s="13">
        <v>46122</v>
      </c>
      <c r="D793" s="2">
        <v>48</v>
      </c>
      <c r="E793" s="35">
        <v>907.5</v>
      </c>
      <c r="F793" s="36">
        <v>0</v>
      </c>
      <c r="G793" s="36">
        <v>907.5</v>
      </c>
      <c r="H793" s="36">
        <v>0</v>
      </c>
      <c r="I793" s="37">
        <v>0</v>
      </c>
    </row>
    <row r="794" spans="1:9" x14ac:dyDescent="0.2">
      <c r="A794" s="9"/>
      <c r="B794" s="2" t="s">
        <v>1058</v>
      </c>
      <c r="C794" s="13">
        <v>45062</v>
      </c>
      <c r="D794" s="2">
        <v>1108</v>
      </c>
      <c r="E794" s="35">
        <v>180.29</v>
      </c>
      <c r="F794" s="36">
        <v>0</v>
      </c>
      <c r="G794" s="36">
        <v>0</v>
      </c>
      <c r="H794" s="36">
        <v>0</v>
      </c>
      <c r="I794" s="37">
        <v>180.29</v>
      </c>
    </row>
    <row r="795" spans="1:9" x14ac:dyDescent="0.2">
      <c r="A795" s="9"/>
      <c r="B795" s="2" t="s">
        <v>1213</v>
      </c>
      <c r="C795" s="13">
        <v>45096</v>
      </c>
      <c r="D795" s="2">
        <v>1074</v>
      </c>
      <c r="E795" s="35">
        <v>180.29</v>
      </c>
      <c r="F795" s="36">
        <v>0</v>
      </c>
      <c r="G795" s="36">
        <v>0</v>
      </c>
      <c r="H795" s="36">
        <v>0</v>
      </c>
      <c r="I795" s="37">
        <v>180.29</v>
      </c>
    </row>
    <row r="796" spans="1:9" x14ac:dyDescent="0.2">
      <c r="A796" s="9"/>
      <c r="B796" s="2" t="s">
        <v>663</v>
      </c>
      <c r="C796" s="13">
        <v>45124</v>
      </c>
      <c r="D796" s="2">
        <v>1046</v>
      </c>
      <c r="E796" s="35">
        <v>180.29</v>
      </c>
      <c r="F796" s="36">
        <v>0</v>
      </c>
      <c r="G796" s="36">
        <v>0</v>
      </c>
      <c r="H796" s="36">
        <v>0</v>
      </c>
      <c r="I796" s="37">
        <v>180.29</v>
      </c>
    </row>
    <row r="797" spans="1:9" x14ac:dyDescent="0.2">
      <c r="A797" s="9"/>
      <c r="B797" s="2" t="s">
        <v>972</v>
      </c>
      <c r="C797" s="13">
        <v>45155</v>
      </c>
      <c r="D797" s="2">
        <v>1015</v>
      </c>
      <c r="E797" s="35">
        <v>180.29</v>
      </c>
      <c r="F797" s="36">
        <v>0</v>
      </c>
      <c r="G797" s="36">
        <v>0</v>
      </c>
      <c r="H797" s="36">
        <v>0</v>
      </c>
      <c r="I797" s="37">
        <v>180.29</v>
      </c>
    </row>
    <row r="798" spans="1:9" x14ac:dyDescent="0.2">
      <c r="A798" s="9"/>
      <c r="B798" s="2" t="s">
        <v>39</v>
      </c>
      <c r="C798" s="13">
        <v>45188</v>
      </c>
      <c r="D798" s="2">
        <v>982</v>
      </c>
      <c r="E798" s="35">
        <v>180.29</v>
      </c>
      <c r="F798" s="36">
        <v>0</v>
      </c>
      <c r="G798" s="36">
        <v>0</v>
      </c>
      <c r="H798" s="36">
        <v>0</v>
      </c>
      <c r="I798" s="37">
        <v>180.29</v>
      </c>
    </row>
    <row r="799" spans="1:9" x14ac:dyDescent="0.2">
      <c r="A799" s="9"/>
      <c r="B799" s="2" t="s">
        <v>946</v>
      </c>
      <c r="C799" s="13">
        <v>45216</v>
      </c>
      <c r="D799" s="2">
        <v>954</v>
      </c>
      <c r="E799" s="35">
        <v>180.29</v>
      </c>
      <c r="F799" s="36">
        <v>0</v>
      </c>
      <c r="G799" s="36">
        <v>0</v>
      </c>
      <c r="H799" s="36">
        <v>0</v>
      </c>
      <c r="I799" s="37">
        <v>180.29</v>
      </c>
    </row>
    <row r="800" spans="1:9" x14ac:dyDescent="0.2">
      <c r="A800" s="9"/>
      <c r="B800" s="2" t="s">
        <v>711</v>
      </c>
      <c r="C800" s="13">
        <v>45309</v>
      </c>
      <c r="D800" s="2">
        <v>861</v>
      </c>
      <c r="E800" s="35">
        <v>180.29</v>
      </c>
      <c r="F800" s="36">
        <v>0</v>
      </c>
      <c r="G800" s="36">
        <v>0</v>
      </c>
      <c r="H800" s="36">
        <v>0</v>
      </c>
      <c r="I800" s="37">
        <v>180.29</v>
      </c>
    </row>
    <row r="801" spans="1:9" x14ac:dyDescent="0.2">
      <c r="A801" s="9"/>
      <c r="B801" s="2" t="s">
        <v>979</v>
      </c>
      <c r="C801" s="13">
        <v>45400</v>
      </c>
      <c r="D801" s="2">
        <v>770</v>
      </c>
      <c r="E801" s="35">
        <v>180.29</v>
      </c>
      <c r="F801" s="36">
        <v>0</v>
      </c>
      <c r="G801" s="36">
        <v>0</v>
      </c>
      <c r="H801" s="36">
        <v>0</v>
      </c>
      <c r="I801" s="37">
        <v>180.29</v>
      </c>
    </row>
    <row r="802" spans="1:9" x14ac:dyDescent="0.2">
      <c r="A802" s="9"/>
      <c r="B802" s="2" t="s">
        <v>245</v>
      </c>
      <c r="C802" s="13">
        <v>45432</v>
      </c>
      <c r="D802" s="2">
        <v>738</v>
      </c>
      <c r="E802" s="35">
        <v>180.29</v>
      </c>
      <c r="F802" s="36">
        <v>0</v>
      </c>
      <c r="G802" s="36">
        <v>0</v>
      </c>
      <c r="H802" s="36">
        <v>0</v>
      </c>
      <c r="I802" s="37">
        <v>180.29</v>
      </c>
    </row>
    <row r="803" spans="1:9" x14ac:dyDescent="0.2">
      <c r="A803" s="9"/>
      <c r="B803" s="2" t="s">
        <v>268</v>
      </c>
      <c r="C803" s="13">
        <v>45460</v>
      </c>
      <c r="D803" s="2">
        <v>710</v>
      </c>
      <c r="E803" s="35">
        <v>180.29</v>
      </c>
      <c r="F803" s="36">
        <v>0</v>
      </c>
      <c r="G803" s="36">
        <v>0</v>
      </c>
      <c r="H803" s="36">
        <v>0</v>
      </c>
      <c r="I803" s="37">
        <v>180.29</v>
      </c>
    </row>
    <row r="804" spans="1:9" x14ac:dyDescent="0.2">
      <c r="A804" s="9"/>
      <c r="B804" s="2" t="s">
        <v>793</v>
      </c>
      <c r="C804" s="13">
        <v>45586</v>
      </c>
      <c r="D804" s="2">
        <v>584</v>
      </c>
      <c r="E804" s="35">
        <v>180.29</v>
      </c>
      <c r="F804" s="36">
        <v>0</v>
      </c>
      <c r="G804" s="36">
        <v>0</v>
      </c>
      <c r="H804" s="36">
        <v>0</v>
      </c>
      <c r="I804" s="37">
        <v>180.29</v>
      </c>
    </row>
    <row r="805" spans="1:9" x14ac:dyDescent="0.2">
      <c r="A805" s="9"/>
      <c r="B805" s="2" t="s">
        <v>1256</v>
      </c>
      <c r="C805" s="13">
        <v>45614</v>
      </c>
      <c r="D805" s="2">
        <v>556</v>
      </c>
      <c r="E805" s="35">
        <v>180.29</v>
      </c>
      <c r="F805" s="36">
        <v>0</v>
      </c>
      <c r="G805" s="36">
        <v>0</v>
      </c>
      <c r="H805" s="36">
        <v>0</v>
      </c>
      <c r="I805" s="37">
        <v>180.29</v>
      </c>
    </row>
    <row r="806" spans="1:9" x14ac:dyDescent="0.2">
      <c r="A806" s="9"/>
      <c r="B806" s="2" t="s">
        <v>1193</v>
      </c>
      <c r="C806" s="13">
        <v>45642</v>
      </c>
      <c r="D806" s="2">
        <v>528</v>
      </c>
      <c r="E806" s="35">
        <v>180.29</v>
      </c>
      <c r="F806" s="36">
        <v>0</v>
      </c>
      <c r="G806" s="36">
        <v>0</v>
      </c>
      <c r="H806" s="36">
        <v>0</v>
      </c>
      <c r="I806" s="37">
        <v>180.29</v>
      </c>
    </row>
    <row r="807" spans="1:9" x14ac:dyDescent="0.2">
      <c r="A807" s="11" t="s">
        <v>1406</v>
      </c>
      <c r="B807" s="12"/>
      <c r="C807" s="12"/>
      <c r="D807" s="12"/>
      <c r="E807" s="38">
        <v>3251.2699999999995</v>
      </c>
      <c r="F807" s="39">
        <v>0</v>
      </c>
      <c r="G807" s="39">
        <v>907.5</v>
      </c>
      <c r="H807" s="39">
        <v>0</v>
      </c>
      <c r="I807" s="40">
        <v>2343.77</v>
      </c>
    </row>
    <row r="808" spans="1:9" x14ac:dyDescent="0.2">
      <c r="A808" s="2" t="s">
        <v>1210</v>
      </c>
      <c r="B808" s="2" t="s">
        <v>994</v>
      </c>
      <c r="C808" s="13">
        <v>44688</v>
      </c>
      <c r="D808" s="2">
        <v>1482</v>
      </c>
      <c r="E808" s="35">
        <v>57</v>
      </c>
      <c r="F808" s="36">
        <v>0</v>
      </c>
      <c r="G808" s="36">
        <v>0</v>
      </c>
      <c r="H808" s="36">
        <v>0</v>
      </c>
      <c r="I808" s="37">
        <v>57</v>
      </c>
    </row>
    <row r="809" spans="1:9" x14ac:dyDescent="0.2">
      <c r="A809" s="9"/>
      <c r="B809" s="2" t="s">
        <v>1078</v>
      </c>
      <c r="C809" s="13">
        <v>44822</v>
      </c>
      <c r="D809" s="2">
        <v>1348</v>
      </c>
      <c r="E809" s="35">
        <v>57</v>
      </c>
      <c r="F809" s="36">
        <v>0</v>
      </c>
      <c r="G809" s="36">
        <v>0</v>
      </c>
      <c r="H809" s="36">
        <v>0</v>
      </c>
      <c r="I809" s="37">
        <v>57</v>
      </c>
    </row>
    <row r="810" spans="1:9" x14ac:dyDescent="0.2">
      <c r="A810" s="11" t="s">
        <v>1407</v>
      </c>
      <c r="B810" s="12"/>
      <c r="C810" s="12"/>
      <c r="D810" s="12"/>
      <c r="E810" s="38">
        <v>114</v>
      </c>
      <c r="F810" s="39">
        <v>0</v>
      </c>
      <c r="G810" s="39">
        <v>0</v>
      </c>
      <c r="H810" s="39">
        <v>0</v>
      </c>
      <c r="I810" s="40">
        <v>114</v>
      </c>
    </row>
    <row r="811" spans="1:9" x14ac:dyDescent="0.2">
      <c r="A811" s="2" t="s">
        <v>580</v>
      </c>
      <c r="B811" s="2" t="s">
        <v>371</v>
      </c>
      <c r="C811" s="13">
        <v>46134</v>
      </c>
      <c r="D811" s="2">
        <v>36</v>
      </c>
      <c r="E811" s="35">
        <v>3637.87</v>
      </c>
      <c r="F811" s="36">
        <v>0</v>
      </c>
      <c r="G811" s="36">
        <v>3637.87</v>
      </c>
      <c r="H811" s="36">
        <v>0</v>
      </c>
      <c r="I811" s="37">
        <v>0</v>
      </c>
    </row>
    <row r="812" spans="1:9" x14ac:dyDescent="0.2">
      <c r="A812" s="9"/>
      <c r="B812" s="2" t="s">
        <v>1195</v>
      </c>
      <c r="C812" s="13">
        <v>46134</v>
      </c>
      <c r="D812" s="2">
        <v>36</v>
      </c>
      <c r="E812" s="35">
        <v>21.05</v>
      </c>
      <c r="F812" s="36">
        <v>0</v>
      </c>
      <c r="G812" s="36">
        <v>21.05</v>
      </c>
      <c r="H812" s="36">
        <v>0</v>
      </c>
      <c r="I812" s="37">
        <v>0</v>
      </c>
    </row>
    <row r="813" spans="1:9" x14ac:dyDescent="0.2">
      <c r="A813" s="9"/>
      <c r="B813" s="2" t="s">
        <v>484</v>
      </c>
      <c r="C813" s="13">
        <v>46148</v>
      </c>
      <c r="D813" s="2">
        <v>22</v>
      </c>
      <c r="E813" s="35">
        <v>121</v>
      </c>
      <c r="F813" s="36">
        <v>121</v>
      </c>
      <c r="G813" s="36">
        <v>0</v>
      </c>
      <c r="H813" s="36">
        <v>0</v>
      </c>
      <c r="I813" s="37">
        <v>0</v>
      </c>
    </row>
    <row r="814" spans="1:9" x14ac:dyDescent="0.2">
      <c r="A814" s="9"/>
      <c r="B814" s="2" t="s">
        <v>252</v>
      </c>
      <c r="C814" s="13">
        <v>46148</v>
      </c>
      <c r="D814" s="2">
        <v>22</v>
      </c>
      <c r="E814" s="35">
        <v>2117.5</v>
      </c>
      <c r="F814" s="36">
        <v>2117.5</v>
      </c>
      <c r="G814" s="36">
        <v>0</v>
      </c>
      <c r="H814" s="36">
        <v>0</v>
      </c>
      <c r="I814" s="37">
        <v>0</v>
      </c>
    </row>
    <row r="815" spans="1:9" x14ac:dyDescent="0.2">
      <c r="A815" s="9"/>
      <c r="B815" s="2" t="s">
        <v>683</v>
      </c>
      <c r="C815" s="13">
        <v>46148</v>
      </c>
      <c r="D815" s="2">
        <v>22</v>
      </c>
      <c r="E815" s="35">
        <v>363</v>
      </c>
      <c r="F815" s="36">
        <v>363</v>
      </c>
      <c r="G815" s="36">
        <v>0</v>
      </c>
      <c r="H815" s="36">
        <v>0</v>
      </c>
      <c r="I815" s="37">
        <v>0</v>
      </c>
    </row>
    <row r="816" spans="1:9" x14ac:dyDescent="0.2">
      <c r="A816" s="9"/>
      <c r="B816" s="2" t="s">
        <v>19</v>
      </c>
      <c r="C816" s="13">
        <v>46148</v>
      </c>
      <c r="D816" s="2">
        <v>22</v>
      </c>
      <c r="E816" s="35">
        <v>39.33</v>
      </c>
      <c r="F816" s="36">
        <v>39.33</v>
      </c>
      <c r="G816" s="36">
        <v>0</v>
      </c>
      <c r="H816" s="36">
        <v>0</v>
      </c>
      <c r="I816" s="37">
        <v>0</v>
      </c>
    </row>
    <row r="817" spans="1:9" x14ac:dyDescent="0.2">
      <c r="A817" s="9"/>
      <c r="B817" s="2" t="s">
        <v>886</v>
      </c>
      <c r="C817" s="13">
        <v>45756</v>
      </c>
      <c r="D817" s="2">
        <v>414</v>
      </c>
      <c r="E817" s="35">
        <v>4887.3100000000004</v>
      </c>
      <c r="F817" s="36">
        <v>0</v>
      </c>
      <c r="G817" s="36">
        <v>0</v>
      </c>
      <c r="H817" s="36">
        <v>0</v>
      </c>
      <c r="I817" s="37">
        <v>4887.3100000000004</v>
      </c>
    </row>
    <row r="818" spans="1:9" x14ac:dyDescent="0.2">
      <c r="A818" s="11" t="s">
        <v>1408</v>
      </c>
      <c r="B818" s="12"/>
      <c r="C818" s="12"/>
      <c r="D818" s="12"/>
      <c r="E818" s="38">
        <v>11187.060000000001</v>
      </c>
      <c r="F818" s="39">
        <v>2640.83</v>
      </c>
      <c r="G818" s="39">
        <v>3658.92</v>
      </c>
      <c r="H818" s="39">
        <v>0</v>
      </c>
      <c r="I818" s="40">
        <v>4887.3100000000004</v>
      </c>
    </row>
    <row r="819" spans="1:9" x14ac:dyDescent="0.2">
      <c r="A819" s="2" t="s">
        <v>939</v>
      </c>
      <c r="B819" s="2" t="s">
        <v>426</v>
      </c>
      <c r="C819" s="13">
        <v>45077</v>
      </c>
      <c r="D819" s="2">
        <v>1093</v>
      </c>
      <c r="E819" s="35">
        <v>1815</v>
      </c>
      <c r="F819" s="36">
        <v>0</v>
      </c>
      <c r="G819" s="36">
        <v>0</v>
      </c>
      <c r="H819" s="36">
        <v>0</v>
      </c>
      <c r="I819" s="37">
        <v>1815</v>
      </c>
    </row>
    <row r="820" spans="1:9" x14ac:dyDescent="0.2">
      <c r="A820" s="11" t="s">
        <v>1409</v>
      </c>
      <c r="B820" s="12"/>
      <c r="C820" s="12"/>
      <c r="D820" s="12"/>
      <c r="E820" s="38">
        <v>1815</v>
      </c>
      <c r="F820" s="39">
        <v>0</v>
      </c>
      <c r="G820" s="39">
        <v>0</v>
      </c>
      <c r="H820" s="39">
        <v>0</v>
      </c>
      <c r="I820" s="40">
        <v>1815</v>
      </c>
    </row>
    <row r="821" spans="1:9" x14ac:dyDescent="0.2">
      <c r="A821" s="2" t="s">
        <v>412</v>
      </c>
      <c r="B821" s="2" t="s">
        <v>900</v>
      </c>
      <c r="C821" s="13">
        <v>45868</v>
      </c>
      <c r="D821" s="2">
        <v>302</v>
      </c>
      <c r="E821" s="35">
        <v>-36905</v>
      </c>
      <c r="F821" s="36">
        <v>0</v>
      </c>
      <c r="G821" s="36">
        <v>0</v>
      </c>
      <c r="H821" s="36">
        <v>0</v>
      </c>
      <c r="I821" s="37">
        <v>-36905</v>
      </c>
    </row>
    <row r="822" spans="1:9" x14ac:dyDescent="0.2">
      <c r="A822" s="11" t="s">
        <v>1410</v>
      </c>
      <c r="B822" s="12"/>
      <c r="C822" s="12"/>
      <c r="D822" s="12"/>
      <c r="E822" s="38">
        <v>-36905</v>
      </c>
      <c r="F822" s="39">
        <v>0</v>
      </c>
      <c r="G822" s="39">
        <v>0</v>
      </c>
      <c r="H822" s="39">
        <v>0</v>
      </c>
      <c r="I822" s="40">
        <v>-36905</v>
      </c>
    </row>
    <row r="823" spans="1:9" x14ac:dyDescent="0.2">
      <c r="A823" s="2" t="s">
        <v>823</v>
      </c>
      <c r="B823" s="2" t="s">
        <v>900</v>
      </c>
      <c r="C823" s="13">
        <v>45729</v>
      </c>
      <c r="D823" s="2">
        <v>441</v>
      </c>
      <c r="E823" s="35">
        <v>-242</v>
      </c>
      <c r="F823" s="36">
        <v>0</v>
      </c>
      <c r="G823" s="36">
        <v>0</v>
      </c>
      <c r="H823" s="36">
        <v>0</v>
      </c>
      <c r="I823" s="37">
        <v>-242</v>
      </c>
    </row>
    <row r="824" spans="1:9" x14ac:dyDescent="0.2">
      <c r="A824" s="9"/>
      <c r="B824" s="2" t="s">
        <v>421</v>
      </c>
      <c r="C824" s="13">
        <v>45996</v>
      </c>
      <c r="D824" s="2">
        <v>174</v>
      </c>
      <c r="E824" s="35">
        <v>9965.26</v>
      </c>
      <c r="F824" s="36">
        <v>0</v>
      </c>
      <c r="G824" s="36">
        <v>0</v>
      </c>
      <c r="H824" s="36">
        <v>0</v>
      </c>
      <c r="I824" s="37">
        <v>9965.26</v>
      </c>
    </row>
    <row r="825" spans="1:9" x14ac:dyDescent="0.2">
      <c r="A825" s="9"/>
      <c r="B825" s="2" t="s">
        <v>494</v>
      </c>
      <c r="C825" s="13">
        <v>46085</v>
      </c>
      <c r="D825" s="2">
        <v>85</v>
      </c>
      <c r="E825" s="35">
        <v>3297.25</v>
      </c>
      <c r="F825" s="36">
        <v>0</v>
      </c>
      <c r="G825" s="36">
        <v>0</v>
      </c>
      <c r="H825" s="36">
        <v>3297.25</v>
      </c>
      <c r="I825" s="37">
        <v>0</v>
      </c>
    </row>
    <row r="826" spans="1:9" x14ac:dyDescent="0.2">
      <c r="A826" s="9"/>
      <c r="B826" s="2" t="s">
        <v>446</v>
      </c>
      <c r="C826" s="13">
        <v>46113</v>
      </c>
      <c r="D826" s="2">
        <v>57</v>
      </c>
      <c r="E826" s="35">
        <v>3297.25</v>
      </c>
      <c r="F826" s="36">
        <v>0</v>
      </c>
      <c r="G826" s="36">
        <v>3297.25</v>
      </c>
      <c r="H826" s="36">
        <v>0</v>
      </c>
      <c r="I826" s="37">
        <v>0</v>
      </c>
    </row>
    <row r="827" spans="1:9" x14ac:dyDescent="0.2">
      <c r="A827" s="9"/>
      <c r="B827" s="2" t="s">
        <v>445</v>
      </c>
      <c r="C827" s="13">
        <v>46148</v>
      </c>
      <c r="D827" s="2">
        <v>22</v>
      </c>
      <c r="E827" s="35">
        <v>574.75</v>
      </c>
      <c r="F827" s="36">
        <v>574.75</v>
      </c>
      <c r="G827" s="36">
        <v>0</v>
      </c>
      <c r="H827" s="36">
        <v>0</v>
      </c>
      <c r="I827" s="37">
        <v>0</v>
      </c>
    </row>
    <row r="828" spans="1:9" x14ac:dyDescent="0.2">
      <c r="A828" s="9"/>
      <c r="B828" s="2" t="s">
        <v>509</v>
      </c>
      <c r="C828" s="13">
        <v>46143</v>
      </c>
      <c r="D828" s="2">
        <v>27</v>
      </c>
      <c r="E828" s="35">
        <v>3297.25</v>
      </c>
      <c r="F828" s="36">
        <v>3297.25</v>
      </c>
      <c r="G828" s="36">
        <v>0</v>
      </c>
      <c r="H828" s="36">
        <v>0</v>
      </c>
      <c r="I828" s="37">
        <v>0</v>
      </c>
    </row>
    <row r="829" spans="1:9" x14ac:dyDescent="0.2">
      <c r="A829" s="11" t="s">
        <v>1411</v>
      </c>
      <c r="B829" s="12"/>
      <c r="C829" s="12"/>
      <c r="D829" s="12"/>
      <c r="E829" s="38">
        <v>20189.760000000002</v>
      </c>
      <c r="F829" s="39">
        <v>3872</v>
      </c>
      <c r="G829" s="39">
        <v>3297.25</v>
      </c>
      <c r="H829" s="39">
        <v>3297.25</v>
      </c>
      <c r="I829" s="40">
        <v>9723.26</v>
      </c>
    </row>
    <row r="830" spans="1:9" x14ac:dyDescent="0.2">
      <c r="A830" s="2" t="s">
        <v>755</v>
      </c>
      <c r="B830" s="2" t="s">
        <v>288</v>
      </c>
      <c r="C830" s="13">
        <v>46061</v>
      </c>
      <c r="D830" s="2">
        <v>109</v>
      </c>
      <c r="E830" s="35">
        <v>3297.25</v>
      </c>
      <c r="F830" s="36">
        <v>0</v>
      </c>
      <c r="G830" s="36">
        <v>0</v>
      </c>
      <c r="H830" s="36">
        <v>0</v>
      </c>
      <c r="I830" s="37">
        <v>3297.25</v>
      </c>
    </row>
    <row r="831" spans="1:9" x14ac:dyDescent="0.2">
      <c r="A831" s="9"/>
      <c r="B831" s="2" t="s">
        <v>602</v>
      </c>
      <c r="C831" s="13">
        <v>46064</v>
      </c>
      <c r="D831" s="2">
        <v>106</v>
      </c>
      <c r="E831" s="35">
        <v>-3297.25</v>
      </c>
      <c r="F831" s="36">
        <v>0</v>
      </c>
      <c r="G831" s="36">
        <v>0</v>
      </c>
      <c r="H831" s="36">
        <v>0</v>
      </c>
      <c r="I831" s="37">
        <v>-3297.25</v>
      </c>
    </row>
    <row r="832" spans="1:9" x14ac:dyDescent="0.2">
      <c r="A832" s="9"/>
      <c r="B832" s="2" t="s">
        <v>423</v>
      </c>
      <c r="C832" s="13">
        <v>46085</v>
      </c>
      <c r="D832" s="2">
        <v>85</v>
      </c>
      <c r="E832" s="35">
        <v>1028.5</v>
      </c>
      <c r="F832" s="36">
        <v>0</v>
      </c>
      <c r="G832" s="36">
        <v>0</v>
      </c>
      <c r="H832" s="36">
        <v>1028.5</v>
      </c>
      <c r="I832" s="37">
        <v>0</v>
      </c>
    </row>
    <row r="833" spans="1:9" x14ac:dyDescent="0.2">
      <c r="A833" s="9"/>
      <c r="B833" s="2" t="s">
        <v>492</v>
      </c>
      <c r="C833" s="13">
        <v>46085</v>
      </c>
      <c r="D833" s="2">
        <v>85</v>
      </c>
      <c r="E833" s="35">
        <v>19.12</v>
      </c>
      <c r="F833" s="36">
        <v>0</v>
      </c>
      <c r="G833" s="36">
        <v>0</v>
      </c>
      <c r="H833" s="36">
        <v>19.12</v>
      </c>
      <c r="I833" s="37">
        <v>0</v>
      </c>
    </row>
    <row r="834" spans="1:9" x14ac:dyDescent="0.2">
      <c r="A834" s="9"/>
      <c r="B834" s="2" t="s">
        <v>5</v>
      </c>
      <c r="C834" s="13">
        <v>46094</v>
      </c>
      <c r="D834" s="2">
        <v>76</v>
      </c>
      <c r="E834" s="35">
        <v>-1028.5</v>
      </c>
      <c r="F834" s="36">
        <v>0</v>
      </c>
      <c r="G834" s="36">
        <v>0</v>
      </c>
      <c r="H834" s="36">
        <v>-1028.5</v>
      </c>
      <c r="I834" s="37">
        <v>0</v>
      </c>
    </row>
    <row r="835" spans="1:9" x14ac:dyDescent="0.2">
      <c r="A835" s="9"/>
      <c r="B835" s="2" t="s">
        <v>9</v>
      </c>
      <c r="C835" s="13">
        <v>46094</v>
      </c>
      <c r="D835" s="2">
        <v>76</v>
      </c>
      <c r="E835" s="35">
        <v>-19.12</v>
      </c>
      <c r="F835" s="36">
        <v>0</v>
      </c>
      <c r="G835" s="36">
        <v>0</v>
      </c>
      <c r="H835" s="36">
        <v>-19.12</v>
      </c>
      <c r="I835" s="37">
        <v>0</v>
      </c>
    </row>
    <row r="836" spans="1:9" x14ac:dyDescent="0.2">
      <c r="A836" s="9"/>
      <c r="B836" s="2" t="s">
        <v>1275</v>
      </c>
      <c r="C836" s="13">
        <v>46148</v>
      </c>
      <c r="D836" s="2">
        <v>22</v>
      </c>
      <c r="E836" s="35">
        <v>1028.5</v>
      </c>
      <c r="F836" s="36">
        <v>1028.5</v>
      </c>
      <c r="G836" s="36">
        <v>0</v>
      </c>
      <c r="H836" s="36">
        <v>0</v>
      </c>
      <c r="I836" s="37">
        <v>0</v>
      </c>
    </row>
    <row r="837" spans="1:9" x14ac:dyDescent="0.2">
      <c r="A837" s="9"/>
      <c r="B837" s="2" t="s">
        <v>186</v>
      </c>
      <c r="C837" s="13">
        <v>46148</v>
      </c>
      <c r="D837" s="2">
        <v>22</v>
      </c>
      <c r="E837" s="35">
        <v>55.66</v>
      </c>
      <c r="F837" s="36">
        <v>55.66</v>
      </c>
      <c r="G837" s="36">
        <v>0</v>
      </c>
      <c r="H837" s="36">
        <v>0</v>
      </c>
      <c r="I837" s="37">
        <v>0</v>
      </c>
    </row>
    <row r="838" spans="1:9" x14ac:dyDescent="0.2">
      <c r="A838" s="11" t="s">
        <v>1412</v>
      </c>
      <c r="B838" s="12"/>
      <c r="C838" s="12"/>
      <c r="D838" s="12"/>
      <c r="E838" s="38">
        <v>1084.1600000000001</v>
      </c>
      <c r="F838" s="39">
        <v>1084.1600000000001</v>
      </c>
      <c r="G838" s="39">
        <v>0</v>
      </c>
      <c r="H838" s="39">
        <v>-1.1013412404281553E-13</v>
      </c>
      <c r="I838" s="40">
        <v>0</v>
      </c>
    </row>
    <row r="839" spans="1:9" x14ac:dyDescent="0.2">
      <c r="A839" s="2" t="s">
        <v>50</v>
      </c>
      <c r="B839" s="2" t="s">
        <v>665</v>
      </c>
      <c r="C839" s="13">
        <v>44916</v>
      </c>
      <c r="D839" s="2">
        <v>1254</v>
      </c>
      <c r="E839" s="35">
        <v>4537.5</v>
      </c>
      <c r="F839" s="36">
        <v>0</v>
      </c>
      <c r="G839" s="36">
        <v>0</v>
      </c>
      <c r="H839" s="36">
        <v>0</v>
      </c>
      <c r="I839" s="37">
        <v>4537.5</v>
      </c>
    </row>
    <row r="840" spans="1:9" x14ac:dyDescent="0.2">
      <c r="A840" s="11" t="s">
        <v>1413</v>
      </c>
      <c r="B840" s="12"/>
      <c r="C840" s="12"/>
      <c r="D840" s="12"/>
      <c r="E840" s="38">
        <v>4537.5</v>
      </c>
      <c r="F840" s="39">
        <v>0</v>
      </c>
      <c r="G840" s="39">
        <v>0</v>
      </c>
      <c r="H840" s="39">
        <v>0</v>
      </c>
      <c r="I840" s="40">
        <v>4537.5</v>
      </c>
    </row>
    <row r="841" spans="1:9" x14ac:dyDescent="0.2">
      <c r="A841" s="2" t="s">
        <v>952</v>
      </c>
      <c r="B841" s="2" t="s">
        <v>1021</v>
      </c>
      <c r="C841" s="13">
        <v>45766</v>
      </c>
      <c r="D841" s="2">
        <v>404</v>
      </c>
      <c r="E841" s="35">
        <v>0.26</v>
      </c>
      <c r="F841" s="36">
        <v>0</v>
      </c>
      <c r="G841" s="36">
        <v>0</v>
      </c>
      <c r="H841" s="36">
        <v>0</v>
      </c>
      <c r="I841" s="37">
        <v>0.26</v>
      </c>
    </row>
    <row r="842" spans="1:9" x14ac:dyDescent="0.2">
      <c r="A842" s="11" t="s">
        <v>1414</v>
      </c>
      <c r="B842" s="12"/>
      <c r="C842" s="12"/>
      <c r="D842" s="12"/>
      <c r="E842" s="38">
        <v>0.26</v>
      </c>
      <c r="F842" s="39">
        <v>0</v>
      </c>
      <c r="G842" s="39">
        <v>0</v>
      </c>
      <c r="H842" s="39">
        <v>0</v>
      </c>
      <c r="I842" s="40">
        <v>0.26</v>
      </c>
    </row>
    <row r="843" spans="1:9" x14ac:dyDescent="0.2">
      <c r="A843" s="2" t="s">
        <v>257</v>
      </c>
      <c r="B843" s="2" t="s">
        <v>206</v>
      </c>
      <c r="C843" s="13">
        <v>46093</v>
      </c>
      <c r="D843" s="2">
        <v>77</v>
      </c>
      <c r="E843" s="35">
        <v>-847</v>
      </c>
      <c r="F843" s="36">
        <v>0</v>
      </c>
      <c r="G843" s="36">
        <v>0</v>
      </c>
      <c r="H843" s="36">
        <v>-847</v>
      </c>
      <c r="I843" s="37">
        <v>0</v>
      </c>
    </row>
    <row r="844" spans="1:9" x14ac:dyDescent="0.2">
      <c r="A844" s="11" t="s">
        <v>1415</v>
      </c>
      <c r="B844" s="12"/>
      <c r="C844" s="12"/>
      <c r="D844" s="12"/>
      <c r="E844" s="38">
        <v>-847</v>
      </c>
      <c r="F844" s="39">
        <v>0</v>
      </c>
      <c r="G844" s="39">
        <v>0</v>
      </c>
      <c r="H844" s="39">
        <v>-847</v>
      </c>
      <c r="I844" s="40">
        <v>0</v>
      </c>
    </row>
    <row r="845" spans="1:9" x14ac:dyDescent="0.2">
      <c r="A845" s="2" t="s">
        <v>428</v>
      </c>
      <c r="B845" s="2" t="s">
        <v>344</v>
      </c>
      <c r="C845" s="13">
        <v>43963</v>
      </c>
      <c r="D845" s="2">
        <v>2207</v>
      </c>
      <c r="E845" s="35">
        <v>30.25</v>
      </c>
      <c r="F845" s="36">
        <v>0</v>
      </c>
      <c r="G845" s="36">
        <v>0</v>
      </c>
      <c r="H845" s="36">
        <v>0</v>
      </c>
      <c r="I845" s="37">
        <v>30.25</v>
      </c>
    </row>
    <row r="846" spans="1:9" x14ac:dyDescent="0.2">
      <c r="A846" s="9"/>
      <c r="B846" s="2" t="s">
        <v>833</v>
      </c>
      <c r="C846" s="13">
        <v>43965</v>
      </c>
      <c r="D846" s="2">
        <v>2205</v>
      </c>
      <c r="E846" s="35">
        <v>240.79</v>
      </c>
      <c r="F846" s="36">
        <v>0</v>
      </c>
      <c r="G846" s="36">
        <v>0</v>
      </c>
      <c r="H846" s="36">
        <v>0</v>
      </c>
      <c r="I846" s="37">
        <v>240.79</v>
      </c>
    </row>
    <row r="847" spans="1:9" x14ac:dyDescent="0.2">
      <c r="A847" s="9"/>
      <c r="B847" s="2" t="s">
        <v>835</v>
      </c>
      <c r="C847" s="13">
        <v>43966</v>
      </c>
      <c r="D847" s="2">
        <v>2204</v>
      </c>
      <c r="E847" s="35">
        <v>468.27</v>
      </c>
      <c r="F847" s="36">
        <v>0</v>
      </c>
      <c r="G847" s="36">
        <v>0</v>
      </c>
      <c r="H847" s="36">
        <v>0</v>
      </c>
      <c r="I847" s="37">
        <v>468.27</v>
      </c>
    </row>
    <row r="848" spans="1:9" x14ac:dyDescent="0.2">
      <c r="A848" s="9"/>
      <c r="B848" s="2" t="s">
        <v>24</v>
      </c>
      <c r="C848" s="13">
        <v>44152</v>
      </c>
      <c r="D848" s="2">
        <v>2018</v>
      </c>
      <c r="E848" s="35">
        <v>30.25</v>
      </c>
      <c r="F848" s="36">
        <v>0</v>
      </c>
      <c r="G848" s="36">
        <v>0</v>
      </c>
      <c r="H848" s="36">
        <v>0</v>
      </c>
      <c r="I848" s="37">
        <v>30.25</v>
      </c>
    </row>
    <row r="849" spans="1:9" x14ac:dyDescent="0.2">
      <c r="A849" s="9"/>
      <c r="B849" s="2" t="s">
        <v>443</v>
      </c>
      <c r="C849" s="13">
        <v>44180</v>
      </c>
      <c r="D849" s="2">
        <v>1990</v>
      </c>
      <c r="E849" s="35">
        <v>30.25</v>
      </c>
      <c r="F849" s="36">
        <v>0</v>
      </c>
      <c r="G849" s="36">
        <v>0</v>
      </c>
      <c r="H849" s="36">
        <v>0</v>
      </c>
      <c r="I849" s="37">
        <v>30.25</v>
      </c>
    </row>
    <row r="850" spans="1:9" x14ac:dyDescent="0.2">
      <c r="A850" s="9"/>
      <c r="B850" s="2" t="s">
        <v>917</v>
      </c>
      <c r="C850" s="13">
        <v>44271</v>
      </c>
      <c r="D850" s="2">
        <v>1899</v>
      </c>
      <c r="E850" s="35">
        <v>30.25</v>
      </c>
      <c r="F850" s="36">
        <v>0</v>
      </c>
      <c r="G850" s="36">
        <v>0</v>
      </c>
      <c r="H850" s="36">
        <v>0</v>
      </c>
      <c r="I850" s="37">
        <v>30.25</v>
      </c>
    </row>
    <row r="851" spans="1:9" x14ac:dyDescent="0.2">
      <c r="A851" s="11" t="s">
        <v>1416</v>
      </c>
      <c r="B851" s="12"/>
      <c r="C851" s="12"/>
      <c r="D851" s="12"/>
      <c r="E851" s="38">
        <v>830.06</v>
      </c>
      <c r="F851" s="39">
        <v>0</v>
      </c>
      <c r="G851" s="39">
        <v>0</v>
      </c>
      <c r="H851" s="39">
        <v>0</v>
      </c>
      <c r="I851" s="40">
        <v>830.06</v>
      </c>
    </row>
    <row r="852" spans="1:9" x14ac:dyDescent="0.2">
      <c r="A852" s="2" t="s">
        <v>429</v>
      </c>
      <c r="B852" s="2" t="s">
        <v>900</v>
      </c>
      <c r="C852" s="13">
        <v>44957</v>
      </c>
      <c r="D852" s="2">
        <v>1213</v>
      </c>
      <c r="E852" s="35">
        <v>23.64</v>
      </c>
      <c r="F852" s="36">
        <v>0</v>
      </c>
      <c r="G852" s="36">
        <v>0</v>
      </c>
      <c r="H852" s="36">
        <v>0</v>
      </c>
      <c r="I852" s="37">
        <v>23.64</v>
      </c>
    </row>
    <row r="853" spans="1:9" x14ac:dyDescent="0.2">
      <c r="A853" s="9"/>
      <c r="B853" s="2" t="s">
        <v>608</v>
      </c>
      <c r="C853" s="13">
        <v>45796</v>
      </c>
      <c r="D853" s="2">
        <v>374</v>
      </c>
      <c r="E853" s="35">
        <v>242</v>
      </c>
      <c r="F853" s="36">
        <v>0</v>
      </c>
      <c r="G853" s="36">
        <v>0</v>
      </c>
      <c r="H853" s="36">
        <v>0</v>
      </c>
      <c r="I853" s="37">
        <v>242</v>
      </c>
    </row>
    <row r="854" spans="1:9" x14ac:dyDescent="0.2">
      <c r="A854" s="9"/>
      <c r="B854" s="2" t="s">
        <v>496</v>
      </c>
      <c r="C854" s="13">
        <v>45824</v>
      </c>
      <c r="D854" s="2">
        <v>346</v>
      </c>
      <c r="E854" s="35">
        <v>242</v>
      </c>
      <c r="F854" s="36">
        <v>0</v>
      </c>
      <c r="G854" s="36">
        <v>0</v>
      </c>
      <c r="H854" s="36">
        <v>0</v>
      </c>
      <c r="I854" s="37">
        <v>242</v>
      </c>
    </row>
    <row r="855" spans="1:9" x14ac:dyDescent="0.2">
      <c r="A855" s="9"/>
      <c r="B855" s="2" t="s">
        <v>392</v>
      </c>
      <c r="C855" s="13">
        <v>45853</v>
      </c>
      <c r="D855" s="2">
        <v>317</v>
      </c>
      <c r="E855" s="35">
        <v>242</v>
      </c>
      <c r="F855" s="36">
        <v>0</v>
      </c>
      <c r="G855" s="36">
        <v>0</v>
      </c>
      <c r="H855" s="36">
        <v>0</v>
      </c>
      <c r="I855" s="37">
        <v>242</v>
      </c>
    </row>
    <row r="856" spans="1:9" x14ac:dyDescent="0.2">
      <c r="A856" s="9"/>
      <c r="B856" s="2" t="s">
        <v>131</v>
      </c>
      <c r="C856" s="13">
        <v>45887</v>
      </c>
      <c r="D856" s="2">
        <v>283</v>
      </c>
      <c r="E856" s="35">
        <v>242</v>
      </c>
      <c r="F856" s="36">
        <v>0</v>
      </c>
      <c r="G856" s="36">
        <v>0</v>
      </c>
      <c r="H856" s="36">
        <v>0</v>
      </c>
      <c r="I856" s="37">
        <v>242</v>
      </c>
    </row>
    <row r="857" spans="1:9" x14ac:dyDescent="0.2">
      <c r="A857" s="9"/>
      <c r="B857" s="2" t="s">
        <v>1175</v>
      </c>
      <c r="C857" s="13">
        <v>45915</v>
      </c>
      <c r="D857" s="2">
        <v>255</v>
      </c>
      <c r="E857" s="35">
        <v>242</v>
      </c>
      <c r="F857" s="36">
        <v>0</v>
      </c>
      <c r="G857" s="36">
        <v>0</v>
      </c>
      <c r="H857" s="36">
        <v>0</v>
      </c>
      <c r="I857" s="37">
        <v>242</v>
      </c>
    </row>
    <row r="858" spans="1:9" x14ac:dyDescent="0.2">
      <c r="A858" s="9"/>
      <c r="B858" s="2" t="s">
        <v>690</v>
      </c>
      <c r="C858" s="13">
        <v>45950</v>
      </c>
      <c r="D858" s="2">
        <v>220</v>
      </c>
      <c r="E858" s="35">
        <v>242</v>
      </c>
      <c r="F858" s="36">
        <v>0</v>
      </c>
      <c r="G858" s="36">
        <v>0</v>
      </c>
      <c r="H858" s="36">
        <v>0</v>
      </c>
      <c r="I858" s="37">
        <v>242</v>
      </c>
    </row>
    <row r="859" spans="1:9" x14ac:dyDescent="0.2">
      <c r="A859" s="9"/>
      <c r="B859" s="2" t="s">
        <v>413</v>
      </c>
      <c r="C859" s="13">
        <v>45980</v>
      </c>
      <c r="D859" s="2">
        <v>190</v>
      </c>
      <c r="E859" s="35">
        <v>242</v>
      </c>
      <c r="F859" s="36">
        <v>0</v>
      </c>
      <c r="G859" s="36">
        <v>0</v>
      </c>
      <c r="H859" s="36">
        <v>0</v>
      </c>
      <c r="I859" s="37">
        <v>242</v>
      </c>
    </row>
    <row r="860" spans="1:9" x14ac:dyDescent="0.2">
      <c r="A860" s="9"/>
      <c r="B860" s="2" t="s">
        <v>1308</v>
      </c>
      <c r="C860" s="13">
        <v>46007</v>
      </c>
      <c r="D860" s="2">
        <v>163</v>
      </c>
      <c r="E860" s="35">
        <v>242</v>
      </c>
      <c r="F860" s="36">
        <v>0</v>
      </c>
      <c r="G860" s="36">
        <v>0</v>
      </c>
      <c r="H860" s="36">
        <v>0</v>
      </c>
      <c r="I860" s="37">
        <v>242</v>
      </c>
    </row>
    <row r="861" spans="1:9" x14ac:dyDescent="0.2">
      <c r="A861" s="9"/>
      <c r="B861" s="2" t="s">
        <v>1179</v>
      </c>
      <c r="C861" s="13">
        <v>46044</v>
      </c>
      <c r="D861" s="2">
        <v>126</v>
      </c>
      <c r="E861" s="35">
        <v>242</v>
      </c>
      <c r="F861" s="36">
        <v>0</v>
      </c>
      <c r="G861" s="36">
        <v>0</v>
      </c>
      <c r="H861" s="36">
        <v>0</v>
      </c>
      <c r="I861" s="37">
        <v>242</v>
      </c>
    </row>
    <row r="862" spans="1:9" x14ac:dyDescent="0.2">
      <c r="A862" s="9"/>
      <c r="B862" s="2" t="s">
        <v>424</v>
      </c>
      <c r="C862" s="13">
        <v>46069</v>
      </c>
      <c r="D862" s="2">
        <v>101</v>
      </c>
      <c r="E862" s="35">
        <v>242</v>
      </c>
      <c r="F862" s="36">
        <v>0</v>
      </c>
      <c r="G862" s="36">
        <v>0</v>
      </c>
      <c r="H862" s="36">
        <v>0</v>
      </c>
      <c r="I862" s="37">
        <v>242</v>
      </c>
    </row>
    <row r="863" spans="1:9" x14ac:dyDescent="0.2">
      <c r="A863" s="9"/>
      <c r="B863" s="2" t="s">
        <v>302</v>
      </c>
      <c r="C863" s="13">
        <v>46099</v>
      </c>
      <c r="D863" s="2">
        <v>71</v>
      </c>
      <c r="E863" s="35">
        <v>242</v>
      </c>
      <c r="F863" s="36">
        <v>0</v>
      </c>
      <c r="G863" s="36">
        <v>0</v>
      </c>
      <c r="H863" s="36">
        <v>242</v>
      </c>
      <c r="I863" s="37">
        <v>0</v>
      </c>
    </row>
    <row r="864" spans="1:9" x14ac:dyDescent="0.2">
      <c r="A864" s="9"/>
      <c r="B864" s="2" t="s">
        <v>1264</v>
      </c>
      <c r="C864" s="13">
        <v>46132</v>
      </c>
      <c r="D864" s="2">
        <v>38</v>
      </c>
      <c r="E864" s="35">
        <v>242</v>
      </c>
      <c r="F864" s="36">
        <v>0</v>
      </c>
      <c r="G864" s="36">
        <v>242</v>
      </c>
      <c r="H864" s="36">
        <v>0</v>
      </c>
      <c r="I864" s="37">
        <v>0</v>
      </c>
    </row>
    <row r="865" spans="1:9" x14ac:dyDescent="0.2">
      <c r="A865" s="9"/>
      <c r="B865" s="2" t="s">
        <v>342</v>
      </c>
      <c r="C865" s="13">
        <v>46162</v>
      </c>
      <c r="D865" s="2">
        <v>8</v>
      </c>
      <c r="E865" s="35">
        <v>242</v>
      </c>
      <c r="F865" s="36">
        <v>242</v>
      </c>
      <c r="G865" s="36">
        <v>0</v>
      </c>
      <c r="H865" s="36">
        <v>0</v>
      </c>
      <c r="I865" s="37">
        <v>0</v>
      </c>
    </row>
    <row r="866" spans="1:9" x14ac:dyDescent="0.2">
      <c r="A866" s="9"/>
      <c r="B866" s="2" t="s">
        <v>1038</v>
      </c>
      <c r="C866" s="13">
        <v>44956</v>
      </c>
      <c r="D866" s="2">
        <v>1214</v>
      </c>
      <c r="E866" s="35">
        <v>211.75</v>
      </c>
      <c r="F866" s="36">
        <v>0</v>
      </c>
      <c r="G866" s="36">
        <v>0</v>
      </c>
      <c r="H866" s="36">
        <v>0</v>
      </c>
      <c r="I866" s="37">
        <v>211.75</v>
      </c>
    </row>
    <row r="867" spans="1:9" x14ac:dyDescent="0.2">
      <c r="A867" s="9"/>
      <c r="B867" s="2" t="s">
        <v>805</v>
      </c>
      <c r="C867" s="13">
        <v>44979</v>
      </c>
      <c r="D867" s="2">
        <v>1191</v>
      </c>
      <c r="E867" s="35">
        <v>211.75</v>
      </c>
      <c r="F867" s="36">
        <v>0</v>
      </c>
      <c r="G867" s="36">
        <v>0</v>
      </c>
      <c r="H867" s="36">
        <v>0</v>
      </c>
      <c r="I867" s="37">
        <v>211.75</v>
      </c>
    </row>
    <row r="868" spans="1:9" x14ac:dyDescent="0.2">
      <c r="A868" s="9"/>
      <c r="B868" s="2" t="s">
        <v>519</v>
      </c>
      <c r="C868" s="13">
        <v>45005</v>
      </c>
      <c r="D868" s="2">
        <v>1165</v>
      </c>
      <c r="E868" s="35">
        <v>211.75</v>
      </c>
      <c r="F868" s="36">
        <v>0</v>
      </c>
      <c r="G868" s="36">
        <v>0</v>
      </c>
      <c r="H868" s="36">
        <v>0</v>
      </c>
      <c r="I868" s="37">
        <v>211.75</v>
      </c>
    </row>
    <row r="869" spans="1:9" x14ac:dyDescent="0.2">
      <c r="A869" s="9"/>
      <c r="B869" s="2" t="s">
        <v>73</v>
      </c>
      <c r="C869" s="13">
        <v>45034</v>
      </c>
      <c r="D869" s="2">
        <v>1136</v>
      </c>
      <c r="E869" s="35">
        <v>211.75</v>
      </c>
      <c r="F869" s="36">
        <v>0</v>
      </c>
      <c r="G869" s="36">
        <v>0</v>
      </c>
      <c r="H869" s="36">
        <v>0</v>
      </c>
      <c r="I869" s="37">
        <v>211.75</v>
      </c>
    </row>
    <row r="870" spans="1:9" x14ac:dyDescent="0.2">
      <c r="A870" s="9"/>
      <c r="B870" s="2" t="s">
        <v>112</v>
      </c>
      <c r="C870" s="13">
        <v>45062</v>
      </c>
      <c r="D870" s="2">
        <v>1108</v>
      </c>
      <c r="E870" s="35">
        <v>211.75</v>
      </c>
      <c r="F870" s="36">
        <v>0</v>
      </c>
      <c r="G870" s="36">
        <v>0</v>
      </c>
      <c r="H870" s="36">
        <v>0</v>
      </c>
      <c r="I870" s="37">
        <v>211.75</v>
      </c>
    </row>
    <row r="871" spans="1:9" x14ac:dyDescent="0.2">
      <c r="A871" s="9"/>
      <c r="B871" s="2" t="s">
        <v>36</v>
      </c>
      <c r="C871" s="13">
        <v>45096</v>
      </c>
      <c r="D871" s="2">
        <v>1074</v>
      </c>
      <c r="E871" s="35">
        <v>211.75</v>
      </c>
      <c r="F871" s="36">
        <v>0</v>
      </c>
      <c r="G871" s="36">
        <v>0</v>
      </c>
      <c r="H871" s="36">
        <v>0</v>
      </c>
      <c r="I871" s="37">
        <v>211.75</v>
      </c>
    </row>
    <row r="872" spans="1:9" x14ac:dyDescent="0.2">
      <c r="A872" s="9"/>
      <c r="B872" s="2" t="s">
        <v>17</v>
      </c>
      <c r="C872" s="13">
        <v>45124</v>
      </c>
      <c r="D872" s="2">
        <v>1046</v>
      </c>
      <c r="E872" s="35">
        <v>242</v>
      </c>
      <c r="F872" s="36">
        <v>0</v>
      </c>
      <c r="G872" s="36">
        <v>0</v>
      </c>
      <c r="H872" s="36">
        <v>0</v>
      </c>
      <c r="I872" s="37">
        <v>242</v>
      </c>
    </row>
    <row r="873" spans="1:9" x14ac:dyDescent="0.2">
      <c r="A873" s="9"/>
      <c r="B873" s="2" t="s">
        <v>557</v>
      </c>
      <c r="C873" s="13">
        <v>45155</v>
      </c>
      <c r="D873" s="2">
        <v>1015</v>
      </c>
      <c r="E873" s="35">
        <v>242</v>
      </c>
      <c r="F873" s="36">
        <v>0</v>
      </c>
      <c r="G873" s="36">
        <v>0</v>
      </c>
      <c r="H873" s="36">
        <v>0</v>
      </c>
      <c r="I873" s="37">
        <v>242</v>
      </c>
    </row>
    <row r="874" spans="1:9" x14ac:dyDescent="0.2">
      <c r="A874" s="9"/>
      <c r="B874" s="2" t="s">
        <v>134</v>
      </c>
      <c r="C874" s="13">
        <v>45188</v>
      </c>
      <c r="D874" s="2">
        <v>982</v>
      </c>
      <c r="E874" s="35">
        <v>242</v>
      </c>
      <c r="F874" s="36">
        <v>0</v>
      </c>
      <c r="G874" s="36">
        <v>0</v>
      </c>
      <c r="H874" s="36">
        <v>0</v>
      </c>
      <c r="I874" s="37">
        <v>242</v>
      </c>
    </row>
    <row r="875" spans="1:9" x14ac:dyDescent="0.2">
      <c r="A875" s="9"/>
      <c r="B875" s="2" t="s">
        <v>456</v>
      </c>
      <c r="C875" s="13">
        <v>45216</v>
      </c>
      <c r="D875" s="2">
        <v>954</v>
      </c>
      <c r="E875" s="35">
        <v>242</v>
      </c>
      <c r="F875" s="36">
        <v>0</v>
      </c>
      <c r="G875" s="36">
        <v>0</v>
      </c>
      <c r="H875" s="36">
        <v>0</v>
      </c>
      <c r="I875" s="37">
        <v>242</v>
      </c>
    </row>
    <row r="876" spans="1:9" x14ac:dyDescent="0.2">
      <c r="A876" s="9"/>
      <c r="B876" s="2" t="s">
        <v>819</v>
      </c>
      <c r="C876" s="13">
        <v>45251</v>
      </c>
      <c r="D876" s="2">
        <v>919</v>
      </c>
      <c r="E876" s="35">
        <v>242</v>
      </c>
      <c r="F876" s="36">
        <v>0</v>
      </c>
      <c r="G876" s="36">
        <v>0</v>
      </c>
      <c r="H876" s="36">
        <v>0</v>
      </c>
      <c r="I876" s="37">
        <v>242</v>
      </c>
    </row>
    <row r="877" spans="1:9" x14ac:dyDescent="0.2">
      <c r="A877" s="9"/>
      <c r="B877" s="2" t="s">
        <v>893</v>
      </c>
      <c r="C877" s="13">
        <v>45279</v>
      </c>
      <c r="D877" s="2">
        <v>891</v>
      </c>
      <c r="E877" s="35">
        <v>242</v>
      </c>
      <c r="F877" s="36">
        <v>0</v>
      </c>
      <c r="G877" s="36">
        <v>0</v>
      </c>
      <c r="H877" s="36">
        <v>0</v>
      </c>
      <c r="I877" s="37">
        <v>242</v>
      </c>
    </row>
    <row r="878" spans="1:9" x14ac:dyDescent="0.2">
      <c r="A878" s="9"/>
      <c r="B878" s="2" t="s">
        <v>216</v>
      </c>
      <c r="C878" s="13">
        <v>45309</v>
      </c>
      <c r="D878" s="2">
        <v>861</v>
      </c>
      <c r="E878" s="35">
        <v>242</v>
      </c>
      <c r="F878" s="36">
        <v>0</v>
      </c>
      <c r="G878" s="36">
        <v>0</v>
      </c>
      <c r="H878" s="36">
        <v>0</v>
      </c>
      <c r="I878" s="37">
        <v>242</v>
      </c>
    </row>
    <row r="879" spans="1:9" x14ac:dyDescent="0.2">
      <c r="A879" s="9"/>
      <c r="B879" s="2" t="s">
        <v>0</v>
      </c>
      <c r="C879" s="13">
        <v>45341</v>
      </c>
      <c r="D879" s="2">
        <v>829</v>
      </c>
      <c r="E879" s="35">
        <v>242</v>
      </c>
      <c r="F879" s="36">
        <v>0</v>
      </c>
      <c r="G879" s="36">
        <v>0</v>
      </c>
      <c r="H879" s="36">
        <v>0</v>
      </c>
      <c r="I879" s="37">
        <v>242</v>
      </c>
    </row>
    <row r="880" spans="1:9" x14ac:dyDescent="0.2">
      <c r="A880" s="9"/>
      <c r="B880" s="2" t="s">
        <v>786</v>
      </c>
      <c r="C880" s="13">
        <v>45371</v>
      </c>
      <c r="D880" s="2">
        <v>799</v>
      </c>
      <c r="E880" s="35">
        <v>242</v>
      </c>
      <c r="F880" s="36">
        <v>0</v>
      </c>
      <c r="G880" s="36">
        <v>0</v>
      </c>
      <c r="H880" s="36">
        <v>0</v>
      </c>
      <c r="I880" s="37">
        <v>242</v>
      </c>
    </row>
    <row r="881" spans="1:9" x14ac:dyDescent="0.2">
      <c r="A881" s="9"/>
      <c r="B881" s="2" t="s">
        <v>318</v>
      </c>
      <c r="C881" s="13">
        <v>45400</v>
      </c>
      <c r="D881" s="2">
        <v>770</v>
      </c>
      <c r="E881" s="35">
        <v>242</v>
      </c>
      <c r="F881" s="36">
        <v>0</v>
      </c>
      <c r="G881" s="36">
        <v>0</v>
      </c>
      <c r="H881" s="36">
        <v>0</v>
      </c>
      <c r="I881" s="37">
        <v>242</v>
      </c>
    </row>
    <row r="882" spans="1:9" x14ac:dyDescent="0.2">
      <c r="A882" s="9"/>
      <c r="B882" s="2" t="s">
        <v>400</v>
      </c>
      <c r="C882" s="13">
        <v>45432</v>
      </c>
      <c r="D882" s="2">
        <v>738</v>
      </c>
      <c r="E882" s="35">
        <v>242</v>
      </c>
      <c r="F882" s="36">
        <v>0</v>
      </c>
      <c r="G882" s="36">
        <v>0</v>
      </c>
      <c r="H882" s="36">
        <v>0</v>
      </c>
      <c r="I882" s="37">
        <v>242</v>
      </c>
    </row>
    <row r="883" spans="1:9" x14ac:dyDescent="0.2">
      <c r="A883" s="9"/>
      <c r="B883" s="2" t="s">
        <v>937</v>
      </c>
      <c r="C883" s="13">
        <v>45460</v>
      </c>
      <c r="D883" s="2">
        <v>710</v>
      </c>
      <c r="E883" s="35">
        <v>242</v>
      </c>
      <c r="F883" s="36">
        <v>0</v>
      </c>
      <c r="G883" s="36">
        <v>0</v>
      </c>
      <c r="H883" s="36">
        <v>0</v>
      </c>
      <c r="I883" s="37">
        <v>242</v>
      </c>
    </row>
    <row r="884" spans="1:9" x14ac:dyDescent="0.2">
      <c r="A884" s="9"/>
      <c r="B884" s="2" t="s">
        <v>537</v>
      </c>
      <c r="C884" s="13">
        <v>45495</v>
      </c>
      <c r="D884" s="2">
        <v>675</v>
      </c>
      <c r="E884" s="35">
        <v>242</v>
      </c>
      <c r="F884" s="36">
        <v>0</v>
      </c>
      <c r="G884" s="36">
        <v>0</v>
      </c>
      <c r="H884" s="36">
        <v>0</v>
      </c>
      <c r="I884" s="37">
        <v>242</v>
      </c>
    </row>
    <row r="885" spans="1:9" x14ac:dyDescent="0.2">
      <c r="A885" s="9"/>
      <c r="B885" s="2" t="s">
        <v>1059</v>
      </c>
      <c r="C885" s="13">
        <v>45523</v>
      </c>
      <c r="D885" s="2">
        <v>647</v>
      </c>
      <c r="E885" s="35">
        <v>242</v>
      </c>
      <c r="F885" s="36">
        <v>0</v>
      </c>
      <c r="G885" s="36">
        <v>0</v>
      </c>
      <c r="H885" s="36">
        <v>0</v>
      </c>
      <c r="I885" s="37">
        <v>242</v>
      </c>
    </row>
    <row r="886" spans="1:9" x14ac:dyDescent="0.2">
      <c r="A886" s="9"/>
      <c r="B886" s="2" t="s">
        <v>996</v>
      </c>
      <c r="C886" s="13">
        <v>45551</v>
      </c>
      <c r="D886" s="2">
        <v>619</v>
      </c>
      <c r="E886" s="35">
        <v>242</v>
      </c>
      <c r="F886" s="36">
        <v>0</v>
      </c>
      <c r="G886" s="36">
        <v>0</v>
      </c>
      <c r="H886" s="36">
        <v>0</v>
      </c>
      <c r="I886" s="37">
        <v>242</v>
      </c>
    </row>
    <row r="887" spans="1:9" x14ac:dyDescent="0.2">
      <c r="A887" s="9"/>
      <c r="B887" s="2" t="s">
        <v>961</v>
      </c>
      <c r="C887" s="13">
        <v>45586</v>
      </c>
      <c r="D887" s="2">
        <v>584</v>
      </c>
      <c r="E887" s="35">
        <v>242</v>
      </c>
      <c r="F887" s="36">
        <v>0</v>
      </c>
      <c r="G887" s="36">
        <v>0</v>
      </c>
      <c r="H887" s="36">
        <v>0</v>
      </c>
      <c r="I887" s="37">
        <v>242</v>
      </c>
    </row>
    <row r="888" spans="1:9" x14ac:dyDescent="0.2">
      <c r="A888" s="9"/>
      <c r="B888" s="2" t="s">
        <v>441</v>
      </c>
      <c r="C888" s="13">
        <v>45614</v>
      </c>
      <c r="D888" s="2">
        <v>556</v>
      </c>
      <c r="E888" s="35">
        <v>242</v>
      </c>
      <c r="F888" s="36">
        <v>0</v>
      </c>
      <c r="G888" s="36">
        <v>0</v>
      </c>
      <c r="H888" s="36">
        <v>0</v>
      </c>
      <c r="I888" s="37">
        <v>242</v>
      </c>
    </row>
    <row r="889" spans="1:9" x14ac:dyDescent="0.2">
      <c r="A889" s="9"/>
      <c r="B889" s="2" t="s">
        <v>368</v>
      </c>
      <c r="C889" s="13">
        <v>45642</v>
      </c>
      <c r="D889" s="2">
        <v>528</v>
      </c>
      <c r="E889" s="35">
        <v>242</v>
      </c>
      <c r="F889" s="36">
        <v>0</v>
      </c>
      <c r="G889" s="36">
        <v>0</v>
      </c>
      <c r="H889" s="36">
        <v>0</v>
      </c>
      <c r="I889" s="37">
        <v>242</v>
      </c>
    </row>
    <row r="890" spans="1:9" x14ac:dyDescent="0.2">
      <c r="A890" s="9"/>
      <c r="B890" s="2" t="s">
        <v>150</v>
      </c>
      <c r="C890" s="13">
        <v>45686</v>
      </c>
      <c r="D890" s="2">
        <v>484</v>
      </c>
      <c r="E890" s="35">
        <v>242</v>
      </c>
      <c r="F890" s="36">
        <v>0</v>
      </c>
      <c r="G890" s="36">
        <v>0</v>
      </c>
      <c r="H890" s="36">
        <v>0</v>
      </c>
      <c r="I890" s="37">
        <v>242</v>
      </c>
    </row>
    <row r="891" spans="1:9" x14ac:dyDescent="0.2">
      <c r="A891" s="9"/>
      <c r="B891" s="2" t="s">
        <v>752</v>
      </c>
      <c r="C891" s="13">
        <v>45705</v>
      </c>
      <c r="D891" s="2">
        <v>465</v>
      </c>
      <c r="E891" s="35">
        <v>242</v>
      </c>
      <c r="F891" s="36">
        <v>0</v>
      </c>
      <c r="G891" s="36">
        <v>0</v>
      </c>
      <c r="H891" s="36">
        <v>0</v>
      </c>
      <c r="I891" s="37">
        <v>242</v>
      </c>
    </row>
    <row r="892" spans="1:9" x14ac:dyDescent="0.2">
      <c r="A892" s="9"/>
      <c r="B892" s="2" t="s">
        <v>1080</v>
      </c>
      <c r="C892" s="13">
        <v>45735</v>
      </c>
      <c r="D892" s="2">
        <v>435</v>
      </c>
      <c r="E892" s="35">
        <v>242</v>
      </c>
      <c r="F892" s="36">
        <v>0</v>
      </c>
      <c r="G892" s="36">
        <v>0</v>
      </c>
      <c r="H892" s="36">
        <v>0</v>
      </c>
      <c r="I892" s="37">
        <v>242</v>
      </c>
    </row>
    <row r="893" spans="1:9" x14ac:dyDescent="0.2">
      <c r="A893" s="9"/>
      <c r="B893" s="2" t="s">
        <v>736</v>
      </c>
      <c r="C893" s="13">
        <v>45764</v>
      </c>
      <c r="D893" s="2">
        <v>406</v>
      </c>
      <c r="E893" s="35">
        <v>242</v>
      </c>
      <c r="F893" s="36">
        <v>0</v>
      </c>
      <c r="G893" s="36">
        <v>0</v>
      </c>
      <c r="H893" s="36">
        <v>0</v>
      </c>
      <c r="I893" s="37">
        <v>242</v>
      </c>
    </row>
    <row r="894" spans="1:9" x14ac:dyDescent="0.2">
      <c r="A894" s="11" t="s">
        <v>1417</v>
      </c>
      <c r="B894" s="12"/>
      <c r="C894" s="12"/>
      <c r="D894" s="12"/>
      <c r="E894" s="38">
        <v>9764.14</v>
      </c>
      <c r="F894" s="39">
        <v>242</v>
      </c>
      <c r="G894" s="39">
        <v>242</v>
      </c>
      <c r="H894" s="39">
        <v>242</v>
      </c>
      <c r="I894" s="40">
        <v>9038.14</v>
      </c>
    </row>
    <row r="895" spans="1:9" x14ac:dyDescent="0.2">
      <c r="A895" s="2" t="s">
        <v>86</v>
      </c>
      <c r="B895" s="2" t="s">
        <v>3</v>
      </c>
      <c r="C895" s="13">
        <v>46092</v>
      </c>
      <c r="D895" s="2">
        <v>78</v>
      </c>
      <c r="E895" s="35">
        <v>484</v>
      </c>
      <c r="F895" s="36">
        <v>0</v>
      </c>
      <c r="G895" s="36">
        <v>0</v>
      </c>
      <c r="H895" s="36">
        <v>484</v>
      </c>
      <c r="I895" s="37">
        <v>0</v>
      </c>
    </row>
    <row r="896" spans="1:9" x14ac:dyDescent="0.2">
      <c r="A896" s="11" t="s">
        <v>1418</v>
      </c>
      <c r="B896" s="12"/>
      <c r="C896" s="12"/>
      <c r="D896" s="12"/>
      <c r="E896" s="38">
        <v>484</v>
      </c>
      <c r="F896" s="39">
        <v>0</v>
      </c>
      <c r="G896" s="39">
        <v>0</v>
      </c>
      <c r="H896" s="39">
        <v>484</v>
      </c>
      <c r="I896" s="40">
        <v>0</v>
      </c>
    </row>
    <row r="897" spans="1:9" x14ac:dyDescent="0.2">
      <c r="A897" s="2" t="s">
        <v>1151</v>
      </c>
      <c r="B897" s="2" t="s">
        <v>387</v>
      </c>
      <c r="C897" s="13">
        <v>46039</v>
      </c>
      <c r="D897" s="2">
        <v>131</v>
      </c>
      <c r="E897" s="35">
        <v>-907.5</v>
      </c>
      <c r="F897" s="36">
        <v>0</v>
      </c>
      <c r="G897" s="36">
        <v>0</v>
      </c>
      <c r="H897" s="36">
        <v>0</v>
      </c>
      <c r="I897" s="37">
        <v>-907.5</v>
      </c>
    </row>
    <row r="898" spans="1:9" x14ac:dyDescent="0.2">
      <c r="A898" s="9"/>
      <c r="B898" s="2" t="s">
        <v>386</v>
      </c>
      <c r="C898" s="13">
        <v>46039</v>
      </c>
      <c r="D898" s="2">
        <v>131</v>
      </c>
      <c r="E898" s="35">
        <v>-907.5</v>
      </c>
      <c r="F898" s="36">
        <v>0</v>
      </c>
      <c r="G898" s="36">
        <v>0</v>
      </c>
      <c r="H898" s="36">
        <v>0</v>
      </c>
      <c r="I898" s="37">
        <v>-907.5</v>
      </c>
    </row>
    <row r="899" spans="1:9" x14ac:dyDescent="0.2">
      <c r="A899" s="9"/>
      <c r="B899" s="2" t="s">
        <v>480</v>
      </c>
      <c r="C899" s="13">
        <v>45602</v>
      </c>
      <c r="D899" s="2">
        <v>568</v>
      </c>
      <c r="E899" s="35">
        <v>907.5</v>
      </c>
      <c r="F899" s="36">
        <v>0</v>
      </c>
      <c r="G899" s="36">
        <v>0</v>
      </c>
      <c r="H899" s="36">
        <v>0</v>
      </c>
      <c r="I899" s="37">
        <v>907.5</v>
      </c>
    </row>
    <row r="900" spans="1:9" x14ac:dyDescent="0.2">
      <c r="A900" s="9"/>
      <c r="B900" s="2" t="s">
        <v>479</v>
      </c>
      <c r="C900" s="13">
        <v>45602</v>
      </c>
      <c r="D900" s="2">
        <v>568</v>
      </c>
      <c r="E900" s="35">
        <v>907.5</v>
      </c>
      <c r="F900" s="36">
        <v>0</v>
      </c>
      <c r="G900" s="36">
        <v>0</v>
      </c>
      <c r="H900" s="36">
        <v>0</v>
      </c>
      <c r="I900" s="37">
        <v>907.5</v>
      </c>
    </row>
    <row r="901" spans="1:9" x14ac:dyDescent="0.2">
      <c r="A901" s="11" t="s">
        <v>1419</v>
      </c>
      <c r="B901" s="12"/>
      <c r="C901" s="12"/>
      <c r="D901" s="12"/>
      <c r="E901" s="38">
        <v>0</v>
      </c>
      <c r="F901" s="39">
        <v>0</v>
      </c>
      <c r="G901" s="39">
        <v>0</v>
      </c>
      <c r="H901" s="39">
        <v>0</v>
      </c>
      <c r="I901" s="40">
        <v>0</v>
      </c>
    </row>
    <row r="902" spans="1:9" x14ac:dyDescent="0.2">
      <c r="A902" s="2" t="s">
        <v>668</v>
      </c>
      <c r="B902" s="2" t="s">
        <v>1089</v>
      </c>
      <c r="C902" s="13">
        <v>46148</v>
      </c>
      <c r="D902" s="2">
        <v>22</v>
      </c>
      <c r="E902" s="35">
        <v>181.5</v>
      </c>
      <c r="F902" s="36">
        <v>181.5</v>
      </c>
      <c r="G902" s="36">
        <v>0</v>
      </c>
      <c r="H902" s="36">
        <v>0</v>
      </c>
      <c r="I902" s="37">
        <v>0</v>
      </c>
    </row>
    <row r="903" spans="1:9" x14ac:dyDescent="0.2">
      <c r="A903" s="11" t="s">
        <v>1420</v>
      </c>
      <c r="B903" s="12"/>
      <c r="C903" s="12"/>
      <c r="D903" s="12"/>
      <c r="E903" s="38">
        <v>181.5</v>
      </c>
      <c r="F903" s="39">
        <v>181.5</v>
      </c>
      <c r="G903" s="39">
        <v>0</v>
      </c>
      <c r="H903" s="39">
        <v>0</v>
      </c>
      <c r="I903" s="40">
        <v>0</v>
      </c>
    </row>
    <row r="904" spans="1:9" x14ac:dyDescent="0.2">
      <c r="A904" s="2" t="s">
        <v>28</v>
      </c>
      <c r="B904" s="2" t="s">
        <v>868</v>
      </c>
      <c r="C904" s="13">
        <v>45042</v>
      </c>
      <c r="D904" s="2">
        <v>1128</v>
      </c>
      <c r="E904" s="35">
        <v>453.75</v>
      </c>
      <c r="F904" s="36">
        <v>0</v>
      </c>
      <c r="G904" s="36">
        <v>0</v>
      </c>
      <c r="H904" s="36">
        <v>0</v>
      </c>
      <c r="I904" s="37">
        <v>453.75</v>
      </c>
    </row>
    <row r="905" spans="1:9" x14ac:dyDescent="0.2">
      <c r="A905" s="11" t="s">
        <v>1421</v>
      </c>
      <c r="B905" s="12"/>
      <c r="C905" s="12"/>
      <c r="D905" s="12"/>
      <c r="E905" s="38">
        <v>453.75</v>
      </c>
      <c r="F905" s="39">
        <v>0</v>
      </c>
      <c r="G905" s="39">
        <v>0</v>
      </c>
      <c r="H905" s="39">
        <v>0</v>
      </c>
      <c r="I905" s="40">
        <v>453.75</v>
      </c>
    </row>
    <row r="906" spans="1:9" x14ac:dyDescent="0.2">
      <c r="A906" s="2" t="s">
        <v>467</v>
      </c>
      <c r="B906" s="2" t="s">
        <v>355</v>
      </c>
      <c r="C906" s="13">
        <v>46060</v>
      </c>
      <c r="D906" s="2">
        <v>110</v>
      </c>
      <c r="E906" s="35">
        <v>423.5</v>
      </c>
      <c r="F906" s="36">
        <v>0</v>
      </c>
      <c r="G906" s="36">
        <v>0</v>
      </c>
      <c r="H906" s="36">
        <v>0</v>
      </c>
      <c r="I906" s="37">
        <v>423.5</v>
      </c>
    </row>
    <row r="907" spans="1:9" x14ac:dyDescent="0.2">
      <c r="A907" s="9"/>
      <c r="B907" s="2" t="s">
        <v>135</v>
      </c>
      <c r="C907" s="13">
        <v>46068</v>
      </c>
      <c r="D907" s="2">
        <v>102</v>
      </c>
      <c r="E907" s="35">
        <v>137.94</v>
      </c>
      <c r="F907" s="36">
        <v>0</v>
      </c>
      <c r="G907" s="36">
        <v>0</v>
      </c>
      <c r="H907" s="36">
        <v>0</v>
      </c>
      <c r="I907" s="37">
        <v>137.94</v>
      </c>
    </row>
    <row r="908" spans="1:9" x14ac:dyDescent="0.2">
      <c r="A908" s="9"/>
      <c r="B908" s="2" t="s">
        <v>303</v>
      </c>
      <c r="C908" s="13">
        <v>46085</v>
      </c>
      <c r="D908" s="2">
        <v>85</v>
      </c>
      <c r="E908" s="35">
        <v>423.5</v>
      </c>
      <c r="F908" s="36">
        <v>0</v>
      </c>
      <c r="G908" s="36">
        <v>0</v>
      </c>
      <c r="H908" s="36">
        <v>423.5</v>
      </c>
      <c r="I908" s="37">
        <v>0</v>
      </c>
    </row>
    <row r="909" spans="1:9" x14ac:dyDescent="0.2">
      <c r="A909" s="9"/>
      <c r="B909" s="2" t="s">
        <v>1289</v>
      </c>
      <c r="C909" s="13">
        <v>46115</v>
      </c>
      <c r="D909" s="2">
        <v>55</v>
      </c>
      <c r="E909" s="35">
        <v>423.5</v>
      </c>
      <c r="F909" s="36">
        <v>0</v>
      </c>
      <c r="G909" s="36">
        <v>423.5</v>
      </c>
      <c r="H909" s="36">
        <v>0</v>
      </c>
      <c r="I909" s="37">
        <v>0</v>
      </c>
    </row>
    <row r="910" spans="1:9" x14ac:dyDescent="0.2">
      <c r="A910" s="9"/>
      <c r="B910" s="2" t="s">
        <v>1274</v>
      </c>
      <c r="C910" s="13">
        <v>46148</v>
      </c>
      <c r="D910" s="2">
        <v>22</v>
      </c>
      <c r="E910" s="35">
        <v>423.5</v>
      </c>
      <c r="F910" s="36">
        <v>423.5</v>
      </c>
      <c r="G910" s="36">
        <v>0</v>
      </c>
      <c r="H910" s="36">
        <v>0</v>
      </c>
      <c r="I910" s="37">
        <v>0</v>
      </c>
    </row>
    <row r="911" spans="1:9" x14ac:dyDescent="0.2">
      <c r="A911" s="9"/>
      <c r="B911" s="2" t="s">
        <v>518</v>
      </c>
      <c r="C911" s="13">
        <v>46148</v>
      </c>
      <c r="D911" s="2">
        <v>22</v>
      </c>
      <c r="E911" s="35">
        <v>137.94</v>
      </c>
      <c r="F911" s="36">
        <v>137.94</v>
      </c>
      <c r="G911" s="36">
        <v>0</v>
      </c>
      <c r="H911" s="36">
        <v>0</v>
      </c>
      <c r="I911" s="37">
        <v>0</v>
      </c>
    </row>
    <row r="912" spans="1:9" x14ac:dyDescent="0.2">
      <c r="A912" s="11" t="s">
        <v>1422</v>
      </c>
      <c r="B912" s="12"/>
      <c r="C912" s="12"/>
      <c r="D912" s="12"/>
      <c r="E912" s="38">
        <v>1969.88</v>
      </c>
      <c r="F912" s="39">
        <v>561.44000000000005</v>
      </c>
      <c r="G912" s="39">
        <v>423.5</v>
      </c>
      <c r="H912" s="39">
        <v>423.5</v>
      </c>
      <c r="I912" s="40">
        <v>561.44000000000005</v>
      </c>
    </row>
    <row r="913" spans="1:9" x14ac:dyDescent="0.2">
      <c r="A913" s="2" t="s">
        <v>964</v>
      </c>
      <c r="B913" s="2" t="s">
        <v>1093</v>
      </c>
      <c r="C913" s="13">
        <v>46148</v>
      </c>
      <c r="D913" s="2">
        <v>22</v>
      </c>
      <c r="E913" s="35">
        <v>635.25</v>
      </c>
      <c r="F913" s="36">
        <v>635.25</v>
      </c>
      <c r="G913" s="36">
        <v>0</v>
      </c>
      <c r="H913" s="36">
        <v>0</v>
      </c>
      <c r="I913" s="37">
        <v>0</v>
      </c>
    </row>
    <row r="914" spans="1:9" x14ac:dyDescent="0.2">
      <c r="A914" s="9"/>
      <c r="B914" s="2" t="s">
        <v>180</v>
      </c>
      <c r="C914" s="13">
        <v>46148</v>
      </c>
      <c r="D914" s="2">
        <v>22</v>
      </c>
      <c r="E914" s="35">
        <v>79.86</v>
      </c>
      <c r="F914" s="36">
        <v>79.86</v>
      </c>
      <c r="G914" s="36">
        <v>0</v>
      </c>
      <c r="H914" s="36">
        <v>0</v>
      </c>
      <c r="I914" s="37">
        <v>0</v>
      </c>
    </row>
    <row r="915" spans="1:9" x14ac:dyDescent="0.2">
      <c r="A915" s="11" t="s">
        <v>1423</v>
      </c>
      <c r="B915" s="12"/>
      <c r="C915" s="12"/>
      <c r="D915" s="12"/>
      <c r="E915" s="38">
        <v>715.11</v>
      </c>
      <c r="F915" s="39">
        <v>715.11</v>
      </c>
      <c r="G915" s="39">
        <v>0</v>
      </c>
      <c r="H915" s="39">
        <v>0</v>
      </c>
      <c r="I915" s="40">
        <v>0</v>
      </c>
    </row>
    <row r="916" spans="1:9" x14ac:dyDescent="0.2">
      <c r="A916" s="2" t="s">
        <v>841</v>
      </c>
      <c r="B916" s="2" t="s">
        <v>354</v>
      </c>
      <c r="C916" s="13">
        <v>46060</v>
      </c>
      <c r="D916" s="2">
        <v>110</v>
      </c>
      <c r="E916" s="35">
        <v>496.1</v>
      </c>
      <c r="F916" s="36">
        <v>0</v>
      </c>
      <c r="G916" s="36">
        <v>0</v>
      </c>
      <c r="H916" s="36">
        <v>0</v>
      </c>
      <c r="I916" s="37">
        <v>496.1</v>
      </c>
    </row>
    <row r="917" spans="1:9" x14ac:dyDescent="0.2">
      <c r="A917" s="9"/>
      <c r="B917" s="2" t="s">
        <v>768</v>
      </c>
      <c r="C917" s="13">
        <v>46060</v>
      </c>
      <c r="D917" s="2">
        <v>110</v>
      </c>
      <c r="E917" s="35">
        <v>79.86</v>
      </c>
      <c r="F917" s="36">
        <v>0</v>
      </c>
      <c r="G917" s="36">
        <v>0</v>
      </c>
      <c r="H917" s="36">
        <v>0</v>
      </c>
      <c r="I917" s="37">
        <v>79.86</v>
      </c>
    </row>
    <row r="918" spans="1:9" x14ac:dyDescent="0.2">
      <c r="A918" s="9"/>
      <c r="B918" s="2" t="s">
        <v>1094</v>
      </c>
      <c r="C918" s="13">
        <v>46148</v>
      </c>
      <c r="D918" s="2">
        <v>22</v>
      </c>
      <c r="E918" s="35">
        <v>496.1</v>
      </c>
      <c r="F918" s="36">
        <v>496.1</v>
      </c>
      <c r="G918" s="36">
        <v>0</v>
      </c>
      <c r="H918" s="36">
        <v>0</v>
      </c>
      <c r="I918" s="37">
        <v>0</v>
      </c>
    </row>
    <row r="919" spans="1:9" x14ac:dyDescent="0.2">
      <c r="A919" s="9"/>
      <c r="B919" s="2" t="s">
        <v>646</v>
      </c>
      <c r="C919" s="13">
        <v>46148</v>
      </c>
      <c r="D919" s="2">
        <v>22</v>
      </c>
      <c r="E919" s="35">
        <v>79.86</v>
      </c>
      <c r="F919" s="36">
        <v>79.86</v>
      </c>
      <c r="G919" s="36">
        <v>0</v>
      </c>
      <c r="H919" s="36">
        <v>0</v>
      </c>
      <c r="I919" s="37">
        <v>0</v>
      </c>
    </row>
    <row r="920" spans="1:9" x14ac:dyDescent="0.2">
      <c r="A920" s="11" t="s">
        <v>1424</v>
      </c>
      <c r="B920" s="12"/>
      <c r="C920" s="12"/>
      <c r="D920" s="12"/>
      <c r="E920" s="38">
        <v>1151.9199999999998</v>
      </c>
      <c r="F920" s="39">
        <v>575.96</v>
      </c>
      <c r="G920" s="39">
        <v>0</v>
      </c>
      <c r="H920" s="39">
        <v>0</v>
      </c>
      <c r="I920" s="40">
        <v>575.96</v>
      </c>
    </row>
    <row r="921" spans="1:9" x14ac:dyDescent="0.2">
      <c r="A921" s="2" t="s">
        <v>596</v>
      </c>
      <c r="B921" s="2" t="s">
        <v>56</v>
      </c>
      <c r="C921" s="13">
        <v>46127</v>
      </c>
      <c r="D921" s="2">
        <v>43</v>
      </c>
      <c r="E921" s="35">
        <v>524.63</v>
      </c>
      <c r="F921" s="36">
        <v>0</v>
      </c>
      <c r="G921" s="36">
        <v>524.63</v>
      </c>
      <c r="H921" s="36">
        <v>0</v>
      </c>
      <c r="I921" s="37">
        <v>0</v>
      </c>
    </row>
    <row r="922" spans="1:9" x14ac:dyDescent="0.2">
      <c r="A922" s="9"/>
      <c r="B922" s="2" t="s">
        <v>287</v>
      </c>
      <c r="C922" s="13">
        <v>44973</v>
      </c>
      <c r="D922" s="2">
        <v>1197</v>
      </c>
      <c r="E922" s="35">
        <v>17617.599999999999</v>
      </c>
      <c r="F922" s="36">
        <v>0</v>
      </c>
      <c r="G922" s="36">
        <v>0</v>
      </c>
      <c r="H922" s="36">
        <v>0</v>
      </c>
      <c r="I922" s="37">
        <v>17617.599999999999</v>
      </c>
    </row>
    <row r="923" spans="1:9" x14ac:dyDescent="0.2">
      <c r="A923" s="9"/>
      <c r="B923" s="2" t="s">
        <v>466</v>
      </c>
      <c r="C923" s="13">
        <v>45052</v>
      </c>
      <c r="D923" s="2">
        <v>1118</v>
      </c>
      <c r="E923" s="35">
        <v>72.599999999999994</v>
      </c>
      <c r="F923" s="36">
        <v>0</v>
      </c>
      <c r="G923" s="36">
        <v>0</v>
      </c>
      <c r="H923" s="36">
        <v>0</v>
      </c>
      <c r="I923" s="37">
        <v>72.599999999999994</v>
      </c>
    </row>
    <row r="924" spans="1:9" x14ac:dyDescent="0.2">
      <c r="A924" s="11" t="s">
        <v>1425</v>
      </c>
      <c r="B924" s="12"/>
      <c r="C924" s="12"/>
      <c r="D924" s="12"/>
      <c r="E924" s="38">
        <v>18214.829999999998</v>
      </c>
      <c r="F924" s="39">
        <v>0</v>
      </c>
      <c r="G924" s="39">
        <v>524.63</v>
      </c>
      <c r="H924" s="39">
        <v>0</v>
      </c>
      <c r="I924" s="40">
        <v>17690.199999999997</v>
      </c>
    </row>
    <row r="925" spans="1:9" x14ac:dyDescent="0.2">
      <c r="A925" s="2" t="s">
        <v>1163</v>
      </c>
      <c r="B925" s="2" t="s">
        <v>900</v>
      </c>
      <c r="C925" s="13">
        <v>44863</v>
      </c>
      <c r="D925" s="2">
        <v>1307</v>
      </c>
      <c r="E925" s="35">
        <v>-22514.97</v>
      </c>
      <c r="F925" s="36">
        <v>0</v>
      </c>
      <c r="G925" s="36">
        <v>0</v>
      </c>
      <c r="H925" s="36">
        <v>0</v>
      </c>
      <c r="I925" s="37">
        <v>-22514.97</v>
      </c>
    </row>
    <row r="926" spans="1:9" x14ac:dyDescent="0.2">
      <c r="A926" s="9"/>
      <c r="B926" s="9"/>
      <c r="C926" s="13">
        <v>45101</v>
      </c>
      <c r="D926" s="2">
        <v>1069</v>
      </c>
      <c r="E926" s="35">
        <v>48698.36</v>
      </c>
      <c r="F926" s="36">
        <v>0</v>
      </c>
      <c r="G926" s="36">
        <v>0</v>
      </c>
      <c r="H926" s="36">
        <v>0</v>
      </c>
      <c r="I926" s="37">
        <v>48698.36</v>
      </c>
    </row>
    <row r="927" spans="1:9" x14ac:dyDescent="0.2">
      <c r="A927" s="9"/>
      <c r="B927" s="2" t="s">
        <v>912</v>
      </c>
      <c r="C927" s="13">
        <v>45812</v>
      </c>
      <c r="D927" s="2">
        <v>358</v>
      </c>
      <c r="E927" s="35">
        <v>248.7</v>
      </c>
      <c r="F927" s="36">
        <v>0</v>
      </c>
      <c r="G927" s="36">
        <v>0</v>
      </c>
      <c r="H927" s="36">
        <v>0</v>
      </c>
      <c r="I927" s="37">
        <v>248.7</v>
      </c>
    </row>
    <row r="928" spans="1:9" x14ac:dyDescent="0.2">
      <c r="A928" s="9"/>
      <c r="B928" s="2" t="s">
        <v>314</v>
      </c>
      <c r="C928" s="13">
        <v>45840</v>
      </c>
      <c r="D928" s="2">
        <v>330</v>
      </c>
      <c r="E928" s="35">
        <v>248.7</v>
      </c>
      <c r="F928" s="36">
        <v>0</v>
      </c>
      <c r="G928" s="36">
        <v>0</v>
      </c>
      <c r="H928" s="36">
        <v>0</v>
      </c>
      <c r="I928" s="37">
        <v>248.7</v>
      </c>
    </row>
    <row r="929" spans="1:9" x14ac:dyDescent="0.2">
      <c r="A929" s="9"/>
      <c r="B929" s="2" t="s">
        <v>870</v>
      </c>
      <c r="C929" s="13">
        <v>45869</v>
      </c>
      <c r="D929" s="2">
        <v>301</v>
      </c>
      <c r="E929" s="35">
        <v>248.7</v>
      </c>
      <c r="F929" s="36">
        <v>0</v>
      </c>
      <c r="G929" s="36">
        <v>0</v>
      </c>
      <c r="H929" s="36">
        <v>0</v>
      </c>
      <c r="I929" s="37">
        <v>248.7</v>
      </c>
    </row>
    <row r="930" spans="1:9" x14ac:dyDescent="0.2">
      <c r="A930" s="9"/>
      <c r="B930" s="2" t="s">
        <v>871</v>
      </c>
      <c r="C930" s="13">
        <v>45903</v>
      </c>
      <c r="D930" s="2">
        <v>267</v>
      </c>
      <c r="E930" s="35">
        <v>248.7</v>
      </c>
      <c r="F930" s="36">
        <v>0</v>
      </c>
      <c r="G930" s="36">
        <v>0</v>
      </c>
      <c r="H930" s="36">
        <v>0</v>
      </c>
      <c r="I930" s="37">
        <v>248.7</v>
      </c>
    </row>
    <row r="931" spans="1:9" x14ac:dyDescent="0.2">
      <c r="A931" s="9"/>
      <c r="B931" s="2" t="s">
        <v>196</v>
      </c>
      <c r="C931" s="13">
        <v>45931</v>
      </c>
      <c r="D931" s="2">
        <v>239</v>
      </c>
      <c r="E931" s="35">
        <v>248.7</v>
      </c>
      <c r="F931" s="36">
        <v>0</v>
      </c>
      <c r="G931" s="36">
        <v>0</v>
      </c>
      <c r="H931" s="36">
        <v>0</v>
      </c>
      <c r="I931" s="37">
        <v>248.7</v>
      </c>
    </row>
    <row r="932" spans="1:9" x14ac:dyDescent="0.2">
      <c r="A932" s="9"/>
      <c r="B932" s="2" t="s">
        <v>1176</v>
      </c>
      <c r="C932" s="13">
        <v>45966</v>
      </c>
      <c r="D932" s="2">
        <v>204</v>
      </c>
      <c r="E932" s="35">
        <v>248.7</v>
      </c>
      <c r="F932" s="36">
        <v>0</v>
      </c>
      <c r="G932" s="36">
        <v>0</v>
      </c>
      <c r="H932" s="36">
        <v>0</v>
      </c>
      <c r="I932" s="37">
        <v>248.7</v>
      </c>
    </row>
    <row r="933" spans="1:9" x14ac:dyDescent="0.2">
      <c r="A933" s="9"/>
      <c r="B933" s="2" t="s">
        <v>585</v>
      </c>
      <c r="C933" s="13">
        <v>45996</v>
      </c>
      <c r="D933" s="2">
        <v>174</v>
      </c>
      <c r="E933" s="35">
        <v>248.7</v>
      </c>
      <c r="F933" s="36">
        <v>0</v>
      </c>
      <c r="G933" s="36">
        <v>0</v>
      </c>
      <c r="H933" s="36">
        <v>0</v>
      </c>
      <c r="I933" s="37">
        <v>248.7</v>
      </c>
    </row>
    <row r="934" spans="1:9" x14ac:dyDescent="0.2">
      <c r="A934" s="9"/>
      <c r="B934" s="2" t="s">
        <v>487</v>
      </c>
      <c r="C934" s="13">
        <v>46023</v>
      </c>
      <c r="D934" s="2">
        <v>147</v>
      </c>
      <c r="E934" s="35">
        <v>248.7</v>
      </c>
      <c r="F934" s="36">
        <v>0</v>
      </c>
      <c r="G934" s="36">
        <v>0</v>
      </c>
      <c r="H934" s="36">
        <v>0</v>
      </c>
      <c r="I934" s="37">
        <v>248.7</v>
      </c>
    </row>
    <row r="935" spans="1:9" x14ac:dyDescent="0.2">
      <c r="A935" s="9"/>
      <c r="B935" s="2" t="s">
        <v>780</v>
      </c>
      <c r="C935" s="13">
        <v>46060</v>
      </c>
      <c r="D935" s="2">
        <v>110</v>
      </c>
      <c r="E935" s="35">
        <v>248.7</v>
      </c>
      <c r="F935" s="36">
        <v>0</v>
      </c>
      <c r="G935" s="36">
        <v>0</v>
      </c>
      <c r="H935" s="36">
        <v>0</v>
      </c>
      <c r="I935" s="37">
        <v>248.7</v>
      </c>
    </row>
    <row r="936" spans="1:9" x14ac:dyDescent="0.2">
      <c r="A936" s="9"/>
      <c r="B936" s="2" t="s">
        <v>1173</v>
      </c>
      <c r="C936" s="13">
        <v>46065</v>
      </c>
      <c r="D936" s="2">
        <v>105</v>
      </c>
      <c r="E936" s="35">
        <v>82.99</v>
      </c>
      <c r="F936" s="36">
        <v>0</v>
      </c>
      <c r="G936" s="36">
        <v>0</v>
      </c>
      <c r="H936" s="36">
        <v>0</v>
      </c>
      <c r="I936" s="37">
        <v>82.99</v>
      </c>
    </row>
    <row r="937" spans="1:9" x14ac:dyDescent="0.2">
      <c r="A937" s="9"/>
      <c r="B937" s="2" t="s">
        <v>493</v>
      </c>
      <c r="C937" s="13">
        <v>46085</v>
      </c>
      <c r="D937" s="2">
        <v>85</v>
      </c>
      <c r="E937" s="35">
        <v>254.03</v>
      </c>
      <c r="F937" s="36">
        <v>0</v>
      </c>
      <c r="G937" s="36">
        <v>0</v>
      </c>
      <c r="H937" s="36">
        <v>254.03</v>
      </c>
      <c r="I937" s="37">
        <v>0</v>
      </c>
    </row>
    <row r="938" spans="1:9" x14ac:dyDescent="0.2">
      <c r="A938" s="9"/>
      <c r="B938" s="2" t="s">
        <v>549</v>
      </c>
      <c r="C938" s="13">
        <v>46115</v>
      </c>
      <c r="D938" s="2">
        <v>55</v>
      </c>
      <c r="E938" s="35">
        <v>254.03</v>
      </c>
      <c r="F938" s="36">
        <v>0</v>
      </c>
      <c r="G938" s="36">
        <v>254.03</v>
      </c>
      <c r="H938" s="36">
        <v>0</v>
      </c>
      <c r="I938" s="37">
        <v>0</v>
      </c>
    </row>
    <row r="939" spans="1:9" x14ac:dyDescent="0.2">
      <c r="A939" s="9"/>
      <c r="B939" s="2" t="s">
        <v>120</v>
      </c>
      <c r="C939" s="13">
        <v>46141</v>
      </c>
      <c r="D939" s="2">
        <v>29</v>
      </c>
      <c r="E939" s="35">
        <v>26257</v>
      </c>
      <c r="F939" s="36">
        <v>26257</v>
      </c>
      <c r="G939" s="36">
        <v>0</v>
      </c>
      <c r="H939" s="36">
        <v>0</v>
      </c>
      <c r="I939" s="37">
        <v>0</v>
      </c>
    </row>
    <row r="940" spans="1:9" x14ac:dyDescent="0.2">
      <c r="A940" s="9"/>
      <c r="B940" s="2" t="s">
        <v>563</v>
      </c>
      <c r="C940" s="13">
        <v>46148</v>
      </c>
      <c r="D940" s="2">
        <v>22</v>
      </c>
      <c r="E940" s="35">
        <v>254.03</v>
      </c>
      <c r="F940" s="36">
        <v>254.03</v>
      </c>
      <c r="G940" s="36">
        <v>0</v>
      </c>
      <c r="H940" s="36">
        <v>0</v>
      </c>
      <c r="I940" s="37">
        <v>0</v>
      </c>
    </row>
    <row r="941" spans="1:9" x14ac:dyDescent="0.2">
      <c r="A941" s="9"/>
      <c r="B941" s="2" t="s">
        <v>1083</v>
      </c>
      <c r="C941" s="13">
        <v>43895</v>
      </c>
      <c r="D941" s="2">
        <v>2275</v>
      </c>
      <c r="E941" s="35">
        <v>253.5</v>
      </c>
      <c r="F941" s="36">
        <v>0</v>
      </c>
      <c r="G941" s="36">
        <v>0</v>
      </c>
      <c r="H941" s="36">
        <v>0</v>
      </c>
      <c r="I941" s="37">
        <v>253.5</v>
      </c>
    </row>
    <row r="942" spans="1:9" x14ac:dyDescent="0.2">
      <c r="A942" s="9"/>
      <c r="B942" s="2" t="s">
        <v>1024</v>
      </c>
      <c r="C942" s="13">
        <v>43895</v>
      </c>
      <c r="D942" s="2">
        <v>2275</v>
      </c>
      <c r="E942" s="35">
        <v>253.5</v>
      </c>
      <c r="F942" s="36">
        <v>0</v>
      </c>
      <c r="G942" s="36">
        <v>0</v>
      </c>
      <c r="H942" s="36">
        <v>0</v>
      </c>
      <c r="I942" s="37">
        <v>253.5</v>
      </c>
    </row>
    <row r="943" spans="1:9" x14ac:dyDescent="0.2">
      <c r="A943" s="9"/>
      <c r="B943" s="2" t="s">
        <v>396</v>
      </c>
      <c r="C943" s="13">
        <v>43923</v>
      </c>
      <c r="D943" s="2">
        <v>2247</v>
      </c>
      <c r="E943" s="35">
        <v>253.5</v>
      </c>
      <c r="F943" s="36">
        <v>0</v>
      </c>
      <c r="G943" s="36">
        <v>0</v>
      </c>
      <c r="H943" s="36">
        <v>0</v>
      </c>
      <c r="I943" s="37">
        <v>253.5</v>
      </c>
    </row>
    <row r="944" spans="1:9" x14ac:dyDescent="0.2">
      <c r="A944" s="9"/>
      <c r="B944" s="2" t="s">
        <v>654</v>
      </c>
      <c r="C944" s="13">
        <v>43958</v>
      </c>
      <c r="D944" s="2">
        <v>2212</v>
      </c>
      <c r="E944" s="35">
        <v>253.5</v>
      </c>
      <c r="F944" s="36">
        <v>0</v>
      </c>
      <c r="G944" s="36">
        <v>0</v>
      </c>
      <c r="H944" s="36">
        <v>0</v>
      </c>
      <c r="I944" s="37">
        <v>253.5</v>
      </c>
    </row>
    <row r="945" spans="1:9" x14ac:dyDescent="0.2">
      <c r="A945" s="9"/>
      <c r="B945" s="2" t="s">
        <v>337</v>
      </c>
      <c r="C945" s="13">
        <v>43982</v>
      </c>
      <c r="D945" s="2">
        <v>2188</v>
      </c>
      <c r="E945" s="35">
        <v>121.65</v>
      </c>
      <c r="F945" s="36">
        <v>0</v>
      </c>
      <c r="G945" s="36">
        <v>0</v>
      </c>
      <c r="H945" s="36">
        <v>0</v>
      </c>
      <c r="I945" s="37">
        <v>121.65</v>
      </c>
    </row>
    <row r="946" spans="1:9" x14ac:dyDescent="0.2">
      <c r="A946" s="9"/>
      <c r="B946" s="2" t="s">
        <v>1004</v>
      </c>
      <c r="C946" s="13">
        <v>43987</v>
      </c>
      <c r="D946" s="2">
        <v>2183</v>
      </c>
      <c r="E946" s="35">
        <v>12.1</v>
      </c>
      <c r="F946" s="36">
        <v>0</v>
      </c>
      <c r="G946" s="36">
        <v>0</v>
      </c>
      <c r="H946" s="36">
        <v>0</v>
      </c>
      <c r="I946" s="37">
        <v>12.1</v>
      </c>
    </row>
    <row r="947" spans="1:9" x14ac:dyDescent="0.2">
      <c r="A947" s="9"/>
      <c r="B947" s="2" t="s">
        <v>1001</v>
      </c>
      <c r="C947" s="13">
        <v>43987</v>
      </c>
      <c r="D947" s="2">
        <v>2183</v>
      </c>
      <c r="E947" s="35">
        <v>256.52</v>
      </c>
      <c r="F947" s="36">
        <v>0</v>
      </c>
      <c r="G947" s="36">
        <v>0</v>
      </c>
      <c r="H947" s="36">
        <v>0</v>
      </c>
      <c r="I947" s="37">
        <v>256.52</v>
      </c>
    </row>
    <row r="948" spans="1:9" x14ac:dyDescent="0.2">
      <c r="A948" s="9"/>
      <c r="B948" s="2" t="s">
        <v>754</v>
      </c>
      <c r="C948" s="13">
        <v>44014</v>
      </c>
      <c r="D948" s="2">
        <v>2156</v>
      </c>
      <c r="E948" s="35">
        <v>258.94</v>
      </c>
      <c r="F948" s="36">
        <v>0</v>
      </c>
      <c r="G948" s="36">
        <v>0</v>
      </c>
      <c r="H948" s="36">
        <v>0</v>
      </c>
      <c r="I948" s="37">
        <v>258.94</v>
      </c>
    </row>
    <row r="949" spans="1:9" x14ac:dyDescent="0.2">
      <c r="A949" s="9"/>
      <c r="B949" s="2" t="s">
        <v>965</v>
      </c>
      <c r="C949" s="13">
        <v>44043</v>
      </c>
      <c r="D949" s="2">
        <v>2127</v>
      </c>
      <c r="E949" s="35">
        <v>258.94</v>
      </c>
      <c r="F949" s="36">
        <v>0</v>
      </c>
      <c r="G949" s="36">
        <v>0</v>
      </c>
      <c r="H949" s="36">
        <v>0</v>
      </c>
      <c r="I949" s="37">
        <v>258.94</v>
      </c>
    </row>
    <row r="950" spans="1:9" x14ac:dyDescent="0.2">
      <c r="A950" s="9"/>
      <c r="B950" s="2" t="s">
        <v>478</v>
      </c>
      <c r="C950" s="13">
        <v>44043</v>
      </c>
      <c r="D950" s="2">
        <v>2127</v>
      </c>
      <c r="E950" s="35">
        <v>17.25</v>
      </c>
      <c r="F950" s="36">
        <v>0</v>
      </c>
      <c r="G950" s="36">
        <v>0</v>
      </c>
      <c r="H950" s="36">
        <v>0</v>
      </c>
      <c r="I950" s="37">
        <v>17.25</v>
      </c>
    </row>
    <row r="951" spans="1:9" x14ac:dyDescent="0.2">
      <c r="A951" s="9"/>
      <c r="B951" s="2" t="s">
        <v>901</v>
      </c>
      <c r="C951" s="13">
        <v>44077</v>
      </c>
      <c r="D951" s="2">
        <v>2093</v>
      </c>
      <c r="E951" s="35">
        <v>258.94</v>
      </c>
      <c r="F951" s="36">
        <v>0</v>
      </c>
      <c r="G951" s="36">
        <v>0</v>
      </c>
      <c r="H951" s="36">
        <v>0</v>
      </c>
      <c r="I951" s="37">
        <v>258.94</v>
      </c>
    </row>
    <row r="952" spans="1:9" x14ac:dyDescent="0.2">
      <c r="A952" s="9"/>
      <c r="B952" s="2" t="s">
        <v>1238</v>
      </c>
      <c r="C952" s="13">
        <v>44105</v>
      </c>
      <c r="D952" s="2">
        <v>2065</v>
      </c>
      <c r="E952" s="35">
        <v>258.94</v>
      </c>
      <c r="F952" s="36">
        <v>0</v>
      </c>
      <c r="G952" s="36">
        <v>0</v>
      </c>
      <c r="H952" s="36">
        <v>0</v>
      </c>
      <c r="I952" s="37">
        <v>258.94</v>
      </c>
    </row>
    <row r="953" spans="1:9" x14ac:dyDescent="0.2">
      <c r="A953" s="9"/>
      <c r="B953" s="2" t="s">
        <v>1198</v>
      </c>
      <c r="C953" s="13">
        <v>44140</v>
      </c>
      <c r="D953" s="2">
        <v>2030</v>
      </c>
      <c r="E953" s="35">
        <v>258.94</v>
      </c>
      <c r="F953" s="36">
        <v>0</v>
      </c>
      <c r="G953" s="36">
        <v>0</v>
      </c>
      <c r="H953" s="36">
        <v>0</v>
      </c>
      <c r="I953" s="37">
        <v>258.94</v>
      </c>
    </row>
    <row r="954" spans="1:9" x14ac:dyDescent="0.2">
      <c r="A954" s="9"/>
      <c r="B954" s="2" t="s">
        <v>859</v>
      </c>
      <c r="C954" s="13">
        <v>44168</v>
      </c>
      <c r="D954" s="2">
        <v>2002</v>
      </c>
      <c r="E954" s="35">
        <v>258.94</v>
      </c>
      <c r="F954" s="36">
        <v>0</v>
      </c>
      <c r="G954" s="36">
        <v>0</v>
      </c>
      <c r="H954" s="36">
        <v>0</v>
      </c>
      <c r="I954" s="37">
        <v>258.94</v>
      </c>
    </row>
    <row r="955" spans="1:9" x14ac:dyDescent="0.2">
      <c r="A955" s="9"/>
      <c r="B955" s="2" t="s">
        <v>1266</v>
      </c>
      <c r="C955" s="13">
        <v>44196</v>
      </c>
      <c r="D955" s="2">
        <v>1974</v>
      </c>
      <c r="E955" s="35">
        <v>258.94</v>
      </c>
      <c r="F955" s="36">
        <v>0</v>
      </c>
      <c r="G955" s="36">
        <v>0</v>
      </c>
      <c r="H955" s="36">
        <v>0</v>
      </c>
      <c r="I955" s="37">
        <v>258.94</v>
      </c>
    </row>
    <row r="956" spans="1:9" x14ac:dyDescent="0.2">
      <c r="A956" s="9"/>
      <c r="B956" s="2" t="s">
        <v>113</v>
      </c>
      <c r="C956" s="13">
        <v>44198</v>
      </c>
      <c r="D956" s="2">
        <v>1972</v>
      </c>
      <c r="E956" s="35">
        <v>4764.68</v>
      </c>
      <c r="F956" s="36">
        <v>0</v>
      </c>
      <c r="G956" s="36">
        <v>0</v>
      </c>
      <c r="H956" s="36">
        <v>0</v>
      </c>
      <c r="I956" s="37">
        <v>4764.68</v>
      </c>
    </row>
    <row r="957" spans="1:9" x14ac:dyDescent="0.2">
      <c r="A957" s="9"/>
      <c r="B957" s="2" t="s">
        <v>1267</v>
      </c>
      <c r="C957" s="13">
        <v>44233</v>
      </c>
      <c r="D957" s="2">
        <v>1937</v>
      </c>
      <c r="E957" s="35">
        <v>258.94</v>
      </c>
      <c r="F957" s="36">
        <v>0</v>
      </c>
      <c r="G957" s="36">
        <v>0</v>
      </c>
      <c r="H957" s="36">
        <v>0</v>
      </c>
      <c r="I957" s="37">
        <v>258.94</v>
      </c>
    </row>
    <row r="958" spans="1:9" x14ac:dyDescent="0.2">
      <c r="A958" s="9"/>
      <c r="B958" s="2" t="s">
        <v>632</v>
      </c>
      <c r="C958" s="13">
        <v>44273</v>
      </c>
      <c r="D958" s="2">
        <v>1897</v>
      </c>
      <c r="E958" s="35">
        <v>258.94</v>
      </c>
      <c r="F958" s="36">
        <v>0</v>
      </c>
      <c r="G958" s="36">
        <v>0</v>
      </c>
      <c r="H958" s="36">
        <v>0</v>
      </c>
      <c r="I958" s="37">
        <v>258.94</v>
      </c>
    </row>
    <row r="959" spans="1:9" x14ac:dyDescent="0.2">
      <c r="A959" s="9"/>
      <c r="B959" s="2" t="s">
        <v>1218</v>
      </c>
      <c r="C959" s="13">
        <v>44287</v>
      </c>
      <c r="D959" s="2">
        <v>1883</v>
      </c>
      <c r="E959" s="35">
        <v>258.94</v>
      </c>
      <c r="F959" s="36">
        <v>0</v>
      </c>
      <c r="G959" s="36">
        <v>0</v>
      </c>
      <c r="H959" s="36">
        <v>0</v>
      </c>
      <c r="I959" s="37">
        <v>258.94</v>
      </c>
    </row>
    <row r="960" spans="1:9" x14ac:dyDescent="0.2">
      <c r="A960" s="9"/>
      <c r="B960" s="2" t="s">
        <v>92</v>
      </c>
      <c r="C960" s="13">
        <v>44316</v>
      </c>
      <c r="D960" s="2">
        <v>1854</v>
      </c>
      <c r="E960" s="35">
        <v>258.94</v>
      </c>
      <c r="F960" s="36">
        <v>0</v>
      </c>
      <c r="G960" s="36">
        <v>0</v>
      </c>
      <c r="H960" s="36">
        <v>0</v>
      </c>
      <c r="I960" s="37">
        <v>258.94</v>
      </c>
    </row>
    <row r="961" spans="1:9" x14ac:dyDescent="0.2">
      <c r="A961" s="9"/>
      <c r="B961" s="2" t="s">
        <v>872</v>
      </c>
      <c r="C961" s="13">
        <v>44350</v>
      </c>
      <c r="D961" s="2">
        <v>1820</v>
      </c>
      <c r="E961" s="35">
        <v>258.94</v>
      </c>
      <c r="F961" s="36">
        <v>0</v>
      </c>
      <c r="G961" s="36">
        <v>0</v>
      </c>
      <c r="H961" s="36">
        <v>0</v>
      </c>
      <c r="I961" s="37">
        <v>258.94</v>
      </c>
    </row>
    <row r="962" spans="1:9" x14ac:dyDescent="0.2">
      <c r="A962" s="9"/>
      <c r="B962" s="2" t="s">
        <v>280</v>
      </c>
      <c r="C962" s="13">
        <v>44378</v>
      </c>
      <c r="D962" s="2">
        <v>1792</v>
      </c>
      <c r="E962" s="35">
        <v>258.94</v>
      </c>
      <c r="F962" s="36">
        <v>0</v>
      </c>
      <c r="G962" s="36">
        <v>0</v>
      </c>
      <c r="H962" s="36">
        <v>0</v>
      </c>
      <c r="I962" s="37">
        <v>258.94</v>
      </c>
    </row>
    <row r="963" spans="1:9" x14ac:dyDescent="0.2">
      <c r="A963" s="9"/>
      <c r="B963" s="2" t="s">
        <v>1138</v>
      </c>
      <c r="C963" s="13">
        <v>44408</v>
      </c>
      <c r="D963" s="2">
        <v>1762</v>
      </c>
      <c r="E963" s="35">
        <v>258.94</v>
      </c>
      <c r="F963" s="36">
        <v>0</v>
      </c>
      <c r="G963" s="36">
        <v>0</v>
      </c>
      <c r="H963" s="36">
        <v>0</v>
      </c>
      <c r="I963" s="37">
        <v>258.94</v>
      </c>
    </row>
    <row r="964" spans="1:9" x14ac:dyDescent="0.2">
      <c r="A964" s="9"/>
      <c r="B964" s="2" t="s">
        <v>1295</v>
      </c>
      <c r="C964" s="13">
        <v>44442</v>
      </c>
      <c r="D964" s="2">
        <v>1728</v>
      </c>
      <c r="E964" s="35">
        <v>258.94</v>
      </c>
      <c r="F964" s="36">
        <v>0</v>
      </c>
      <c r="G964" s="36">
        <v>0</v>
      </c>
      <c r="H964" s="36">
        <v>0</v>
      </c>
      <c r="I964" s="37">
        <v>258.94</v>
      </c>
    </row>
    <row r="965" spans="1:9" x14ac:dyDescent="0.2">
      <c r="A965" s="9"/>
      <c r="B965" s="2" t="s">
        <v>52</v>
      </c>
      <c r="C965" s="13">
        <v>44478</v>
      </c>
      <c r="D965" s="2">
        <v>1692</v>
      </c>
      <c r="E965" s="35">
        <v>258.94</v>
      </c>
      <c r="F965" s="36">
        <v>0</v>
      </c>
      <c r="G965" s="36">
        <v>0</v>
      </c>
      <c r="H965" s="36">
        <v>0</v>
      </c>
      <c r="I965" s="37">
        <v>258.94</v>
      </c>
    </row>
    <row r="966" spans="1:9" x14ac:dyDescent="0.2">
      <c r="A966" s="9"/>
      <c r="B966" s="2" t="s">
        <v>482</v>
      </c>
      <c r="C966" s="13">
        <v>44500</v>
      </c>
      <c r="D966" s="2">
        <v>1670</v>
      </c>
      <c r="E966" s="35">
        <v>258.94</v>
      </c>
      <c r="F966" s="36">
        <v>0</v>
      </c>
      <c r="G966" s="36">
        <v>0</v>
      </c>
      <c r="H966" s="36">
        <v>0</v>
      </c>
      <c r="I966" s="37">
        <v>258.94</v>
      </c>
    </row>
    <row r="967" spans="1:9" x14ac:dyDescent="0.2">
      <c r="A967" s="9"/>
      <c r="B967" s="2" t="s">
        <v>292</v>
      </c>
      <c r="C967" s="13">
        <v>44514</v>
      </c>
      <c r="D967" s="2">
        <v>1656</v>
      </c>
      <c r="E967" s="35">
        <v>3438.12</v>
      </c>
      <c r="F967" s="36">
        <v>0</v>
      </c>
      <c r="G967" s="36">
        <v>0</v>
      </c>
      <c r="H967" s="36">
        <v>0</v>
      </c>
      <c r="I967" s="37">
        <v>3438.12</v>
      </c>
    </row>
    <row r="968" spans="1:9" x14ac:dyDescent="0.2">
      <c r="A968" s="9"/>
      <c r="B968" s="2" t="s">
        <v>927</v>
      </c>
      <c r="C968" s="13">
        <v>44533</v>
      </c>
      <c r="D968" s="2">
        <v>1637</v>
      </c>
      <c r="E968" s="35">
        <v>258.94</v>
      </c>
      <c r="F968" s="36">
        <v>0</v>
      </c>
      <c r="G968" s="36">
        <v>0</v>
      </c>
      <c r="H968" s="36">
        <v>0</v>
      </c>
      <c r="I968" s="37">
        <v>258.94</v>
      </c>
    </row>
    <row r="969" spans="1:9" x14ac:dyDescent="0.2">
      <c r="A969" s="9"/>
      <c r="B969" s="2" t="s">
        <v>688</v>
      </c>
      <c r="C969" s="13">
        <v>44562</v>
      </c>
      <c r="D969" s="2">
        <v>1608</v>
      </c>
      <c r="E969" s="35">
        <v>258.94</v>
      </c>
      <c r="F969" s="36">
        <v>0</v>
      </c>
      <c r="G969" s="36">
        <v>0</v>
      </c>
      <c r="H969" s="36">
        <v>0</v>
      </c>
      <c r="I969" s="37">
        <v>258.94</v>
      </c>
    </row>
    <row r="970" spans="1:9" x14ac:dyDescent="0.2">
      <c r="A970" s="9"/>
      <c r="B970" s="2" t="s">
        <v>747</v>
      </c>
      <c r="C970" s="13">
        <v>44603</v>
      </c>
      <c r="D970" s="2">
        <v>1567</v>
      </c>
      <c r="E970" s="35">
        <v>258.94</v>
      </c>
      <c r="F970" s="36">
        <v>0</v>
      </c>
      <c r="G970" s="36">
        <v>0</v>
      </c>
      <c r="H970" s="36">
        <v>0</v>
      </c>
      <c r="I970" s="37">
        <v>258.94</v>
      </c>
    </row>
    <row r="971" spans="1:9" x14ac:dyDescent="0.2">
      <c r="A971" s="9"/>
      <c r="B971" s="2" t="s">
        <v>737</v>
      </c>
      <c r="C971" s="13">
        <v>44626</v>
      </c>
      <c r="D971" s="2">
        <v>1544</v>
      </c>
      <c r="E971" s="35">
        <v>258.94</v>
      </c>
      <c r="F971" s="36">
        <v>0</v>
      </c>
      <c r="G971" s="36">
        <v>0</v>
      </c>
      <c r="H971" s="36">
        <v>0</v>
      </c>
      <c r="I971" s="37">
        <v>258.94</v>
      </c>
    </row>
    <row r="972" spans="1:9" x14ac:dyDescent="0.2">
      <c r="A972" s="9"/>
      <c r="B972" s="2" t="s">
        <v>398</v>
      </c>
      <c r="C972" s="13">
        <v>44658</v>
      </c>
      <c r="D972" s="2">
        <v>1512</v>
      </c>
      <c r="E972" s="35">
        <v>258.94</v>
      </c>
      <c r="F972" s="36">
        <v>0</v>
      </c>
      <c r="G972" s="36">
        <v>0</v>
      </c>
      <c r="H972" s="36">
        <v>0</v>
      </c>
      <c r="I972" s="37">
        <v>258.94</v>
      </c>
    </row>
    <row r="973" spans="1:9" x14ac:dyDescent="0.2">
      <c r="A973" s="9"/>
      <c r="B973" s="2" t="s">
        <v>1116</v>
      </c>
      <c r="C973" s="13">
        <v>44688</v>
      </c>
      <c r="D973" s="2">
        <v>1482</v>
      </c>
      <c r="E973" s="35">
        <v>258.94</v>
      </c>
      <c r="F973" s="36">
        <v>0</v>
      </c>
      <c r="G973" s="36">
        <v>0</v>
      </c>
      <c r="H973" s="36">
        <v>0</v>
      </c>
      <c r="I973" s="37">
        <v>258.94</v>
      </c>
    </row>
    <row r="974" spans="1:9" x14ac:dyDescent="0.2">
      <c r="A974" s="9"/>
      <c r="B974" s="2" t="s">
        <v>1185</v>
      </c>
      <c r="C974" s="13">
        <v>44714</v>
      </c>
      <c r="D974" s="2">
        <v>1456</v>
      </c>
      <c r="E974" s="35">
        <v>258.94</v>
      </c>
      <c r="F974" s="36">
        <v>0</v>
      </c>
      <c r="G974" s="36">
        <v>0</v>
      </c>
      <c r="H974" s="36">
        <v>0</v>
      </c>
      <c r="I974" s="37">
        <v>258.94</v>
      </c>
    </row>
    <row r="975" spans="1:9" x14ac:dyDescent="0.2">
      <c r="A975" s="9"/>
      <c r="B975" s="2" t="s">
        <v>783</v>
      </c>
      <c r="C975" s="13">
        <v>44744</v>
      </c>
      <c r="D975" s="2">
        <v>1426</v>
      </c>
      <c r="E975" s="35">
        <v>258.94</v>
      </c>
      <c r="F975" s="36">
        <v>0</v>
      </c>
      <c r="G975" s="36">
        <v>0</v>
      </c>
      <c r="H975" s="36">
        <v>0</v>
      </c>
      <c r="I975" s="37">
        <v>258.94</v>
      </c>
    </row>
    <row r="976" spans="1:9" x14ac:dyDescent="0.2">
      <c r="A976" s="9"/>
      <c r="B976" s="2" t="s">
        <v>293</v>
      </c>
      <c r="C976" s="13">
        <v>44762</v>
      </c>
      <c r="D976" s="2">
        <v>1408</v>
      </c>
      <c r="E976" s="35">
        <v>10608.07</v>
      </c>
      <c r="F976" s="36">
        <v>0</v>
      </c>
      <c r="G976" s="36">
        <v>0</v>
      </c>
      <c r="H976" s="36">
        <v>0</v>
      </c>
      <c r="I976" s="37">
        <v>10608.07</v>
      </c>
    </row>
    <row r="977" spans="1:9" x14ac:dyDescent="0.2">
      <c r="A977" s="9"/>
      <c r="B977" s="2" t="s">
        <v>294</v>
      </c>
      <c r="C977" s="13">
        <v>44762</v>
      </c>
      <c r="D977" s="2">
        <v>1408</v>
      </c>
      <c r="E977" s="35">
        <v>-10608.07</v>
      </c>
      <c r="F977" s="36">
        <v>0</v>
      </c>
      <c r="G977" s="36">
        <v>0</v>
      </c>
      <c r="H977" s="36">
        <v>0</v>
      </c>
      <c r="I977" s="37">
        <v>-10608.07</v>
      </c>
    </row>
    <row r="978" spans="1:9" x14ac:dyDescent="0.2">
      <c r="A978" s="9"/>
      <c r="B978" s="2" t="s">
        <v>1144</v>
      </c>
      <c r="C978" s="13">
        <v>44784</v>
      </c>
      <c r="D978" s="2">
        <v>1386</v>
      </c>
      <c r="E978" s="35">
        <v>258.94</v>
      </c>
      <c r="F978" s="36">
        <v>0</v>
      </c>
      <c r="G978" s="36">
        <v>0</v>
      </c>
      <c r="H978" s="36">
        <v>0</v>
      </c>
      <c r="I978" s="37">
        <v>258.94</v>
      </c>
    </row>
    <row r="979" spans="1:9" x14ac:dyDescent="0.2">
      <c r="A979" s="9"/>
      <c r="B979" s="2" t="s">
        <v>730</v>
      </c>
      <c r="C979" s="13">
        <v>44807</v>
      </c>
      <c r="D979" s="2">
        <v>1363</v>
      </c>
      <c r="E979" s="35">
        <v>258.94</v>
      </c>
      <c r="F979" s="36">
        <v>0</v>
      </c>
      <c r="G979" s="36">
        <v>0</v>
      </c>
      <c r="H979" s="36">
        <v>0</v>
      </c>
      <c r="I979" s="37">
        <v>258.94</v>
      </c>
    </row>
    <row r="980" spans="1:9" x14ac:dyDescent="0.2">
      <c r="A980" s="9"/>
      <c r="B980" s="2" t="s">
        <v>1107</v>
      </c>
      <c r="C980" s="13">
        <v>44842</v>
      </c>
      <c r="D980" s="2">
        <v>1328</v>
      </c>
      <c r="E980" s="35">
        <v>293.43</v>
      </c>
      <c r="F980" s="36">
        <v>0</v>
      </c>
      <c r="G980" s="36">
        <v>0</v>
      </c>
      <c r="H980" s="36">
        <v>0</v>
      </c>
      <c r="I980" s="37">
        <v>293.43</v>
      </c>
    </row>
    <row r="981" spans="1:9" x14ac:dyDescent="0.2">
      <c r="A981" s="9"/>
      <c r="B981" s="2" t="s">
        <v>66</v>
      </c>
      <c r="C981" s="13">
        <v>44867</v>
      </c>
      <c r="D981" s="2">
        <v>1303</v>
      </c>
      <c r="E981" s="35">
        <v>293.43</v>
      </c>
      <c r="F981" s="36">
        <v>0</v>
      </c>
      <c r="G981" s="36">
        <v>0</v>
      </c>
      <c r="H981" s="36">
        <v>0</v>
      </c>
      <c r="I981" s="37">
        <v>293.43</v>
      </c>
    </row>
    <row r="982" spans="1:9" x14ac:dyDescent="0.2">
      <c r="A982" s="9"/>
      <c r="B982" s="2" t="s">
        <v>195</v>
      </c>
      <c r="C982" s="13">
        <v>44898</v>
      </c>
      <c r="D982" s="2">
        <v>1272</v>
      </c>
      <c r="E982" s="35">
        <v>293.43</v>
      </c>
      <c r="F982" s="36">
        <v>0</v>
      </c>
      <c r="G982" s="36">
        <v>0</v>
      </c>
      <c r="H982" s="36">
        <v>0</v>
      </c>
      <c r="I982" s="37">
        <v>293.43</v>
      </c>
    </row>
    <row r="983" spans="1:9" x14ac:dyDescent="0.2">
      <c r="A983" s="9"/>
      <c r="B983" s="2" t="s">
        <v>1156</v>
      </c>
      <c r="C983" s="13">
        <v>44909</v>
      </c>
      <c r="D983" s="2">
        <v>1261</v>
      </c>
      <c r="E983" s="35">
        <v>6352.5</v>
      </c>
      <c r="F983" s="36">
        <v>0</v>
      </c>
      <c r="G983" s="36">
        <v>0</v>
      </c>
      <c r="H983" s="36">
        <v>0</v>
      </c>
      <c r="I983" s="37">
        <v>6352.5</v>
      </c>
    </row>
    <row r="984" spans="1:9" x14ac:dyDescent="0.2">
      <c r="A984" s="9"/>
      <c r="B984" s="2" t="s">
        <v>334</v>
      </c>
      <c r="C984" s="13">
        <v>44912</v>
      </c>
      <c r="D984" s="2">
        <v>1258</v>
      </c>
      <c r="E984" s="35">
        <v>32761.81</v>
      </c>
      <c r="F984" s="36">
        <v>0</v>
      </c>
      <c r="G984" s="36">
        <v>0</v>
      </c>
      <c r="H984" s="36">
        <v>0</v>
      </c>
      <c r="I984" s="37">
        <v>32761.81</v>
      </c>
    </row>
    <row r="985" spans="1:9" x14ac:dyDescent="0.2">
      <c r="A985" s="9"/>
      <c r="B985" s="2" t="s">
        <v>104</v>
      </c>
      <c r="C985" s="13">
        <v>44912</v>
      </c>
      <c r="D985" s="2">
        <v>1258</v>
      </c>
      <c r="E985" s="35">
        <v>31900.48</v>
      </c>
      <c r="F985" s="36">
        <v>0</v>
      </c>
      <c r="G985" s="36">
        <v>0</v>
      </c>
      <c r="H985" s="36">
        <v>0</v>
      </c>
      <c r="I985" s="37">
        <v>31900.48</v>
      </c>
    </row>
    <row r="986" spans="1:9" x14ac:dyDescent="0.2">
      <c r="A986" s="9"/>
      <c r="B986" s="2" t="s">
        <v>1097</v>
      </c>
      <c r="C986" s="13">
        <v>44926</v>
      </c>
      <c r="D986" s="2">
        <v>1244</v>
      </c>
      <c r="E986" s="35">
        <v>293.43</v>
      </c>
      <c r="F986" s="36">
        <v>0</v>
      </c>
      <c r="G986" s="36">
        <v>0</v>
      </c>
      <c r="H986" s="36">
        <v>0</v>
      </c>
      <c r="I986" s="37">
        <v>293.43</v>
      </c>
    </row>
    <row r="987" spans="1:9" x14ac:dyDescent="0.2">
      <c r="A987" s="9"/>
      <c r="B987" s="2" t="s">
        <v>1250</v>
      </c>
      <c r="C987" s="13">
        <v>44972</v>
      </c>
      <c r="D987" s="2">
        <v>1198</v>
      </c>
      <c r="E987" s="35">
        <v>293.43</v>
      </c>
      <c r="F987" s="36">
        <v>0</v>
      </c>
      <c r="G987" s="36">
        <v>0</v>
      </c>
      <c r="H987" s="36">
        <v>0</v>
      </c>
      <c r="I987" s="37">
        <v>293.43</v>
      </c>
    </row>
    <row r="988" spans="1:9" x14ac:dyDescent="0.2">
      <c r="A988" s="9"/>
      <c r="B988" s="2" t="s">
        <v>115</v>
      </c>
      <c r="C988" s="13">
        <v>44995</v>
      </c>
      <c r="D988" s="2">
        <v>1175</v>
      </c>
      <c r="E988" s="35">
        <v>293.43</v>
      </c>
      <c r="F988" s="36">
        <v>0</v>
      </c>
      <c r="G988" s="36">
        <v>0</v>
      </c>
      <c r="H988" s="36">
        <v>0</v>
      </c>
      <c r="I988" s="37">
        <v>293.43</v>
      </c>
    </row>
    <row r="989" spans="1:9" x14ac:dyDescent="0.2">
      <c r="A989" s="9"/>
      <c r="B989" s="2" t="s">
        <v>1098</v>
      </c>
      <c r="C989" s="13">
        <v>45021</v>
      </c>
      <c r="D989" s="2">
        <v>1149</v>
      </c>
      <c r="E989" s="35">
        <v>293.43</v>
      </c>
      <c r="F989" s="36">
        <v>0</v>
      </c>
      <c r="G989" s="36">
        <v>0</v>
      </c>
      <c r="H989" s="36">
        <v>0</v>
      </c>
      <c r="I989" s="37">
        <v>293.43</v>
      </c>
    </row>
    <row r="990" spans="1:9" x14ac:dyDescent="0.2">
      <c r="A990" s="9"/>
      <c r="B990" s="2" t="s">
        <v>108</v>
      </c>
      <c r="C990" s="13">
        <v>45050</v>
      </c>
      <c r="D990" s="2">
        <v>1120</v>
      </c>
      <c r="E990" s="35">
        <v>293.43</v>
      </c>
      <c r="F990" s="36">
        <v>0</v>
      </c>
      <c r="G990" s="36">
        <v>0</v>
      </c>
      <c r="H990" s="36">
        <v>0</v>
      </c>
      <c r="I990" s="37">
        <v>293.43</v>
      </c>
    </row>
    <row r="991" spans="1:9" x14ac:dyDescent="0.2">
      <c r="A991" s="9"/>
      <c r="B991" s="2" t="s">
        <v>468</v>
      </c>
      <c r="C991" s="13">
        <v>45052</v>
      </c>
      <c r="D991" s="2">
        <v>1118</v>
      </c>
      <c r="E991" s="35">
        <v>121.21</v>
      </c>
      <c r="F991" s="36">
        <v>0</v>
      </c>
      <c r="G991" s="36">
        <v>0</v>
      </c>
      <c r="H991" s="36">
        <v>0</v>
      </c>
      <c r="I991" s="37">
        <v>121.21</v>
      </c>
    </row>
    <row r="992" spans="1:9" x14ac:dyDescent="0.2">
      <c r="A992" s="9"/>
      <c r="B992" s="2" t="s">
        <v>327</v>
      </c>
      <c r="C992" s="13">
        <v>45078</v>
      </c>
      <c r="D992" s="2">
        <v>1092</v>
      </c>
      <c r="E992" s="35">
        <v>222.89</v>
      </c>
      <c r="F992" s="36">
        <v>0</v>
      </c>
      <c r="G992" s="36">
        <v>0</v>
      </c>
      <c r="H992" s="36">
        <v>0</v>
      </c>
      <c r="I992" s="37">
        <v>222.89</v>
      </c>
    </row>
    <row r="993" spans="1:9" x14ac:dyDescent="0.2">
      <c r="A993" s="9"/>
      <c r="B993" s="2" t="s">
        <v>655</v>
      </c>
      <c r="C993" s="13">
        <v>45112</v>
      </c>
      <c r="D993" s="2">
        <v>1058</v>
      </c>
      <c r="E993" s="35">
        <v>222.89</v>
      </c>
      <c r="F993" s="36">
        <v>0</v>
      </c>
      <c r="G993" s="36">
        <v>0</v>
      </c>
      <c r="H993" s="36">
        <v>0</v>
      </c>
      <c r="I993" s="37">
        <v>222.89</v>
      </c>
    </row>
    <row r="994" spans="1:9" x14ac:dyDescent="0.2">
      <c r="A994" s="9"/>
      <c r="B994" s="2" t="s">
        <v>849</v>
      </c>
      <c r="C994" s="13">
        <v>45140</v>
      </c>
      <c r="D994" s="2">
        <v>1030</v>
      </c>
      <c r="E994" s="35">
        <v>222.89</v>
      </c>
      <c r="F994" s="36">
        <v>0</v>
      </c>
      <c r="G994" s="36">
        <v>0</v>
      </c>
      <c r="H994" s="36">
        <v>0</v>
      </c>
      <c r="I994" s="37">
        <v>222.89</v>
      </c>
    </row>
    <row r="995" spans="1:9" x14ac:dyDescent="0.2">
      <c r="A995" s="9"/>
      <c r="B995" s="2" t="s">
        <v>1046</v>
      </c>
      <c r="C995" s="13">
        <v>45171</v>
      </c>
      <c r="D995" s="2">
        <v>999</v>
      </c>
      <c r="E995" s="35">
        <v>222.89</v>
      </c>
      <c r="F995" s="36">
        <v>0</v>
      </c>
      <c r="G995" s="36">
        <v>0</v>
      </c>
      <c r="H995" s="36">
        <v>0</v>
      </c>
      <c r="I995" s="37">
        <v>222.89</v>
      </c>
    </row>
    <row r="996" spans="1:9" x14ac:dyDescent="0.2">
      <c r="A996" s="9"/>
      <c r="B996" s="2" t="s">
        <v>981</v>
      </c>
      <c r="C996" s="13">
        <v>45204</v>
      </c>
      <c r="D996" s="2">
        <v>966</v>
      </c>
      <c r="E996" s="35">
        <v>222.89</v>
      </c>
      <c r="F996" s="36">
        <v>0</v>
      </c>
      <c r="G996" s="36">
        <v>0</v>
      </c>
      <c r="H996" s="36">
        <v>0</v>
      </c>
      <c r="I996" s="37">
        <v>222.89</v>
      </c>
    </row>
    <row r="997" spans="1:9" x14ac:dyDescent="0.2">
      <c r="A997" s="9"/>
      <c r="B997" s="2" t="s">
        <v>687</v>
      </c>
      <c r="C997" s="13">
        <v>45232</v>
      </c>
      <c r="D997" s="2">
        <v>938</v>
      </c>
      <c r="E997" s="35">
        <v>222.89</v>
      </c>
      <c r="F997" s="36">
        <v>0</v>
      </c>
      <c r="G997" s="36">
        <v>0</v>
      </c>
      <c r="H997" s="36">
        <v>0</v>
      </c>
      <c r="I997" s="37">
        <v>222.89</v>
      </c>
    </row>
    <row r="998" spans="1:9" x14ac:dyDescent="0.2">
      <c r="A998" s="9"/>
      <c r="B998" s="2" t="s">
        <v>1208</v>
      </c>
      <c r="C998" s="13">
        <v>45267</v>
      </c>
      <c r="D998" s="2">
        <v>903</v>
      </c>
      <c r="E998" s="35">
        <v>222.89</v>
      </c>
      <c r="F998" s="36">
        <v>0</v>
      </c>
      <c r="G998" s="36">
        <v>0</v>
      </c>
      <c r="H998" s="36">
        <v>0</v>
      </c>
      <c r="I998" s="37">
        <v>222.89</v>
      </c>
    </row>
    <row r="999" spans="1:9" x14ac:dyDescent="0.2">
      <c r="A999" s="9"/>
      <c r="B999" s="2" t="s">
        <v>653</v>
      </c>
      <c r="C999" s="13">
        <v>45295</v>
      </c>
      <c r="D999" s="2">
        <v>875</v>
      </c>
      <c r="E999" s="35">
        <v>222.89</v>
      </c>
      <c r="F999" s="36">
        <v>0</v>
      </c>
      <c r="G999" s="36">
        <v>0</v>
      </c>
      <c r="H999" s="36">
        <v>0</v>
      </c>
      <c r="I999" s="37">
        <v>222.89</v>
      </c>
    </row>
    <row r="1000" spans="1:9" x14ac:dyDescent="0.2">
      <c r="A1000" s="9"/>
      <c r="B1000" s="2" t="s">
        <v>826</v>
      </c>
      <c r="C1000" s="13">
        <v>45325</v>
      </c>
      <c r="D1000" s="2">
        <v>845</v>
      </c>
      <c r="E1000" s="35">
        <v>222.89</v>
      </c>
      <c r="F1000" s="36">
        <v>0</v>
      </c>
      <c r="G1000" s="36">
        <v>0</v>
      </c>
      <c r="H1000" s="36">
        <v>0</v>
      </c>
      <c r="I1000" s="37">
        <v>222.89</v>
      </c>
    </row>
    <row r="1001" spans="1:9" x14ac:dyDescent="0.2">
      <c r="A1001" s="9"/>
      <c r="B1001" s="2" t="s">
        <v>346</v>
      </c>
      <c r="C1001" s="13">
        <v>45340</v>
      </c>
      <c r="D1001" s="2">
        <v>830</v>
      </c>
      <c r="E1001" s="35">
        <v>2541</v>
      </c>
      <c r="F1001" s="36">
        <v>0</v>
      </c>
      <c r="G1001" s="36">
        <v>0</v>
      </c>
      <c r="H1001" s="36">
        <v>0</v>
      </c>
      <c r="I1001" s="37">
        <v>2541</v>
      </c>
    </row>
    <row r="1002" spans="1:9" x14ac:dyDescent="0.2">
      <c r="A1002" s="9"/>
      <c r="B1002" s="2" t="s">
        <v>1128</v>
      </c>
      <c r="C1002" s="13">
        <v>45357</v>
      </c>
      <c r="D1002" s="2">
        <v>813</v>
      </c>
      <c r="E1002" s="35">
        <v>222.89</v>
      </c>
      <c r="F1002" s="36">
        <v>0</v>
      </c>
      <c r="G1002" s="36">
        <v>0</v>
      </c>
      <c r="H1002" s="36">
        <v>0</v>
      </c>
      <c r="I1002" s="37">
        <v>222.89</v>
      </c>
    </row>
    <row r="1003" spans="1:9" x14ac:dyDescent="0.2">
      <c r="A1003" s="9"/>
      <c r="B1003" s="2" t="s">
        <v>295</v>
      </c>
      <c r="C1003" s="13">
        <v>45387</v>
      </c>
      <c r="D1003" s="2">
        <v>783</v>
      </c>
      <c r="E1003" s="35">
        <v>222.89</v>
      </c>
      <c r="F1003" s="36">
        <v>0</v>
      </c>
      <c r="G1003" s="36">
        <v>0</v>
      </c>
      <c r="H1003" s="36">
        <v>0</v>
      </c>
      <c r="I1003" s="37">
        <v>222.89</v>
      </c>
    </row>
    <row r="1004" spans="1:9" x14ac:dyDescent="0.2">
      <c r="A1004" s="9"/>
      <c r="B1004" s="2" t="s">
        <v>1259</v>
      </c>
      <c r="C1004" s="13">
        <v>45393</v>
      </c>
      <c r="D1004" s="2">
        <v>777</v>
      </c>
      <c r="E1004" s="35">
        <v>423.5</v>
      </c>
      <c r="F1004" s="36">
        <v>0</v>
      </c>
      <c r="G1004" s="36">
        <v>0</v>
      </c>
      <c r="H1004" s="36">
        <v>0</v>
      </c>
      <c r="I1004" s="37">
        <v>423.5</v>
      </c>
    </row>
    <row r="1005" spans="1:9" x14ac:dyDescent="0.2">
      <c r="A1005" s="9"/>
      <c r="B1005" s="2" t="s">
        <v>128</v>
      </c>
      <c r="C1005" s="13">
        <v>45416</v>
      </c>
      <c r="D1005" s="2">
        <v>754</v>
      </c>
      <c r="E1005" s="35">
        <v>222.89</v>
      </c>
      <c r="F1005" s="36">
        <v>0</v>
      </c>
      <c r="G1005" s="36">
        <v>0</v>
      </c>
      <c r="H1005" s="36">
        <v>0</v>
      </c>
      <c r="I1005" s="37">
        <v>222.89</v>
      </c>
    </row>
    <row r="1006" spans="1:9" x14ac:dyDescent="0.2">
      <c r="A1006" s="9"/>
      <c r="B1006" s="2" t="s">
        <v>801</v>
      </c>
      <c r="C1006" s="13">
        <v>45434</v>
      </c>
      <c r="D1006" s="2">
        <v>736</v>
      </c>
      <c r="E1006" s="35">
        <v>2286.9</v>
      </c>
      <c r="F1006" s="36">
        <v>0</v>
      </c>
      <c r="G1006" s="36">
        <v>0</v>
      </c>
      <c r="H1006" s="36">
        <v>0</v>
      </c>
      <c r="I1006" s="37">
        <v>2286.9</v>
      </c>
    </row>
    <row r="1007" spans="1:9" x14ac:dyDescent="0.2">
      <c r="A1007" s="9"/>
      <c r="B1007" s="2" t="s">
        <v>562</v>
      </c>
      <c r="C1007" s="13">
        <v>45448</v>
      </c>
      <c r="D1007" s="2">
        <v>722</v>
      </c>
      <c r="E1007" s="35">
        <v>222.89</v>
      </c>
      <c r="F1007" s="36">
        <v>0</v>
      </c>
      <c r="G1007" s="36">
        <v>0</v>
      </c>
      <c r="H1007" s="36">
        <v>0</v>
      </c>
      <c r="I1007" s="37">
        <v>222.89</v>
      </c>
    </row>
    <row r="1008" spans="1:9" x14ac:dyDescent="0.2">
      <c r="A1008" s="9"/>
      <c r="B1008" s="2" t="s">
        <v>210</v>
      </c>
      <c r="C1008" s="13">
        <v>45476</v>
      </c>
      <c r="D1008" s="2">
        <v>694</v>
      </c>
      <c r="E1008" s="35">
        <v>222.89</v>
      </c>
      <c r="F1008" s="36">
        <v>0</v>
      </c>
      <c r="G1008" s="36">
        <v>0</v>
      </c>
      <c r="H1008" s="36">
        <v>0</v>
      </c>
      <c r="I1008" s="37">
        <v>222.89</v>
      </c>
    </row>
    <row r="1009" spans="1:9" x14ac:dyDescent="0.2">
      <c r="A1009" s="9"/>
      <c r="B1009" s="2" t="s">
        <v>757</v>
      </c>
      <c r="C1009" s="13">
        <v>45491</v>
      </c>
      <c r="D1009" s="2">
        <v>679</v>
      </c>
      <c r="E1009" s="35">
        <v>1439.9</v>
      </c>
      <c r="F1009" s="36">
        <v>0</v>
      </c>
      <c r="G1009" s="36">
        <v>0</v>
      </c>
      <c r="H1009" s="36">
        <v>0</v>
      </c>
      <c r="I1009" s="37">
        <v>1439.9</v>
      </c>
    </row>
    <row r="1010" spans="1:9" x14ac:dyDescent="0.2">
      <c r="A1010" s="9"/>
      <c r="B1010" s="2" t="s">
        <v>681</v>
      </c>
      <c r="C1010" s="13">
        <v>45511</v>
      </c>
      <c r="D1010" s="2">
        <v>659</v>
      </c>
      <c r="E1010" s="35">
        <v>222.89</v>
      </c>
      <c r="F1010" s="36">
        <v>0</v>
      </c>
      <c r="G1010" s="36">
        <v>0</v>
      </c>
      <c r="H1010" s="36">
        <v>0</v>
      </c>
      <c r="I1010" s="37">
        <v>222.89</v>
      </c>
    </row>
    <row r="1011" spans="1:9" x14ac:dyDescent="0.2">
      <c r="A1011" s="9"/>
      <c r="B1011" s="2" t="s">
        <v>710</v>
      </c>
      <c r="C1011" s="13">
        <v>45539</v>
      </c>
      <c r="D1011" s="2">
        <v>631</v>
      </c>
      <c r="E1011" s="35">
        <v>222.89</v>
      </c>
      <c r="F1011" s="36">
        <v>0</v>
      </c>
      <c r="G1011" s="36">
        <v>0</v>
      </c>
      <c r="H1011" s="36">
        <v>0</v>
      </c>
      <c r="I1011" s="37">
        <v>222.89</v>
      </c>
    </row>
    <row r="1012" spans="1:9" x14ac:dyDescent="0.2">
      <c r="A1012" s="9"/>
      <c r="B1012" s="2" t="s">
        <v>652</v>
      </c>
      <c r="C1012" s="13">
        <v>45567</v>
      </c>
      <c r="D1012" s="2">
        <v>603</v>
      </c>
      <c r="E1012" s="35">
        <v>222.89</v>
      </c>
      <c r="F1012" s="36">
        <v>0</v>
      </c>
      <c r="G1012" s="36">
        <v>0</v>
      </c>
      <c r="H1012" s="36">
        <v>0</v>
      </c>
      <c r="I1012" s="37">
        <v>222.89</v>
      </c>
    </row>
    <row r="1013" spans="1:9" x14ac:dyDescent="0.2">
      <c r="A1013" s="9"/>
      <c r="B1013" s="2" t="s">
        <v>827</v>
      </c>
      <c r="C1013" s="13">
        <v>45570</v>
      </c>
      <c r="D1013" s="2">
        <v>600</v>
      </c>
      <c r="E1013" s="35">
        <v>208.91</v>
      </c>
      <c r="F1013" s="36">
        <v>0</v>
      </c>
      <c r="G1013" s="36">
        <v>0</v>
      </c>
      <c r="H1013" s="36">
        <v>0</v>
      </c>
      <c r="I1013" s="37">
        <v>208.91</v>
      </c>
    </row>
    <row r="1014" spans="1:9" x14ac:dyDescent="0.2">
      <c r="A1014" s="9"/>
      <c r="B1014" s="2" t="s">
        <v>620</v>
      </c>
      <c r="C1014" s="13">
        <v>45570</v>
      </c>
      <c r="D1014" s="2">
        <v>600</v>
      </c>
      <c r="E1014" s="35">
        <v>-139.16999999999999</v>
      </c>
      <c r="F1014" s="36">
        <v>0</v>
      </c>
      <c r="G1014" s="36">
        <v>0</v>
      </c>
      <c r="H1014" s="36">
        <v>0</v>
      </c>
      <c r="I1014" s="37">
        <v>-139.16999999999999</v>
      </c>
    </row>
    <row r="1015" spans="1:9" x14ac:dyDescent="0.2">
      <c r="A1015" s="9"/>
      <c r="B1015" s="2" t="s">
        <v>448</v>
      </c>
      <c r="C1015" s="13">
        <v>45602</v>
      </c>
      <c r="D1015" s="2">
        <v>568</v>
      </c>
      <c r="E1015" s="35">
        <v>248.7</v>
      </c>
      <c r="F1015" s="36">
        <v>0</v>
      </c>
      <c r="G1015" s="36">
        <v>0</v>
      </c>
      <c r="H1015" s="36">
        <v>0</v>
      </c>
      <c r="I1015" s="37">
        <v>248.7</v>
      </c>
    </row>
    <row r="1016" spans="1:9" x14ac:dyDescent="0.2">
      <c r="A1016" s="9"/>
      <c r="B1016" s="2" t="s">
        <v>611</v>
      </c>
      <c r="C1016" s="13">
        <v>45630</v>
      </c>
      <c r="D1016" s="2">
        <v>540</v>
      </c>
      <c r="E1016" s="35">
        <v>248.7</v>
      </c>
      <c r="F1016" s="36">
        <v>0</v>
      </c>
      <c r="G1016" s="36">
        <v>0</v>
      </c>
      <c r="H1016" s="36">
        <v>0</v>
      </c>
      <c r="I1016" s="37">
        <v>248.7</v>
      </c>
    </row>
    <row r="1017" spans="1:9" x14ac:dyDescent="0.2">
      <c r="A1017" s="9"/>
      <c r="B1017" s="2" t="s">
        <v>856</v>
      </c>
      <c r="C1017" s="13">
        <v>45658</v>
      </c>
      <c r="D1017" s="2">
        <v>512</v>
      </c>
      <c r="E1017" s="35">
        <v>248.7</v>
      </c>
      <c r="F1017" s="36">
        <v>0</v>
      </c>
      <c r="G1017" s="36">
        <v>0</v>
      </c>
      <c r="H1017" s="36">
        <v>0</v>
      </c>
      <c r="I1017" s="37">
        <v>248.7</v>
      </c>
    </row>
    <row r="1018" spans="1:9" x14ac:dyDescent="0.2">
      <c r="A1018" s="9"/>
      <c r="B1018" s="2" t="s">
        <v>1122</v>
      </c>
      <c r="C1018" s="13">
        <v>45702</v>
      </c>
      <c r="D1018" s="2">
        <v>468</v>
      </c>
      <c r="E1018" s="35">
        <v>248.7</v>
      </c>
      <c r="F1018" s="36">
        <v>0</v>
      </c>
      <c r="G1018" s="36">
        <v>0</v>
      </c>
      <c r="H1018" s="36">
        <v>0</v>
      </c>
      <c r="I1018" s="37">
        <v>248.7</v>
      </c>
    </row>
    <row r="1019" spans="1:9" x14ac:dyDescent="0.2">
      <c r="A1019" s="9"/>
      <c r="B1019" s="2" t="s">
        <v>1215</v>
      </c>
      <c r="C1019" s="13">
        <v>45721</v>
      </c>
      <c r="D1019" s="2">
        <v>449</v>
      </c>
      <c r="E1019" s="35">
        <v>248.7</v>
      </c>
      <c r="F1019" s="36">
        <v>0</v>
      </c>
      <c r="G1019" s="36">
        <v>0</v>
      </c>
      <c r="H1019" s="36">
        <v>0</v>
      </c>
      <c r="I1019" s="37">
        <v>248.7</v>
      </c>
    </row>
    <row r="1020" spans="1:9" x14ac:dyDescent="0.2">
      <c r="A1020" s="9"/>
      <c r="B1020" s="2" t="s">
        <v>781</v>
      </c>
      <c r="C1020" s="13">
        <v>45738</v>
      </c>
      <c r="D1020" s="2">
        <v>432</v>
      </c>
      <c r="E1020" s="35">
        <v>31859.91</v>
      </c>
      <c r="F1020" s="36">
        <v>0</v>
      </c>
      <c r="G1020" s="36">
        <v>0</v>
      </c>
      <c r="H1020" s="36">
        <v>0</v>
      </c>
      <c r="I1020" s="37">
        <v>31859.91</v>
      </c>
    </row>
    <row r="1021" spans="1:9" x14ac:dyDescent="0.2">
      <c r="A1021" s="9"/>
      <c r="B1021" s="2" t="s">
        <v>218</v>
      </c>
      <c r="C1021" s="13">
        <v>45751</v>
      </c>
      <c r="D1021" s="2">
        <v>419</v>
      </c>
      <c r="E1021" s="35">
        <v>248.7</v>
      </c>
      <c r="F1021" s="36">
        <v>0</v>
      </c>
      <c r="G1021" s="36">
        <v>0</v>
      </c>
      <c r="H1021" s="36">
        <v>0</v>
      </c>
      <c r="I1021" s="37">
        <v>248.7</v>
      </c>
    </row>
    <row r="1022" spans="1:9" x14ac:dyDescent="0.2">
      <c r="A1022" s="9"/>
      <c r="B1022" s="2" t="s">
        <v>535</v>
      </c>
      <c r="C1022" s="13">
        <v>45765</v>
      </c>
      <c r="D1022" s="2">
        <v>405</v>
      </c>
      <c r="E1022" s="35">
        <v>7623</v>
      </c>
      <c r="F1022" s="36">
        <v>0</v>
      </c>
      <c r="G1022" s="36">
        <v>0</v>
      </c>
      <c r="H1022" s="36">
        <v>0</v>
      </c>
      <c r="I1022" s="37">
        <v>7623</v>
      </c>
    </row>
    <row r="1023" spans="1:9" x14ac:dyDescent="0.2">
      <c r="A1023" s="9"/>
      <c r="B1023" s="2" t="s">
        <v>1040</v>
      </c>
      <c r="C1023" s="13">
        <v>45780</v>
      </c>
      <c r="D1023" s="2">
        <v>390</v>
      </c>
      <c r="E1023" s="35">
        <v>248.7</v>
      </c>
      <c r="F1023" s="36">
        <v>0</v>
      </c>
      <c r="G1023" s="36">
        <v>0</v>
      </c>
      <c r="H1023" s="36">
        <v>0</v>
      </c>
      <c r="I1023" s="37">
        <v>248.7</v>
      </c>
    </row>
    <row r="1024" spans="1:9" x14ac:dyDescent="0.2">
      <c r="A1024" s="9"/>
      <c r="B1024" s="2" t="s">
        <v>1049</v>
      </c>
      <c r="C1024" s="13">
        <v>43720</v>
      </c>
      <c r="D1024" s="2">
        <v>2450</v>
      </c>
      <c r="E1024" s="35">
        <v>61.59</v>
      </c>
      <c r="F1024" s="36">
        <v>0</v>
      </c>
      <c r="G1024" s="36">
        <v>0</v>
      </c>
      <c r="H1024" s="36">
        <v>0</v>
      </c>
      <c r="I1024" s="37">
        <v>61.59</v>
      </c>
    </row>
    <row r="1025" spans="1:9" x14ac:dyDescent="0.2">
      <c r="A1025" s="9"/>
      <c r="B1025" s="2" t="s">
        <v>865</v>
      </c>
      <c r="C1025" s="13">
        <v>43720</v>
      </c>
      <c r="D1025" s="2">
        <v>2450</v>
      </c>
      <c r="E1025" s="35">
        <v>30.25</v>
      </c>
      <c r="F1025" s="36">
        <v>0</v>
      </c>
      <c r="G1025" s="36">
        <v>0</v>
      </c>
      <c r="H1025" s="36">
        <v>0</v>
      </c>
      <c r="I1025" s="37">
        <v>30.25</v>
      </c>
    </row>
    <row r="1026" spans="1:9" x14ac:dyDescent="0.2">
      <c r="A1026" s="9"/>
      <c r="B1026" s="2" t="s">
        <v>862</v>
      </c>
      <c r="C1026" s="13">
        <v>43720</v>
      </c>
      <c r="D1026" s="2">
        <v>2450</v>
      </c>
      <c r="E1026" s="35">
        <v>145.13</v>
      </c>
      <c r="F1026" s="36">
        <v>0</v>
      </c>
      <c r="G1026" s="36">
        <v>0</v>
      </c>
      <c r="H1026" s="36">
        <v>0</v>
      </c>
      <c r="I1026" s="37">
        <v>145.13</v>
      </c>
    </row>
    <row r="1027" spans="1:9" x14ac:dyDescent="0.2">
      <c r="A1027" s="9"/>
      <c r="B1027" s="2" t="s">
        <v>1182</v>
      </c>
      <c r="C1027" s="13">
        <v>43765</v>
      </c>
      <c r="D1027" s="2">
        <v>2405</v>
      </c>
      <c r="E1027" s="35">
        <v>145.13</v>
      </c>
      <c r="F1027" s="36">
        <v>0</v>
      </c>
      <c r="G1027" s="36">
        <v>0</v>
      </c>
      <c r="H1027" s="36">
        <v>0</v>
      </c>
      <c r="I1027" s="37">
        <v>145.13</v>
      </c>
    </row>
    <row r="1028" spans="1:9" x14ac:dyDescent="0.2">
      <c r="A1028" s="9"/>
      <c r="B1028" s="2" t="s">
        <v>714</v>
      </c>
      <c r="C1028" s="13">
        <v>43765</v>
      </c>
      <c r="D1028" s="2">
        <v>2405</v>
      </c>
      <c r="E1028" s="35">
        <v>30.25</v>
      </c>
      <c r="F1028" s="36">
        <v>0</v>
      </c>
      <c r="G1028" s="36">
        <v>0</v>
      </c>
      <c r="H1028" s="36">
        <v>0</v>
      </c>
      <c r="I1028" s="37">
        <v>30.25</v>
      </c>
    </row>
    <row r="1029" spans="1:9" x14ac:dyDescent="0.2">
      <c r="A1029" s="9"/>
      <c r="B1029" s="2" t="s">
        <v>887</v>
      </c>
      <c r="C1029" s="13">
        <v>43765</v>
      </c>
      <c r="D1029" s="2">
        <v>2405</v>
      </c>
      <c r="E1029" s="35">
        <v>61.64</v>
      </c>
      <c r="F1029" s="36">
        <v>0</v>
      </c>
      <c r="G1029" s="36">
        <v>0</v>
      </c>
      <c r="H1029" s="36">
        <v>0</v>
      </c>
      <c r="I1029" s="37">
        <v>61.64</v>
      </c>
    </row>
    <row r="1030" spans="1:9" x14ac:dyDescent="0.2">
      <c r="A1030" s="9"/>
      <c r="B1030" s="2" t="s">
        <v>940</v>
      </c>
      <c r="C1030" s="13">
        <v>43804</v>
      </c>
      <c r="D1030" s="2">
        <v>2366</v>
      </c>
      <c r="E1030" s="35">
        <v>30.25</v>
      </c>
      <c r="F1030" s="36">
        <v>0</v>
      </c>
      <c r="G1030" s="36">
        <v>0</v>
      </c>
      <c r="H1030" s="36">
        <v>0</v>
      </c>
      <c r="I1030" s="37">
        <v>30.25</v>
      </c>
    </row>
    <row r="1031" spans="1:9" x14ac:dyDescent="0.2">
      <c r="A1031" s="9"/>
      <c r="B1031" s="2" t="s">
        <v>942</v>
      </c>
      <c r="C1031" s="13">
        <v>43804</v>
      </c>
      <c r="D1031" s="2">
        <v>2366</v>
      </c>
      <c r="E1031" s="35">
        <v>30.25</v>
      </c>
      <c r="F1031" s="36">
        <v>0</v>
      </c>
      <c r="G1031" s="36">
        <v>0</v>
      </c>
      <c r="H1031" s="36">
        <v>0</v>
      </c>
      <c r="I1031" s="37">
        <v>30.25</v>
      </c>
    </row>
    <row r="1032" spans="1:9" x14ac:dyDescent="0.2">
      <c r="A1032" s="9"/>
      <c r="B1032" s="2" t="s">
        <v>457</v>
      </c>
      <c r="C1032" s="13">
        <v>43804</v>
      </c>
      <c r="D1032" s="2">
        <v>2366</v>
      </c>
      <c r="E1032" s="35">
        <v>61.33</v>
      </c>
      <c r="F1032" s="36">
        <v>0</v>
      </c>
      <c r="G1032" s="36">
        <v>0</v>
      </c>
      <c r="H1032" s="36">
        <v>0</v>
      </c>
      <c r="I1032" s="37">
        <v>61.33</v>
      </c>
    </row>
    <row r="1033" spans="1:9" x14ac:dyDescent="0.2">
      <c r="A1033" s="9"/>
      <c r="B1033" s="2" t="s">
        <v>460</v>
      </c>
      <c r="C1033" s="13">
        <v>43804</v>
      </c>
      <c r="D1033" s="2">
        <v>2366</v>
      </c>
      <c r="E1033" s="35">
        <v>61.08</v>
      </c>
      <c r="F1033" s="36">
        <v>0</v>
      </c>
      <c r="G1033" s="36">
        <v>0</v>
      </c>
      <c r="H1033" s="36">
        <v>0</v>
      </c>
      <c r="I1033" s="37">
        <v>61.08</v>
      </c>
    </row>
    <row r="1034" spans="1:9" x14ac:dyDescent="0.2">
      <c r="A1034" s="9"/>
      <c r="B1034" s="2" t="s">
        <v>1201</v>
      </c>
      <c r="C1034" s="13">
        <v>43804</v>
      </c>
      <c r="D1034" s="2">
        <v>2366</v>
      </c>
      <c r="E1034" s="35">
        <v>145.13</v>
      </c>
      <c r="F1034" s="36">
        <v>0</v>
      </c>
      <c r="G1034" s="36">
        <v>0</v>
      </c>
      <c r="H1034" s="36">
        <v>0</v>
      </c>
      <c r="I1034" s="37">
        <v>145.13</v>
      </c>
    </row>
    <row r="1035" spans="1:9" x14ac:dyDescent="0.2">
      <c r="A1035" s="9"/>
      <c r="B1035" s="2" t="s">
        <v>948</v>
      </c>
      <c r="C1035" s="13">
        <v>43804</v>
      </c>
      <c r="D1035" s="2">
        <v>2366</v>
      </c>
      <c r="E1035" s="35">
        <v>145.13</v>
      </c>
      <c r="F1035" s="36">
        <v>0</v>
      </c>
      <c r="G1035" s="36">
        <v>0</v>
      </c>
      <c r="H1035" s="36">
        <v>0</v>
      </c>
      <c r="I1035" s="37">
        <v>145.13</v>
      </c>
    </row>
    <row r="1036" spans="1:9" x14ac:dyDescent="0.2">
      <c r="A1036" s="9"/>
      <c r="B1036" s="2" t="s">
        <v>149</v>
      </c>
      <c r="C1036" s="13">
        <v>43839</v>
      </c>
      <c r="D1036" s="2">
        <v>2331</v>
      </c>
      <c r="E1036" s="35">
        <v>145.13</v>
      </c>
      <c r="F1036" s="36">
        <v>0</v>
      </c>
      <c r="G1036" s="36">
        <v>0</v>
      </c>
      <c r="H1036" s="36">
        <v>0</v>
      </c>
      <c r="I1036" s="37">
        <v>145.13</v>
      </c>
    </row>
    <row r="1037" spans="1:9" x14ac:dyDescent="0.2">
      <c r="A1037" s="9"/>
      <c r="B1037" s="2" t="s">
        <v>986</v>
      </c>
      <c r="C1037" s="13">
        <v>43839</v>
      </c>
      <c r="D1037" s="2">
        <v>2331</v>
      </c>
      <c r="E1037" s="35">
        <v>61.13</v>
      </c>
      <c r="F1037" s="36">
        <v>0</v>
      </c>
      <c r="G1037" s="36">
        <v>0</v>
      </c>
      <c r="H1037" s="36">
        <v>0</v>
      </c>
      <c r="I1037" s="37">
        <v>61.13</v>
      </c>
    </row>
    <row r="1038" spans="1:9" x14ac:dyDescent="0.2">
      <c r="A1038" s="9"/>
      <c r="B1038" s="2" t="s">
        <v>988</v>
      </c>
      <c r="C1038" s="13">
        <v>43839</v>
      </c>
      <c r="D1038" s="2">
        <v>2331</v>
      </c>
      <c r="E1038" s="35">
        <v>30.25</v>
      </c>
      <c r="F1038" s="36">
        <v>0</v>
      </c>
      <c r="G1038" s="36">
        <v>0</v>
      </c>
      <c r="H1038" s="36">
        <v>0</v>
      </c>
      <c r="I1038" s="37">
        <v>30.25</v>
      </c>
    </row>
    <row r="1039" spans="1:9" x14ac:dyDescent="0.2">
      <c r="A1039" s="9"/>
      <c r="B1039" s="2" t="s">
        <v>256</v>
      </c>
      <c r="C1039" s="13">
        <v>43852</v>
      </c>
      <c r="D1039" s="2">
        <v>2318</v>
      </c>
      <c r="E1039" s="35">
        <v>3882.45</v>
      </c>
      <c r="F1039" s="36">
        <v>0</v>
      </c>
      <c r="G1039" s="36">
        <v>0</v>
      </c>
      <c r="H1039" s="36">
        <v>0</v>
      </c>
      <c r="I1039" s="37">
        <v>3882.45</v>
      </c>
    </row>
    <row r="1040" spans="1:9" x14ac:dyDescent="0.2">
      <c r="A1040" s="9"/>
      <c r="B1040" s="2" t="s">
        <v>524</v>
      </c>
      <c r="C1040" s="13">
        <v>43860</v>
      </c>
      <c r="D1040" s="2">
        <v>2310</v>
      </c>
      <c r="E1040" s="35">
        <v>30.25</v>
      </c>
      <c r="F1040" s="36">
        <v>0</v>
      </c>
      <c r="G1040" s="36">
        <v>0</v>
      </c>
      <c r="H1040" s="36">
        <v>0</v>
      </c>
      <c r="I1040" s="37">
        <v>30.25</v>
      </c>
    </row>
    <row r="1041" spans="1:9" x14ac:dyDescent="0.2">
      <c r="A1041" s="9"/>
      <c r="B1041" s="2" t="s">
        <v>834</v>
      </c>
      <c r="C1041" s="13">
        <v>43860</v>
      </c>
      <c r="D1041" s="2">
        <v>2310</v>
      </c>
      <c r="E1041" s="35">
        <v>61.01</v>
      </c>
      <c r="F1041" s="36">
        <v>0</v>
      </c>
      <c r="G1041" s="36">
        <v>0</v>
      </c>
      <c r="H1041" s="36">
        <v>0</v>
      </c>
      <c r="I1041" s="37">
        <v>61.01</v>
      </c>
    </row>
    <row r="1042" spans="1:9" x14ac:dyDescent="0.2">
      <c r="A1042" s="9"/>
      <c r="B1042" s="2" t="s">
        <v>1301</v>
      </c>
      <c r="C1042" s="13">
        <v>43860</v>
      </c>
      <c r="D1042" s="2">
        <v>2310</v>
      </c>
      <c r="E1042" s="35">
        <v>448.46</v>
      </c>
      <c r="F1042" s="36">
        <v>0</v>
      </c>
      <c r="G1042" s="36">
        <v>0</v>
      </c>
      <c r="H1042" s="36">
        <v>0</v>
      </c>
      <c r="I1042" s="37">
        <v>448.46</v>
      </c>
    </row>
    <row r="1043" spans="1:9" x14ac:dyDescent="0.2">
      <c r="A1043" s="11" t="s">
        <v>1426</v>
      </c>
      <c r="B1043" s="12"/>
      <c r="C1043" s="12"/>
      <c r="D1043" s="12"/>
      <c r="E1043" s="38">
        <v>203002.73000000033</v>
      </c>
      <c r="F1043" s="39">
        <v>26511.03</v>
      </c>
      <c r="G1043" s="39">
        <v>254.03</v>
      </c>
      <c r="H1043" s="39">
        <v>254.03</v>
      </c>
      <c r="I1043" s="40">
        <v>175983.64000000004</v>
      </c>
    </row>
    <row r="1044" spans="1:9" x14ac:dyDescent="0.2">
      <c r="A1044" s="2" t="s">
        <v>743</v>
      </c>
      <c r="B1044" s="2" t="s">
        <v>777</v>
      </c>
      <c r="C1044" s="13">
        <v>45541</v>
      </c>
      <c r="D1044" s="2">
        <v>629</v>
      </c>
      <c r="E1044" s="35">
        <v>75.63</v>
      </c>
      <c r="F1044" s="36">
        <v>0</v>
      </c>
      <c r="G1044" s="36">
        <v>0</v>
      </c>
      <c r="H1044" s="36">
        <v>0</v>
      </c>
      <c r="I1044" s="37">
        <v>75.63</v>
      </c>
    </row>
    <row r="1045" spans="1:9" x14ac:dyDescent="0.2">
      <c r="A1045" s="11" t="s">
        <v>1427</v>
      </c>
      <c r="B1045" s="12"/>
      <c r="C1045" s="12"/>
      <c r="D1045" s="12"/>
      <c r="E1045" s="38">
        <v>75.63</v>
      </c>
      <c r="F1045" s="39">
        <v>0</v>
      </c>
      <c r="G1045" s="39">
        <v>0</v>
      </c>
      <c r="H1045" s="39">
        <v>0</v>
      </c>
      <c r="I1045" s="40">
        <v>75.63</v>
      </c>
    </row>
    <row r="1046" spans="1:9" x14ac:dyDescent="0.2">
      <c r="A1046" s="2" t="s">
        <v>1136</v>
      </c>
      <c r="B1046" s="2" t="s">
        <v>1092</v>
      </c>
      <c r="C1046" s="13">
        <v>46148</v>
      </c>
      <c r="D1046" s="2">
        <v>22</v>
      </c>
      <c r="E1046" s="35">
        <v>42.35</v>
      </c>
      <c r="F1046" s="36">
        <v>42.35</v>
      </c>
      <c r="G1046" s="36">
        <v>0</v>
      </c>
      <c r="H1046" s="36">
        <v>0</v>
      </c>
      <c r="I1046" s="37">
        <v>0</v>
      </c>
    </row>
    <row r="1047" spans="1:9" x14ac:dyDescent="0.2">
      <c r="A1047" s="11" t="s">
        <v>1428</v>
      </c>
      <c r="B1047" s="12"/>
      <c r="C1047" s="12"/>
      <c r="D1047" s="12"/>
      <c r="E1047" s="38">
        <v>42.35</v>
      </c>
      <c r="F1047" s="39">
        <v>42.35</v>
      </c>
      <c r="G1047" s="39">
        <v>0</v>
      </c>
      <c r="H1047" s="39">
        <v>0</v>
      </c>
      <c r="I1047" s="40">
        <v>0</v>
      </c>
    </row>
    <row r="1048" spans="1:9" x14ac:dyDescent="0.2">
      <c r="A1048" s="2" t="s">
        <v>745</v>
      </c>
      <c r="B1048" s="2" t="s">
        <v>607</v>
      </c>
      <c r="C1048" s="13">
        <v>45812</v>
      </c>
      <c r="D1048" s="2">
        <v>358</v>
      </c>
      <c r="E1048" s="35">
        <v>242</v>
      </c>
      <c r="F1048" s="36">
        <v>0</v>
      </c>
      <c r="G1048" s="36">
        <v>0</v>
      </c>
      <c r="H1048" s="36">
        <v>0</v>
      </c>
      <c r="I1048" s="37">
        <v>242</v>
      </c>
    </row>
    <row r="1049" spans="1:9" x14ac:dyDescent="0.2">
      <c r="A1049" s="9"/>
      <c r="B1049" s="2" t="s">
        <v>166</v>
      </c>
      <c r="C1049" s="13">
        <v>45812</v>
      </c>
      <c r="D1049" s="2">
        <v>358</v>
      </c>
      <c r="E1049" s="35">
        <v>24.2</v>
      </c>
      <c r="F1049" s="36">
        <v>0</v>
      </c>
      <c r="G1049" s="36">
        <v>0</v>
      </c>
      <c r="H1049" s="36">
        <v>0</v>
      </c>
      <c r="I1049" s="37">
        <v>24.2</v>
      </c>
    </row>
    <row r="1050" spans="1:9" x14ac:dyDescent="0.2">
      <c r="A1050" s="9"/>
      <c r="B1050" s="2" t="s">
        <v>810</v>
      </c>
      <c r="C1050" s="13">
        <v>45840</v>
      </c>
      <c r="D1050" s="2">
        <v>330</v>
      </c>
      <c r="E1050" s="35">
        <v>242</v>
      </c>
      <c r="F1050" s="36">
        <v>0</v>
      </c>
      <c r="G1050" s="36">
        <v>0</v>
      </c>
      <c r="H1050" s="36">
        <v>0</v>
      </c>
      <c r="I1050" s="37">
        <v>242</v>
      </c>
    </row>
    <row r="1051" spans="1:9" x14ac:dyDescent="0.2">
      <c r="A1051" s="9"/>
      <c r="B1051" s="2" t="s">
        <v>1242</v>
      </c>
      <c r="C1051" s="13">
        <v>45840</v>
      </c>
      <c r="D1051" s="2">
        <v>330</v>
      </c>
      <c r="E1051" s="35">
        <v>24.2</v>
      </c>
      <c r="F1051" s="36">
        <v>0</v>
      </c>
      <c r="G1051" s="36">
        <v>0</v>
      </c>
      <c r="H1051" s="36">
        <v>0</v>
      </c>
      <c r="I1051" s="37">
        <v>24.2</v>
      </c>
    </row>
    <row r="1052" spans="1:9" x14ac:dyDescent="0.2">
      <c r="A1052" s="9"/>
      <c r="B1052" s="2" t="s">
        <v>873</v>
      </c>
      <c r="C1052" s="13">
        <v>45869</v>
      </c>
      <c r="D1052" s="2">
        <v>301</v>
      </c>
      <c r="E1052" s="35">
        <v>242</v>
      </c>
      <c r="F1052" s="36">
        <v>0</v>
      </c>
      <c r="G1052" s="36">
        <v>0</v>
      </c>
      <c r="H1052" s="36">
        <v>0</v>
      </c>
      <c r="I1052" s="37">
        <v>242</v>
      </c>
    </row>
    <row r="1053" spans="1:9" x14ac:dyDescent="0.2">
      <c r="A1053" s="9"/>
      <c r="B1053" s="2" t="s">
        <v>291</v>
      </c>
      <c r="C1053" s="13">
        <v>45869</v>
      </c>
      <c r="D1053" s="2">
        <v>301</v>
      </c>
      <c r="E1053" s="35">
        <v>24.2</v>
      </c>
      <c r="F1053" s="36">
        <v>0</v>
      </c>
      <c r="G1053" s="36">
        <v>0</v>
      </c>
      <c r="H1053" s="36">
        <v>0</v>
      </c>
      <c r="I1053" s="37">
        <v>24.2</v>
      </c>
    </row>
    <row r="1054" spans="1:9" x14ac:dyDescent="0.2">
      <c r="A1054" s="9"/>
      <c r="B1054" s="2" t="s">
        <v>126</v>
      </c>
      <c r="C1054" s="13">
        <v>45903</v>
      </c>
      <c r="D1054" s="2">
        <v>267</v>
      </c>
      <c r="E1054" s="35">
        <v>242</v>
      </c>
      <c r="F1054" s="36">
        <v>0</v>
      </c>
      <c r="G1054" s="36">
        <v>0</v>
      </c>
      <c r="H1054" s="36">
        <v>0</v>
      </c>
      <c r="I1054" s="37">
        <v>242</v>
      </c>
    </row>
    <row r="1055" spans="1:9" x14ac:dyDescent="0.2">
      <c r="A1055" s="9"/>
      <c r="B1055" s="2" t="s">
        <v>1106</v>
      </c>
      <c r="C1055" s="13">
        <v>45903</v>
      </c>
      <c r="D1055" s="2">
        <v>267</v>
      </c>
      <c r="E1055" s="35">
        <v>24.2</v>
      </c>
      <c r="F1055" s="36">
        <v>0</v>
      </c>
      <c r="G1055" s="36">
        <v>0</v>
      </c>
      <c r="H1055" s="36">
        <v>0</v>
      </c>
      <c r="I1055" s="37">
        <v>24.2</v>
      </c>
    </row>
    <row r="1056" spans="1:9" x14ac:dyDescent="0.2">
      <c r="A1056" s="9"/>
      <c r="B1056" s="2" t="s">
        <v>364</v>
      </c>
      <c r="C1056" s="13">
        <v>45931</v>
      </c>
      <c r="D1056" s="2">
        <v>239</v>
      </c>
      <c r="E1056" s="35">
        <v>242</v>
      </c>
      <c r="F1056" s="36">
        <v>0</v>
      </c>
      <c r="G1056" s="36">
        <v>0</v>
      </c>
      <c r="H1056" s="36">
        <v>0</v>
      </c>
      <c r="I1056" s="37">
        <v>242</v>
      </c>
    </row>
    <row r="1057" spans="1:9" x14ac:dyDescent="0.2">
      <c r="A1057" s="9"/>
      <c r="B1057" s="2" t="s">
        <v>193</v>
      </c>
      <c r="C1057" s="13">
        <v>45931</v>
      </c>
      <c r="D1057" s="2">
        <v>239</v>
      </c>
      <c r="E1057" s="35">
        <v>24.2</v>
      </c>
      <c r="F1057" s="36">
        <v>0</v>
      </c>
      <c r="G1057" s="36">
        <v>0</v>
      </c>
      <c r="H1057" s="36">
        <v>0</v>
      </c>
      <c r="I1057" s="37">
        <v>24.2</v>
      </c>
    </row>
    <row r="1058" spans="1:9" x14ac:dyDescent="0.2">
      <c r="A1058" s="9"/>
      <c r="B1058" s="2" t="s">
        <v>1009</v>
      </c>
      <c r="C1058" s="13">
        <v>45966</v>
      </c>
      <c r="D1058" s="2">
        <v>204</v>
      </c>
      <c r="E1058" s="35">
        <v>242</v>
      </c>
      <c r="F1058" s="36">
        <v>0</v>
      </c>
      <c r="G1058" s="36">
        <v>0</v>
      </c>
      <c r="H1058" s="36">
        <v>0</v>
      </c>
      <c r="I1058" s="37">
        <v>242</v>
      </c>
    </row>
    <row r="1059" spans="1:9" x14ac:dyDescent="0.2">
      <c r="A1059" s="9"/>
      <c r="B1059" s="2" t="s">
        <v>958</v>
      </c>
      <c r="C1059" s="13">
        <v>45966</v>
      </c>
      <c r="D1059" s="2">
        <v>204</v>
      </c>
      <c r="E1059" s="35">
        <v>24.2</v>
      </c>
      <c r="F1059" s="36">
        <v>0</v>
      </c>
      <c r="G1059" s="36">
        <v>0</v>
      </c>
      <c r="H1059" s="36">
        <v>0</v>
      </c>
      <c r="I1059" s="37">
        <v>24.2</v>
      </c>
    </row>
    <row r="1060" spans="1:9" x14ac:dyDescent="0.2">
      <c r="A1060" s="9"/>
      <c r="B1060" s="2" t="s">
        <v>11</v>
      </c>
      <c r="C1060" s="13">
        <v>45996</v>
      </c>
      <c r="D1060" s="2">
        <v>174</v>
      </c>
      <c r="E1060" s="35">
        <v>242</v>
      </c>
      <c r="F1060" s="36">
        <v>0</v>
      </c>
      <c r="G1060" s="36">
        <v>0</v>
      </c>
      <c r="H1060" s="36">
        <v>0</v>
      </c>
      <c r="I1060" s="37">
        <v>242</v>
      </c>
    </row>
    <row r="1061" spans="1:9" x14ac:dyDescent="0.2">
      <c r="A1061" s="9"/>
      <c r="B1061" s="2" t="s">
        <v>977</v>
      </c>
      <c r="C1061" s="13">
        <v>45996</v>
      </c>
      <c r="D1061" s="2">
        <v>174</v>
      </c>
      <c r="E1061" s="35">
        <v>24.2</v>
      </c>
      <c r="F1061" s="36">
        <v>0</v>
      </c>
      <c r="G1061" s="36">
        <v>0</v>
      </c>
      <c r="H1061" s="36">
        <v>0</v>
      </c>
      <c r="I1061" s="37">
        <v>24.2</v>
      </c>
    </row>
    <row r="1062" spans="1:9" x14ac:dyDescent="0.2">
      <c r="A1062" s="9"/>
      <c r="B1062" s="2" t="s">
        <v>1309</v>
      </c>
      <c r="C1062" s="13">
        <v>46023</v>
      </c>
      <c r="D1062" s="2">
        <v>147</v>
      </c>
      <c r="E1062" s="35">
        <v>242</v>
      </c>
      <c r="F1062" s="36">
        <v>0</v>
      </c>
      <c r="G1062" s="36">
        <v>0</v>
      </c>
      <c r="H1062" s="36">
        <v>0</v>
      </c>
      <c r="I1062" s="37">
        <v>242</v>
      </c>
    </row>
    <row r="1063" spans="1:9" x14ac:dyDescent="0.2">
      <c r="A1063" s="9"/>
      <c r="B1063" s="2" t="s">
        <v>476</v>
      </c>
      <c r="C1063" s="13">
        <v>46023</v>
      </c>
      <c r="D1063" s="2">
        <v>147</v>
      </c>
      <c r="E1063" s="35">
        <v>24.2</v>
      </c>
      <c r="F1063" s="36">
        <v>0</v>
      </c>
      <c r="G1063" s="36">
        <v>0</v>
      </c>
      <c r="H1063" s="36">
        <v>0</v>
      </c>
      <c r="I1063" s="37">
        <v>24.2</v>
      </c>
    </row>
    <row r="1064" spans="1:9" x14ac:dyDescent="0.2">
      <c r="A1064" s="9"/>
      <c r="B1064" s="2" t="s">
        <v>1152</v>
      </c>
      <c r="C1064" s="13">
        <v>46060</v>
      </c>
      <c r="D1064" s="2">
        <v>110</v>
      </c>
      <c r="E1064" s="35">
        <v>242</v>
      </c>
      <c r="F1064" s="36">
        <v>0</v>
      </c>
      <c r="G1064" s="36">
        <v>0</v>
      </c>
      <c r="H1064" s="36">
        <v>0</v>
      </c>
      <c r="I1064" s="37">
        <v>242</v>
      </c>
    </row>
    <row r="1065" spans="1:9" x14ac:dyDescent="0.2">
      <c r="A1065" s="9"/>
      <c r="B1065" s="2" t="s">
        <v>341</v>
      </c>
      <c r="C1065" s="13">
        <v>46060</v>
      </c>
      <c r="D1065" s="2">
        <v>110</v>
      </c>
      <c r="E1065" s="35">
        <v>24.2</v>
      </c>
      <c r="F1065" s="36">
        <v>0</v>
      </c>
      <c r="G1065" s="36">
        <v>0</v>
      </c>
      <c r="H1065" s="36">
        <v>0</v>
      </c>
      <c r="I1065" s="37">
        <v>24.2</v>
      </c>
    </row>
    <row r="1066" spans="1:9" x14ac:dyDescent="0.2">
      <c r="A1066" s="9"/>
      <c r="B1066" s="2" t="s">
        <v>600</v>
      </c>
      <c r="C1066" s="13">
        <v>46065</v>
      </c>
      <c r="D1066" s="2">
        <v>105</v>
      </c>
      <c r="E1066" s="35">
        <v>-242</v>
      </c>
      <c r="F1066" s="36">
        <v>0</v>
      </c>
      <c r="G1066" s="36">
        <v>0</v>
      </c>
      <c r="H1066" s="36">
        <v>0</v>
      </c>
      <c r="I1066" s="37">
        <v>-242</v>
      </c>
    </row>
    <row r="1067" spans="1:9" x14ac:dyDescent="0.2">
      <c r="A1067" s="9"/>
      <c r="B1067" s="2" t="s">
        <v>599</v>
      </c>
      <c r="C1067" s="13">
        <v>46065</v>
      </c>
      <c r="D1067" s="2">
        <v>105</v>
      </c>
      <c r="E1067" s="35">
        <v>-24.2</v>
      </c>
      <c r="F1067" s="36">
        <v>0</v>
      </c>
      <c r="G1067" s="36">
        <v>0</v>
      </c>
      <c r="H1067" s="36">
        <v>0</v>
      </c>
      <c r="I1067" s="37">
        <v>-24.2</v>
      </c>
    </row>
    <row r="1068" spans="1:9" x14ac:dyDescent="0.2">
      <c r="A1068" s="9"/>
      <c r="B1068" s="2" t="s">
        <v>689</v>
      </c>
      <c r="C1068" s="13">
        <v>46134</v>
      </c>
      <c r="D1068" s="2">
        <v>36</v>
      </c>
      <c r="E1068" s="35">
        <v>605</v>
      </c>
      <c r="F1068" s="36">
        <v>0</v>
      </c>
      <c r="G1068" s="36">
        <v>605</v>
      </c>
      <c r="H1068" s="36">
        <v>0</v>
      </c>
      <c r="I1068" s="37">
        <v>0</v>
      </c>
    </row>
    <row r="1069" spans="1:9" x14ac:dyDescent="0.2">
      <c r="A1069" s="9"/>
      <c r="B1069" s="2" t="s">
        <v>1297</v>
      </c>
      <c r="C1069" s="13">
        <v>44442</v>
      </c>
      <c r="D1069" s="2">
        <v>1728</v>
      </c>
      <c r="E1069" s="35">
        <v>24.2</v>
      </c>
      <c r="F1069" s="36">
        <v>0</v>
      </c>
      <c r="G1069" s="36">
        <v>0</v>
      </c>
      <c r="H1069" s="36">
        <v>0</v>
      </c>
      <c r="I1069" s="37">
        <v>24.2</v>
      </c>
    </row>
    <row r="1070" spans="1:9" x14ac:dyDescent="0.2">
      <c r="A1070" s="9"/>
      <c r="B1070" s="2" t="s">
        <v>597</v>
      </c>
      <c r="C1070" s="13">
        <v>44784</v>
      </c>
      <c r="D1070" s="2">
        <v>1386</v>
      </c>
      <c r="E1070" s="35">
        <v>242</v>
      </c>
      <c r="F1070" s="36">
        <v>0</v>
      </c>
      <c r="G1070" s="36">
        <v>0</v>
      </c>
      <c r="H1070" s="36">
        <v>0</v>
      </c>
      <c r="I1070" s="37">
        <v>242</v>
      </c>
    </row>
    <row r="1071" spans="1:9" x14ac:dyDescent="0.2">
      <c r="A1071" s="9"/>
      <c r="B1071" s="2" t="s">
        <v>1216</v>
      </c>
      <c r="C1071" s="13">
        <v>44881</v>
      </c>
      <c r="D1071" s="2">
        <v>1289</v>
      </c>
      <c r="E1071" s="35">
        <v>9981.65</v>
      </c>
      <c r="F1071" s="36">
        <v>0</v>
      </c>
      <c r="G1071" s="36">
        <v>0</v>
      </c>
      <c r="H1071" s="36">
        <v>0</v>
      </c>
      <c r="I1071" s="37">
        <v>9981.65</v>
      </c>
    </row>
    <row r="1072" spans="1:9" x14ac:dyDescent="0.2">
      <c r="A1072" s="9"/>
      <c r="B1072" s="2" t="s">
        <v>704</v>
      </c>
      <c r="C1072" s="13">
        <v>44898</v>
      </c>
      <c r="D1072" s="2">
        <v>1272</v>
      </c>
      <c r="E1072" s="35">
        <v>24.2</v>
      </c>
      <c r="F1072" s="36">
        <v>0</v>
      </c>
      <c r="G1072" s="36">
        <v>0</v>
      </c>
      <c r="H1072" s="36">
        <v>0</v>
      </c>
      <c r="I1072" s="37">
        <v>24.2</v>
      </c>
    </row>
    <row r="1073" spans="1:9" x14ac:dyDescent="0.2">
      <c r="A1073" s="9"/>
      <c r="B1073" s="2" t="s">
        <v>154</v>
      </c>
      <c r="C1073" s="13">
        <v>45002</v>
      </c>
      <c r="D1073" s="2">
        <v>1168</v>
      </c>
      <c r="E1073" s="35">
        <v>314.60000000000002</v>
      </c>
      <c r="F1073" s="36">
        <v>0</v>
      </c>
      <c r="G1073" s="36">
        <v>0</v>
      </c>
      <c r="H1073" s="36">
        <v>0</v>
      </c>
      <c r="I1073" s="37">
        <v>314.60000000000002</v>
      </c>
    </row>
    <row r="1074" spans="1:9" x14ac:dyDescent="0.2">
      <c r="A1074" s="9"/>
      <c r="B1074" s="2" t="s">
        <v>933</v>
      </c>
      <c r="C1074" s="13">
        <v>45046</v>
      </c>
      <c r="D1074" s="2">
        <v>1124</v>
      </c>
      <c r="E1074" s="35">
        <v>983.13</v>
      </c>
      <c r="F1074" s="36">
        <v>0</v>
      </c>
      <c r="G1074" s="36">
        <v>0</v>
      </c>
      <c r="H1074" s="36">
        <v>0</v>
      </c>
      <c r="I1074" s="37">
        <v>983.13</v>
      </c>
    </row>
    <row r="1075" spans="1:9" x14ac:dyDescent="0.2">
      <c r="A1075" s="9"/>
      <c r="B1075" s="2" t="s">
        <v>814</v>
      </c>
      <c r="C1075" s="13">
        <v>45078</v>
      </c>
      <c r="D1075" s="2">
        <v>1092</v>
      </c>
      <c r="E1075" s="35">
        <v>242</v>
      </c>
      <c r="F1075" s="36">
        <v>0</v>
      </c>
      <c r="G1075" s="36">
        <v>0</v>
      </c>
      <c r="H1075" s="36">
        <v>0</v>
      </c>
      <c r="I1075" s="37">
        <v>242</v>
      </c>
    </row>
    <row r="1076" spans="1:9" x14ac:dyDescent="0.2">
      <c r="A1076" s="9"/>
      <c r="B1076" s="2" t="s">
        <v>48</v>
      </c>
      <c r="C1076" s="13">
        <v>45078</v>
      </c>
      <c r="D1076" s="2">
        <v>1092</v>
      </c>
      <c r="E1076" s="35">
        <v>24.2</v>
      </c>
      <c r="F1076" s="36">
        <v>0</v>
      </c>
      <c r="G1076" s="36">
        <v>0</v>
      </c>
      <c r="H1076" s="36">
        <v>0</v>
      </c>
      <c r="I1076" s="37">
        <v>24.2</v>
      </c>
    </row>
    <row r="1077" spans="1:9" x14ac:dyDescent="0.2">
      <c r="A1077" s="9"/>
      <c r="B1077" s="2" t="s">
        <v>60</v>
      </c>
      <c r="C1077" s="13">
        <v>45112</v>
      </c>
      <c r="D1077" s="2">
        <v>1058</v>
      </c>
      <c r="E1077" s="35">
        <v>242</v>
      </c>
      <c r="F1077" s="36">
        <v>0</v>
      </c>
      <c r="G1077" s="36">
        <v>0</v>
      </c>
      <c r="H1077" s="36">
        <v>0</v>
      </c>
      <c r="I1077" s="37">
        <v>242</v>
      </c>
    </row>
    <row r="1078" spans="1:9" x14ac:dyDescent="0.2">
      <c r="A1078" s="9"/>
      <c r="B1078" s="2" t="s">
        <v>558</v>
      </c>
      <c r="C1078" s="13">
        <v>45112</v>
      </c>
      <c r="D1078" s="2">
        <v>1058</v>
      </c>
      <c r="E1078" s="35">
        <v>24.2</v>
      </c>
      <c r="F1078" s="36">
        <v>0</v>
      </c>
      <c r="G1078" s="36">
        <v>0</v>
      </c>
      <c r="H1078" s="36">
        <v>0</v>
      </c>
      <c r="I1078" s="37">
        <v>24.2</v>
      </c>
    </row>
    <row r="1079" spans="1:9" x14ac:dyDescent="0.2">
      <c r="A1079" s="9"/>
      <c r="B1079" s="2" t="s">
        <v>1149</v>
      </c>
      <c r="C1079" s="13">
        <v>45140</v>
      </c>
      <c r="D1079" s="2">
        <v>1030</v>
      </c>
      <c r="E1079" s="35">
        <v>242</v>
      </c>
      <c r="F1079" s="36">
        <v>0</v>
      </c>
      <c r="G1079" s="36">
        <v>0</v>
      </c>
      <c r="H1079" s="36">
        <v>0</v>
      </c>
      <c r="I1079" s="37">
        <v>242</v>
      </c>
    </row>
    <row r="1080" spans="1:9" x14ac:dyDescent="0.2">
      <c r="A1080" s="9"/>
      <c r="B1080" s="2" t="s">
        <v>359</v>
      </c>
      <c r="C1080" s="13">
        <v>45140</v>
      </c>
      <c r="D1080" s="2">
        <v>1030</v>
      </c>
      <c r="E1080" s="35">
        <v>24.2</v>
      </c>
      <c r="F1080" s="36">
        <v>0</v>
      </c>
      <c r="G1080" s="36">
        <v>0</v>
      </c>
      <c r="H1080" s="36">
        <v>0</v>
      </c>
      <c r="I1080" s="37">
        <v>24.2</v>
      </c>
    </row>
    <row r="1081" spans="1:9" x14ac:dyDescent="0.2">
      <c r="A1081" s="9"/>
      <c r="B1081" s="2" t="s">
        <v>178</v>
      </c>
      <c r="C1081" s="13">
        <v>45171</v>
      </c>
      <c r="D1081" s="2">
        <v>999</v>
      </c>
      <c r="E1081" s="35">
        <v>242</v>
      </c>
      <c r="F1081" s="36">
        <v>0</v>
      </c>
      <c r="G1081" s="36">
        <v>0</v>
      </c>
      <c r="H1081" s="36">
        <v>0</v>
      </c>
      <c r="I1081" s="37">
        <v>242</v>
      </c>
    </row>
    <row r="1082" spans="1:9" x14ac:dyDescent="0.2">
      <c r="A1082" s="9"/>
      <c r="B1082" s="2" t="s">
        <v>109</v>
      </c>
      <c r="C1082" s="13">
        <v>45171</v>
      </c>
      <c r="D1082" s="2">
        <v>999</v>
      </c>
      <c r="E1082" s="35">
        <v>24.2</v>
      </c>
      <c r="F1082" s="36">
        <v>0</v>
      </c>
      <c r="G1082" s="36">
        <v>0</v>
      </c>
      <c r="H1082" s="36">
        <v>0</v>
      </c>
      <c r="I1082" s="37">
        <v>24.2</v>
      </c>
    </row>
    <row r="1083" spans="1:9" x14ac:dyDescent="0.2">
      <c r="A1083" s="9"/>
      <c r="B1083" s="2" t="s">
        <v>132</v>
      </c>
      <c r="C1083" s="13">
        <v>45204</v>
      </c>
      <c r="D1083" s="2">
        <v>966</v>
      </c>
      <c r="E1083" s="35">
        <v>242</v>
      </c>
      <c r="F1083" s="36">
        <v>0</v>
      </c>
      <c r="G1083" s="36">
        <v>0</v>
      </c>
      <c r="H1083" s="36">
        <v>0</v>
      </c>
      <c r="I1083" s="37">
        <v>242</v>
      </c>
    </row>
    <row r="1084" spans="1:9" x14ac:dyDescent="0.2">
      <c r="A1084" s="9"/>
      <c r="B1084" s="2" t="s">
        <v>928</v>
      </c>
      <c r="C1084" s="13">
        <v>45204</v>
      </c>
      <c r="D1084" s="2">
        <v>966</v>
      </c>
      <c r="E1084" s="35">
        <v>24.2</v>
      </c>
      <c r="F1084" s="36">
        <v>0</v>
      </c>
      <c r="G1084" s="36">
        <v>0</v>
      </c>
      <c r="H1084" s="36">
        <v>0</v>
      </c>
      <c r="I1084" s="37">
        <v>24.2</v>
      </c>
    </row>
    <row r="1085" spans="1:9" x14ac:dyDescent="0.2">
      <c r="A1085" s="9"/>
      <c r="B1085" s="2" t="s">
        <v>1240</v>
      </c>
      <c r="C1085" s="13">
        <v>45232</v>
      </c>
      <c r="D1085" s="2">
        <v>938</v>
      </c>
      <c r="E1085" s="35">
        <v>242</v>
      </c>
      <c r="F1085" s="36">
        <v>0</v>
      </c>
      <c r="G1085" s="36">
        <v>0</v>
      </c>
      <c r="H1085" s="36">
        <v>0</v>
      </c>
      <c r="I1085" s="37">
        <v>242</v>
      </c>
    </row>
    <row r="1086" spans="1:9" x14ac:dyDescent="0.2">
      <c r="A1086" s="9"/>
      <c r="B1086" s="2" t="s">
        <v>1231</v>
      </c>
      <c r="C1086" s="13">
        <v>45232</v>
      </c>
      <c r="D1086" s="2">
        <v>938</v>
      </c>
      <c r="E1086" s="35">
        <v>24.2</v>
      </c>
      <c r="F1086" s="36">
        <v>0</v>
      </c>
      <c r="G1086" s="36">
        <v>0</v>
      </c>
      <c r="H1086" s="36">
        <v>0</v>
      </c>
      <c r="I1086" s="37">
        <v>24.2</v>
      </c>
    </row>
    <row r="1087" spans="1:9" x14ac:dyDescent="0.2">
      <c r="A1087" s="9"/>
      <c r="B1087" s="2" t="s">
        <v>339</v>
      </c>
      <c r="C1087" s="13">
        <v>45267</v>
      </c>
      <c r="D1087" s="2">
        <v>903</v>
      </c>
      <c r="E1087" s="35">
        <v>242</v>
      </c>
      <c r="F1087" s="36">
        <v>0</v>
      </c>
      <c r="G1087" s="36">
        <v>0</v>
      </c>
      <c r="H1087" s="36">
        <v>0</v>
      </c>
      <c r="I1087" s="37">
        <v>242</v>
      </c>
    </row>
    <row r="1088" spans="1:9" x14ac:dyDescent="0.2">
      <c r="A1088" s="9"/>
      <c r="B1088" s="2" t="s">
        <v>223</v>
      </c>
      <c r="C1088" s="13">
        <v>45267</v>
      </c>
      <c r="D1088" s="2">
        <v>903</v>
      </c>
      <c r="E1088" s="35">
        <v>24.2</v>
      </c>
      <c r="F1088" s="36">
        <v>0</v>
      </c>
      <c r="G1088" s="36">
        <v>0</v>
      </c>
      <c r="H1088" s="36">
        <v>0</v>
      </c>
      <c r="I1088" s="37">
        <v>24.2</v>
      </c>
    </row>
    <row r="1089" spans="1:9" x14ac:dyDescent="0.2">
      <c r="A1089" s="9"/>
      <c r="B1089" s="2" t="s">
        <v>890</v>
      </c>
      <c r="C1089" s="13">
        <v>45295</v>
      </c>
      <c r="D1089" s="2">
        <v>875</v>
      </c>
      <c r="E1089" s="35">
        <v>242</v>
      </c>
      <c r="F1089" s="36">
        <v>0</v>
      </c>
      <c r="G1089" s="36">
        <v>0</v>
      </c>
      <c r="H1089" s="36">
        <v>0</v>
      </c>
      <c r="I1089" s="37">
        <v>242</v>
      </c>
    </row>
    <row r="1090" spans="1:9" x14ac:dyDescent="0.2">
      <c r="A1090" s="9"/>
      <c r="B1090" s="2" t="s">
        <v>659</v>
      </c>
      <c r="C1090" s="13">
        <v>45295</v>
      </c>
      <c r="D1090" s="2">
        <v>875</v>
      </c>
      <c r="E1090" s="35">
        <v>24.2</v>
      </c>
      <c r="F1090" s="36">
        <v>0</v>
      </c>
      <c r="G1090" s="36">
        <v>0</v>
      </c>
      <c r="H1090" s="36">
        <v>0</v>
      </c>
      <c r="I1090" s="37">
        <v>24.2</v>
      </c>
    </row>
    <row r="1091" spans="1:9" x14ac:dyDescent="0.2">
      <c r="A1091" s="9"/>
      <c r="B1091" s="2" t="s">
        <v>106</v>
      </c>
      <c r="C1091" s="13">
        <v>45325</v>
      </c>
      <c r="D1091" s="2">
        <v>845</v>
      </c>
      <c r="E1091" s="35">
        <v>242</v>
      </c>
      <c r="F1091" s="36">
        <v>0</v>
      </c>
      <c r="G1091" s="36">
        <v>0</v>
      </c>
      <c r="H1091" s="36">
        <v>0</v>
      </c>
      <c r="I1091" s="37">
        <v>242</v>
      </c>
    </row>
    <row r="1092" spans="1:9" x14ac:dyDescent="0.2">
      <c r="A1092" s="9"/>
      <c r="B1092" s="2" t="s">
        <v>1048</v>
      </c>
      <c r="C1092" s="13">
        <v>45325</v>
      </c>
      <c r="D1092" s="2">
        <v>845</v>
      </c>
      <c r="E1092" s="35">
        <v>24.2</v>
      </c>
      <c r="F1092" s="36">
        <v>0</v>
      </c>
      <c r="G1092" s="36">
        <v>0</v>
      </c>
      <c r="H1092" s="36">
        <v>0</v>
      </c>
      <c r="I1092" s="37">
        <v>24.2</v>
      </c>
    </row>
    <row r="1093" spans="1:9" x14ac:dyDescent="0.2">
      <c r="A1093" s="9"/>
      <c r="B1093" s="2" t="s">
        <v>650</v>
      </c>
      <c r="C1093" s="13">
        <v>45357</v>
      </c>
      <c r="D1093" s="2">
        <v>813</v>
      </c>
      <c r="E1093" s="35">
        <v>242</v>
      </c>
      <c r="F1093" s="36">
        <v>0</v>
      </c>
      <c r="G1093" s="36">
        <v>0</v>
      </c>
      <c r="H1093" s="36">
        <v>0</v>
      </c>
      <c r="I1093" s="37">
        <v>242</v>
      </c>
    </row>
    <row r="1094" spans="1:9" x14ac:dyDescent="0.2">
      <c r="A1094" s="9"/>
      <c r="B1094" s="2" t="s">
        <v>473</v>
      </c>
      <c r="C1094" s="13">
        <v>45357</v>
      </c>
      <c r="D1094" s="2">
        <v>813</v>
      </c>
      <c r="E1094" s="35">
        <v>24.2</v>
      </c>
      <c r="F1094" s="36">
        <v>0</v>
      </c>
      <c r="G1094" s="36">
        <v>0</v>
      </c>
      <c r="H1094" s="36">
        <v>0</v>
      </c>
      <c r="I1094" s="37">
        <v>24.2</v>
      </c>
    </row>
    <row r="1095" spans="1:9" x14ac:dyDescent="0.2">
      <c r="A1095" s="9"/>
      <c r="B1095" s="2" t="s">
        <v>667</v>
      </c>
      <c r="C1095" s="13">
        <v>45385</v>
      </c>
      <c r="D1095" s="2">
        <v>785</v>
      </c>
      <c r="E1095" s="35">
        <v>605</v>
      </c>
      <c r="F1095" s="36">
        <v>0</v>
      </c>
      <c r="G1095" s="36">
        <v>0</v>
      </c>
      <c r="H1095" s="36">
        <v>0</v>
      </c>
      <c r="I1095" s="37">
        <v>605</v>
      </c>
    </row>
    <row r="1096" spans="1:9" x14ac:dyDescent="0.2">
      <c r="A1096" s="9"/>
      <c r="B1096" s="2" t="s">
        <v>224</v>
      </c>
      <c r="C1096" s="13">
        <v>45387</v>
      </c>
      <c r="D1096" s="2">
        <v>783</v>
      </c>
      <c r="E1096" s="35">
        <v>242</v>
      </c>
      <c r="F1096" s="36">
        <v>0</v>
      </c>
      <c r="G1096" s="36">
        <v>0</v>
      </c>
      <c r="H1096" s="36">
        <v>0</v>
      </c>
      <c r="I1096" s="37">
        <v>242</v>
      </c>
    </row>
    <row r="1097" spans="1:9" x14ac:dyDescent="0.2">
      <c r="A1097" s="9"/>
      <c r="B1097" s="2" t="s">
        <v>956</v>
      </c>
      <c r="C1097" s="13">
        <v>45387</v>
      </c>
      <c r="D1097" s="2">
        <v>783</v>
      </c>
      <c r="E1097" s="35">
        <v>24.2</v>
      </c>
      <c r="F1097" s="36">
        <v>0</v>
      </c>
      <c r="G1097" s="36">
        <v>0</v>
      </c>
      <c r="H1097" s="36">
        <v>0</v>
      </c>
      <c r="I1097" s="37">
        <v>24.2</v>
      </c>
    </row>
    <row r="1098" spans="1:9" x14ac:dyDescent="0.2">
      <c r="A1098" s="9"/>
      <c r="B1098" s="2" t="s">
        <v>286</v>
      </c>
      <c r="C1098" s="13">
        <v>45416</v>
      </c>
      <c r="D1098" s="2">
        <v>754</v>
      </c>
      <c r="E1098" s="35">
        <v>242</v>
      </c>
      <c r="F1098" s="36">
        <v>0</v>
      </c>
      <c r="G1098" s="36">
        <v>0</v>
      </c>
      <c r="H1098" s="36">
        <v>0</v>
      </c>
      <c r="I1098" s="37">
        <v>242</v>
      </c>
    </row>
    <row r="1099" spans="1:9" x14ac:dyDescent="0.2">
      <c r="A1099" s="9"/>
      <c r="B1099" s="2" t="s">
        <v>976</v>
      </c>
      <c r="C1099" s="13">
        <v>45416</v>
      </c>
      <c r="D1099" s="2">
        <v>754</v>
      </c>
      <c r="E1099" s="35">
        <v>24.2</v>
      </c>
      <c r="F1099" s="36">
        <v>0</v>
      </c>
      <c r="G1099" s="36">
        <v>0</v>
      </c>
      <c r="H1099" s="36">
        <v>0</v>
      </c>
      <c r="I1099" s="37">
        <v>24.2</v>
      </c>
    </row>
    <row r="1100" spans="1:9" x14ac:dyDescent="0.2">
      <c r="A1100" s="9"/>
      <c r="B1100" s="2" t="s">
        <v>1217</v>
      </c>
      <c r="C1100" s="13">
        <v>45448</v>
      </c>
      <c r="D1100" s="2">
        <v>722</v>
      </c>
      <c r="E1100" s="35">
        <v>242</v>
      </c>
      <c r="F1100" s="36">
        <v>0</v>
      </c>
      <c r="G1100" s="36">
        <v>0</v>
      </c>
      <c r="H1100" s="36">
        <v>0</v>
      </c>
      <c r="I1100" s="37">
        <v>242</v>
      </c>
    </row>
    <row r="1101" spans="1:9" x14ac:dyDescent="0.2">
      <c r="A1101" s="9"/>
      <c r="B1101" s="2" t="s">
        <v>272</v>
      </c>
      <c r="C1101" s="13">
        <v>45448</v>
      </c>
      <c r="D1101" s="2">
        <v>722</v>
      </c>
      <c r="E1101" s="35">
        <v>24.2</v>
      </c>
      <c r="F1101" s="36">
        <v>0</v>
      </c>
      <c r="G1101" s="36">
        <v>0</v>
      </c>
      <c r="H1101" s="36">
        <v>0</v>
      </c>
      <c r="I1101" s="37">
        <v>24.2</v>
      </c>
    </row>
    <row r="1102" spans="1:9" x14ac:dyDescent="0.2">
      <c r="A1102" s="9"/>
      <c r="B1102" s="2" t="s">
        <v>931</v>
      </c>
      <c r="C1102" s="13">
        <v>45476</v>
      </c>
      <c r="D1102" s="2">
        <v>694</v>
      </c>
      <c r="E1102" s="35">
        <v>242</v>
      </c>
      <c r="F1102" s="36">
        <v>0</v>
      </c>
      <c r="G1102" s="36">
        <v>0</v>
      </c>
      <c r="H1102" s="36">
        <v>0</v>
      </c>
      <c r="I1102" s="37">
        <v>242</v>
      </c>
    </row>
    <row r="1103" spans="1:9" x14ac:dyDescent="0.2">
      <c r="A1103" s="9"/>
      <c r="B1103" s="2" t="s">
        <v>1020</v>
      </c>
      <c r="C1103" s="13">
        <v>45476</v>
      </c>
      <c r="D1103" s="2">
        <v>694</v>
      </c>
      <c r="E1103" s="35">
        <v>24.2</v>
      </c>
      <c r="F1103" s="36">
        <v>0</v>
      </c>
      <c r="G1103" s="36">
        <v>0</v>
      </c>
      <c r="H1103" s="36">
        <v>0</v>
      </c>
      <c r="I1103" s="37">
        <v>24.2</v>
      </c>
    </row>
    <row r="1104" spans="1:9" x14ac:dyDescent="0.2">
      <c r="A1104" s="9"/>
      <c r="B1104" s="2" t="s">
        <v>1054</v>
      </c>
      <c r="C1104" s="13">
        <v>45486</v>
      </c>
      <c r="D1104" s="2">
        <v>684</v>
      </c>
      <c r="E1104" s="35">
        <v>302.5</v>
      </c>
      <c r="F1104" s="36">
        <v>0</v>
      </c>
      <c r="G1104" s="36">
        <v>0</v>
      </c>
      <c r="H1104" s="36">
        <v>0</v>
      </c>
      <c r="I1104" s="37">
        <v>302.5</v>
      </c>
    </row>
    <row r="1105" spans="1:9" x14ac:dyDescent="0.2">
      <c r="A1105" s="9"/>
      <c r="B1105" s="2" t="s">
        <v>1158</v>
      </c>
      <c r="C1105" s="13">
        <v>45511</v>
      </c>
      <c r="D1105" s="2">
        <v>659</v>
      </c>
      <c r="E1105" s="35">
        <v>242</v>
      </c>
      <c r="F1105" s="36">
        <v>0</v>
      </c>
      <c r="G1105" s="36">
        <v>0</v>
      </c>
      <c r="H1105" s="36">
        <v>0</v>
      </c>
      <c r="I1105" s="37">
        <v>242</v>
      </c>
    </row>
    <row r="1106" spans="1:9" x14ac:dyDescent="0.2">
      <c r="A1106" s="9"/>
      <c r="B1106" s="2" t="s">
        <v>43</v>
      </c>
      <c r="C1106" s="13">
        <v>45511</v>
      </c>
      <c r="D1106" s="2">
        <v>659</v>
      </c>
      <c r="E1106" s="35">
        <v>24.2</v>
      </c>
      <c r="F1106" s="36">
        <v>0</v>
      </c>
      <c r="G1106" s="36">
        <v>0</v>
      </c>
      <c r="H1106" s="36">
        <v>0</v>
      </c>
      <c r="I1106" s="37">
        <v>24.2</v>
      </c>
    </row>
    <row r="1107" spans="1:9" x14ac:dyDescent="0.2">
      <c r="A1107" s="9"/>
      <c r="B1107" s="2" t="s">
        <v>1063</v>
      </c>
      <c r="C1107" s="13">
        <v>45521</v>
      </c>
      <c r="D1107" s="2">
        <v>649</v>
      </c>
      <c r="E1107" s="35">
        <v>605</v>
      </c>
      <c r="F1107" s="36">
        <v>0</v>
      </c>
      <c r="G1107" s="36">
        <v>0</v>
      </c>
      <c r="H1107" s="36">
        <v>0</v>
      </c>
      <c r="I1107" s="37">
        <v>605</v>
      </c>
    </row>
    <row r="1108" spans="1:9" x14ac:dyDescent="0.2">
      <c r="A1108" s="9"/>
      <c r="B1108" s="2" t="s">
        <v>582</v>
      </c>
      <c r="C1108" s="13">
        <v>45539</v>
      </c>
      <c r="D1108" s="2">
        <v>631</v>
      </c>
      <c r="E1108" s="35">
        <v>242</v>
      </c>
      <c r="F1108" s="36">
        <v>0</v>
      </c>
      <c r="G1108" s="36">
        <v>0</v>
      </c>
      <c r="H1108" s="36">
        <v>0</v>
      </c>
      <c r="I1108" s="37">
        <v>242</v>
      </c>
    </row>
    <row r="1109" spans="1:9" x14ac:dyDescent="0.2">
      <c r="A1109" s="9"/>
      <c r="B1109" s="2" t="s">
        <v>1307</v>
      </c>
      <c r="C1109" s="13">
        <v>45539</v>
      </c>
      <c r="D1109" s="2">
        <v>631</v>
      </c>
      <c r="E1109" s="35">
        <v>24.2</v>
      </c>
      <c r="F1109" s="36">
        <v>0</v>
      </c>
      <c r="G1109" s="36">
        <v>0</v>
      </c>
      <c r="H1109" s="36">
        <v>0</v>
      </c>
      <c r="I1109" s="37">
        <v>24.2</v>
      </c>
    </row>
    <row r="1110" spans="1:9" x14ac:dyDescent="0.2">
      <c r="A1110" s="9"/>
      <c r="B1110" s="2" t="s">
        <v>622</v>
      </c>
      <c r="C1110" s="13">
        <v>45567</v>
      </c>
      <c r="D1110" s="2">
        <v>603</v>
      </c>
      <c r="E1110" s="35">
        <v>242</v>
      </c>
      <c r="F1110" s="36">
        <v>0</v>
      </c>
      <c r="G1110" s="36">
        <v>0</v>
      </c>
      <c r="H1110" s="36">
        <v>0</v>
      </c>
      <c r="I1110" s="37">
        <v>242</v>
      </c>
    </row>
    <row r="1111" spans="1:9" x14ac:dyDescent="0.2">
      <c r="A1111" s="9"/>
      <c r="B1111" s="2" t="s">
        <v>954</v>
      </c>
      <c r="C1111" s="13">
        <v>45567</v>
      </c>
      <c r="D1111" s="2">
        <v>603</v>
      </c>
      <c r="E1111" s="35">
        <v>24.2</v>
      </c>
      <c r="F1111" s="36">
        <v>0</v>
      </c>
      <c r="G1111" s="36">
        <v>0</v>
      </c>
      <c r="H1111" s="36">
        <v>0</v>
      </c>
      <c r="I1111" s="37">
        <v>24.2</v>
      </c>
    </row>
    <row r="1112" spans="1:9" x14ac:dyDescent="0.2">
      <c r="A1112" s="9"/>
      <c r="B1112" s="2" t="s">
        <v>959</v>
      </c>
      <c r="C1112" s="13">
        <v>45602</v>
      </c>
      <c r="D1112" s="2">
        <v>568</v>
      </c>
      <c r="E1112" s="35">
        <v>242</v>
      </c>
      <c r="F1112" s="36">
        <v>0</v>
      </c>
      <c r="G1112" s="36">
        <v>0</v>
      </c>
      <c r="H1112" s="36">
        <v>0</v>
      </c>
      <c r="I1112" s="37">
        <v>242</v>
      </c>
    </row>
    <row r="1113" spans="1:9" x14ac:dyDescent="0.2">
      <c r="A1113" s="9"/>
      <c r="B1113" s="2" t="s">
        <v>179</v>
      </c>
      <c r="C1113" s="13">
        <v>45602</v>
      </c>
      <c r="D1113" s="2">
        <v>568</v>
      </c>
      <c r="E1113" s="35">
        <v>24.2</v>
      </c>
      <c r="F1113" s="36">
        <v>0</v>
      </c>
      <c r="G1113" s="36">
        <v>0</v>
      </c>
      <c r="H1113" s="36">
        <v>0</v>
      </c>
      <c r="I1113" s="37">
        <v>24.2</v>
      </c>
    </row>
    <row r="1114" spans="1:9" x14ac:dyDescent="0.2">
      <c r="A1114" s="9"/>
      <c r="B1114" s="2" t="s">
        <v>925</v>
      </c>
      <c r="C1114" s="13">
        <v>45630</v>
      </c>
      <c r="D1114" s="2">
        <v>540</v>
      </c>
      <c r="E1114" s="35">
        <v>242</v>
      </c>
      <c r="F1114" s="36">
        <v>0</v>
      </c>
      <c r="G1114" s="36">
        <v>0</v>
      </c>
      <c r="H1114" s="36">
        <v>0</v>
      </c>
      <c r="I1114" s="37">
        <v>242</v>
      </c>
    </row>
    <row r="1115" spans="1:9" x14ac:dyDescent="0.2">
      <c r="A1115" s="9"/>
      <c r="B1115" s="2" t="s">
        <v>404</v>
      </c>
      <c r="C1115" s="13">
        <v>45630</v>
      </c>
      <c r="D1115" s="2">
        <v>540</v>
      </c>
      <c r="E1115" s="35">
        <v>24.2</v>
      </c>
      <c r="F1115" s="36">
        <v>0</v>
      </c>
      <c r="G1115" s="36">
        <v>0</v>
      </c>
      <c r="H1115" s="36">
        <v>0</v>
      </c>
      <c r="I1115" s="37">
        <v>24.2</v>
      </c>
    </row>
    <row r="1116" spans="1:9" x14ac:dyDescent="0.2">
      <c r="A1116" s="9"/>
      <c r="B1116" s="2" t="s">
        <v>944</v>
      </c>
      <c r="C1116" s="13">
        <v>45658</v>
      </c>
      <c r="D1116" s="2">
        <v>512</v>
      </c>
      <c r="E1116" s="35">
        <v>242</v>
      </c>
      <c r="F1116" s="36">
        <v>0</v>
      </c>
      <c r="G1116" s="36">
        <v>0</v>
      </c>
      <c r="H1116" s="36">
        <v>0</v>
      </c>
      <c r="I1116" s="37">
        <v>242</v>
      </c>
    </row>
    <row r="1117" spans="1:9" x14ac:dyDescent="0.2">
      <c r="A1117" s="9"/>
      <c r="B1117" s="2" t="s">
        <v>219</v>
      </c>
      <c r="C1117" s="13">
        <v>45658</v>
      </c>
      <c r="D1117" s="2">
        <v>512</v>
      </c>
      <c r="E1117" s="35">
        <v>24.2</v>
      </c>
      <c r="F1117" s="36">
        <v>0</v>
      </c>
      <c r="G1117" s="36">
        <v>0</v>
      </c>
      <c r="H1117" s="36">
        <v>0</v>
      </c>
      <c r="I1117" s="37">
        <v>24.2</v>
      </c>
    </row>
    <row r="1118" spans="1:9" x14ac:dyDescent="0.2">
      <c r="A1118" s="9"/>
      <c r="B1118" s="2" t="s">
        <v>157</v>
      </c>
      <c r="C1118" s="13">
        <v>45693</v>
      </c>
      <c r="D1118" s="2">
        <v>477</v>
      </c>
      <c r="E1118" s="35">
        <v>536.94000000000005</v>
      </c>
      <c r="F1118" s="36">
        <v>0</v>
      </c>
      <c r="G1118" s="36">
        <v>0</v>
      </c>
      <c r="H1118" s="36">
        <v>0</v>
      </c>
      <c r="I1118" s="37">
        <v>536.94000000000005</v>
      </c>
    </row>
    <row r="1119" spans="1:9" x14ac:dyDescent="0.2">
      <c r="A1119" s="9"/>
      <c r="B1119" s="2" t="s">
        <v>475</v>
      </c>
      <c r="C1119" s="13">
        <v>45702</v>
      </c>
      <c r="D1119" s="2">
        <v>468</v>
      </c>
      <c r="E1119" s="35">
        <v>242</v>
      </c>
      <c r="F1119" s="36">
        <v>0</v>
      </c>
      <c r="G1119" s="36">
        <v>0</v>
      </c>
      <c r="H1119" s="36">
        <v>0</v>
      </c>
      <c r="I1119" s="37">
        <v>242</v>
      </c>
    </row>
    <row r="1120" spans="1:9" x14ac:dyDescent="0.2">
      <c r="A1120" s="9"/>
      <c r="B1120" s="2" t="s">
        <v>169</v>
      </c>
      <c r="C1120" s="13">
        <v>45702</v>
      </c>
      <c r="D1120" s="2">
        <v>468</v>
      </c>
      <c r="E1120" s="35">
        <v>24.2</v>
      </c>
      <c r="F1120" s="36">
        <v>0</v>
      </c>
      <c r="G1120" s="36">
        <v>0</v>
      </c>
      <c r="H1120" s="36">
        <v>0</v>
      </c>
      <c r="I1120" s="37">
        <v>24.2</v>
      </c>
    </row>
    <row r="1121" spans="1:9" x14ac:dyDescent="0.2">
      <c r="A1121" s="9"/>
      <c r="B1121" s="2" t="s">
        <v>749</v>
      </c>
      <c r="C1121" s="13">
        <v>45721</v>
      </c>
      <c r="D1121" s="2">
        <v>449</v>
      </c>
      <c r="E1121" s="35">
        <v>242</v>
      </c>
      <c r="F1121" s="36">
        <v>0</v>
      </c>
      <c r="G1121" s="36">
        <v>0</v>
      </c>
      <c r="H1121" s="36">
        <v>0</v>
      </c>
      <c r="I1121" s="37">
        <v>242</v>
      </c>
    </row>
    <row r="1122" spans="1:9" x14ac:dyDescent="0.2">
      <c r="A1122" s="9"/>
      <c r="B1122" s="2" t="s">
        <v>110</v>
      </c>
      <c r="C1122" s="13">
        <v>45721</v>
      </c>
      <c r="D1122" s="2">
        <v>449</v>
      </c>
      <c r="E1122" s="35">
        <v>24.2</v>
      </c>
      <c r="F1122" s="36">
        <v>0</v>
      </c>
      <c r="G1122" s="36">
        <v>0</v>
      </c>
      <c r="H1122" s="36">
        <v>0</v>
      </c>
      <c r="I1122" s="37">
        <v>24.2</v>
      </c>
    </row>
    <row r="1123" spans="1:9" x14ac:dyDescent="0.2">
      <c r="A1123" s="9"/>
      <c r="B1123" s="2" t="s">
        <v>367</v>
      </c>
      <c r="C1123" s="13">
        <v>45751</v>
      </c>
      <c r="D1123" s="2">
        <v>419</v>
      </c>
      <c r="E1123" s="35">
        <v>242</v>
      </c>
      <c r="F1123" s="36">
        <v>0</v>
      </c>
      <c r="G1123" s="36">
        <v>0</v>
      </c>
      <c r="H1123" s="36">
        <v>0</v>
      </c>
      <c r="I1123" s="37">
        <v>242</v>
      </c>
    </row>
    <row r="1124" spans="1:9" x14ac:dyDescent="0.2">
      <c r="A1124" s="9"/>
      <c r="B1124" s="2" t="s">
        <v>14</v>
      </c>
      <c r="C1124" s="13">
        <v>45751</v>
      </c>
      <c r="D1124" s="2">
        <v>419</v>
      </c>
      <c r="E1124" s="35">
        <v>24.2</v>
      </c>
      <c r="F1124" s="36">
        <v>0</v>
      </c>
      <c r="G1124" s="36">
        <v>0</v>
      </c>
      <c r="H1124" s="36">
        <v>0</v>
      </c>
      <c r="I1124" s="37">
        <v>24.2</v>
      </c>
    </row>
    <row r="1125" spans="1:9" x14ac:dyDescent="0.2">
      <c r="A1125" s="9"/>
      <c r="B1125" s="2" t="s">
        <v>366</v>
      </c>
      <c r="C1125" s="13">
        <v>45756</v>
      </c>
      <c r="D1125" s="2">
        <v>414</v>
      </c>
      <c r="E1125" s="35">
        <v>605</v>
      </c>
      <c r="F1125" s="36">
        <v>0</v>
      </c>
      <c r="G1125" s="36">
        <v>0</v>
      </c>
      <c r="H1125" s="36">
        <v>0</v>
      </c>
      <c r="I1125" s="37">
        <v>605</v>
      </c>
    </row>
    <row r="1126" spans="1:9" x14ac:dyDescent="0.2">
      <c r="A1126" s="9"/>
      <c r="B1126" s="2" t="s">
        <v>240</v>
      </c>
      <c r="C1126" s="13">
        <v>45780</v>
      </c>
      <c r="D1126" s="2">
        <v>390</v>
      </c>
      <c r="E1126" s="35">
        <v>242</v>
      </c>
      <c r="F1126" s="36">
        <v>0</v>
      </c>
      <c r="G1126" s="36">
        <v>0</v>
      </c>
      <c r="H1126" s="36">
        <v>0</v>
      </c>
      <c r="I1126" s="37">
        <v>242</v>
      </c>
    </row>
    <row r="1127" spans="1:9" x14ac:dyDescent="0.2">
      <c r="A1127" s="9"/>
      <c r="B1127" s="2" t="s">
        <v>560</v>
      </c>
      <c r="C1127" s="13">
        <v>45780</v>
      </c>
      <c r="D1127" s="2">
        <v>390</v>
      </c>
      <c r="E1127" s="35">
        <v>24.2</v>
      </c>
      <c r="F1127" s="36">
        <v>0</v>
      </c>
      <c r="G1127" s="36">
        <v>0</v>
      </c>
      <c r="H1127" s="36">
        <v>0</v>
      </c>
      <c r="I1127" s="37">
        <v>24.2</v>
      </c>
    </row>
    <row r="1128" spans="1:9" x14ac:dyDescent="0.2">
      <c r="A1128" s="11" t="s">
        <v>1429</v>
      </c>
      <c r="B1128" s="12"/>
      <c r="C1128" s="12"/>
      <c r="D1128" s="12"/>
      <c r="E1128" s="38">
        <v>23347.620000000017</v>
      </c>
      <c r="F1128" s="39">
        <v>0</v>
      </c>
      <c r="G1128" s="39">
        <v>605</v>
      </c>
      <c r="H1128" s="39">
        <v>0</v>
      </c>
      <c r="I1128" s="40">
        <v>22742.620000000014</v>
      </c>
    </row>
    <row r="1129" spans="1:9" x14ac:dyDescent="0.2">
      <c r="A1129" s="2" t="s">
        <v>692</v>
      </c>
      <c r="B1129" s="2" t="s">
        <v>59</v>
      </c>
      <c r="C1129" s="13">
        <v>46124</v>
      </c>
      <c r="D1129" s="2">
        <v>46</v>
      </c>
      <c r="E1129" s="35">
        <v>453.75</v>
      </c>
      <c r="F1129" s="36">
        <v>0</v>
      </c>
      <c r="G1129" s="36">
        <v>453.75</v>
      </c>
      <c r="H1129" s="36">
        <v>0</v>
      </c>
      <c r="I1129" s="37">
        <v>0</v>
      </c>
    </row>
    <row r="1130" spans="1:9" x14ac:dyDescent="0.2">
      <c r="A1130" s="9"/>
      <c r="B1130" s="2" t="s">
        <v>54</v>
      </c>
      <c r="C1130" s="13">
        <v>46124</v>
      </c>
      <c r="D1130" s="2">
        <v>46</v>
      </c>
      <c r="E1130" s="35">
        <v>544.5</v>
      </c>
      <c r="F1130" s="36">
        <v>0</v>
      </c>
      <c r="G1130" s="36">
        <v>544.5</v>
      </c>
      <c r="H1130" s="36">
        <v>0</v>
      </c>
      <c r="I1130" s="37">
        <v>0</v>
      </c>
    </row>
    <row r="1131" spans="1:9" x14ac:dyDescent="0.2">
      <c r="A1131" s="11" t="s">
        <v>1430</v>
      </c>
      <c r="B1131" s="12"/>
      <c r="C1131" s="12"/>
      <c r="D1131" s="12"/>
      <c r="E1131" s="38">
        <v>998.25</v>
      </c>
      <c r="F1131" s="39">
        <v>0</v>
      </c>
      <c r="G1131" s="39">
        <v>998.25</v>
      </c>
      <c r="H1131" s="39">
        <v>0</v>
      </c>
      <c r="I1131" s="40">
        <v>0</v>
      </c>
    </row>
    <row r="1132" spans="1:9" x14ac:dyDescent="0.2">
      <c r="A1132" s="2" t="s">
        <v>991</v>
      </c>
      <c r="B1132" s="2" t="s">
        <v>474</v>
      </c>
      <c r="C1132" s="13">
        <v>45702</v>
      </c>
      <c r="D1132" s="2">
        <v>468</v>
      </c>
      <c r="E1132" s="35">
        <v>242</v>
      </c>
      <c r="F1132" s="36">
        <v>0</v>
      </c>
      <c r="G1132" s="36">
        <v>0</v>
      </c>
      <c r="H1132" s="36">
        <v>0</v>
      </c>
      <c r="I1132" s="37">
        <v>242</v>
      </c>
    </row>
    <row r="1133" spans="1:9" x14ac:dyDescent="0.2">
      <c r="A1133" s="11" t="s">
        <v>1431</v>
      </c>
      <c r="B1133" s="12"/>
      <c r="C1133" s="12"/>
      <c r="D1133" s="12"/>
      <c r="E1133" s="38">
        <v>242</v>
      </c>
      <c r="F1133" s="39">
        <v>0</v>
      </c>
      <c r="G1133" s="39">
        <v>0</v>
      </c>
      <c r="H1133" s="39">
        <v>0</v>
      </c>
      <c r="I1133" s="40">
        <v>242</v>
      </c>
    </row>
    <row r="1134" spans="1:9" x14ac:dyDescent="0.2">
      <c r="A1134" s="2" t="s">
        <v>1226</v>
      </c>
      <c r="B1134" s="2" t="s">
        <v>97</v>
      </c>
      <c r="C1134" s="13">
        <v>43251</v>
      </c>
      <c r="D1134" s="2">
        <v>2919</v>
      </c>
      <c r="E1134" s="35">
        <v>605.01</v>
      </c>
      <c r="F1134" s="36">
        <v>0</v>
      </c>
      <c r="G1134" s="36">
        <v>0</v>
      </c>
      <c r="H1134" s="36">
        <v>0</v>
      </c>
      <c r="I1134" s="37">
        <v>605.01</v>
      </c>
    </row>
    <row r="1135" spans="1:9" x14ac:dyDescent="0.2">
      <c r="A1135" s="9"/>
      <c r="B1135" s="2" t="s">
        <v>852</v>
      </c>
      <c r="C1135" s="13">
        <v>43251</v>
      </c>
      <c r="D1135" s="2">
        <v>2919</v>
      </c>
      <c r="E1135" s="35">
        <v>605.01</v>
      </c>
      <c r="F1135" s="36">
        <v>0</v>
      </c>
      <c r="G1135" s="36">
        <v>0</v>
      </c>
      <c r="H1135" s="36">
        <v>0</v>
      </c>
      <c r="I1135" s="37">
        <v>605.01</v>
      </c>
    </row>
    <row r="1136" spans="1:9" x14ac:dyDescent="0.2">
      <c r="A1136" s="9"/>
      <c r="B1136" s="2" t="s">
        <v>861</v>
      </c>
      <c r="C1136" s="13">
        <v>43475</v>
      </c>
      <c r="D1136" s="2">
        <v>2695</v>
      </c>
      <c r="E1136" s="35">
        <v>264.69</v>
      </c>
      <c r="F1136" s="36">
        <v>0</v>
      </c>
      <c r="G1136" s="36">
        <v>0</v>
      </c>
      <c r="H1136" s="36">
        <v>0</v>
      </c>
      <c r="I1136" s="37">
        <v>264.69</v>
      </c>
    </row>
    <row r="1137" spans="1:9" x14ac:dyDescent="0.2">
      <c r="A1137" s="11" t="s">
        <v>1432</v>
      </c>
      <c r="B1137" s="12"/>
      <c r="C1137" s="12"/>
      <c r="D1137" s="12"/>
      <c r="E1137" s="38">
        <v>1474.71</v>
      </c>
      <c r="F1137" s="39">
        <v>0</v>
      </c>
      <c r="G1137" s="39">
        <v>0</v>
      </c>
      <c r="H1137" s="39">
        <v>0</v>
      </c>
      <c r="I1137" s="40">
        <v>1474.71</v>
      </c>
    </row>
    <row r="1138" spans="1:9" x14ac:dyDescent="0.2">
      <c r="A1138" s="2" t="s">
        <v>1006</v>
      </c>
      <c r="B1138" s="2" t="s">
        <v>843</v>
      </c>
      <c r="C1138" s="13">
        <v>43936</v>
      </c>
      <c r="D1138" s="2">
        <v>2234</v>
      </c>
      <c r="E1138" s="35">
        <v>30.25</v>
      </c>
      <c r="F1138" s="36">
        <v>0</v>
      </c>
      <c r="G1138" s="36">
        <v>0</v>
      </c>
      <c r="H1138" s="36">
        <v>0</v>
      </c>
      <c r="I1138" s="37">
        <v>30.25</v>
      </c>
    </row>
    <row r="1139" spans="1:9" x14ac:dyDescent="0.2">
      <c r="A1139" s="9"/>
      <c r="B1139" s="2" t="s">
        <v>1228</v>
      </c>
      <c r="C1139" s="13">
        <v>43963</v>
      </c>
      <c r="D1139" s="2">
        <v>2207</v>
      </c>
      <c r="E1139" s="35">
        <v>30.25</v>
      </c>
      <c r="F1139" s="36">
        <v>0</v>
      </c>
      <c r="G1139" s="36">
        <v>0</v>
      </c>
      <c r="H1139" s="36">
        <v>0</v>
      </c>
      <c r="I1139" s="37">
        <v>30.25</v>
      </c>
    </row>
    <row r="1140" spans="1:9" x14ac:dyDescent="0.2">
      <c r="A1140" s="9"/>
      <c r="B1140" s="2" t="s">
        <v>720</v>
      </c>
      <c r="C1140" s="13">
        <v>44124</v>
      </c>
      <c r="D1140" s="2">
        <v>2046</v>
      </c>
      <c r="E1140" s="35">
        <v>30.25</v>
      </c>
      <c r="F1140" s="36">
        <v>0</v>
      </c>
      <c r="G1140" s="36">
        <v>0</v>
      </c>
      <c r="H1140" s="36">
        <v>0</v>
      </c>
      <c r="I1140" s="37">
        <v>30.25</v>
      </c>
    </row>
    <row r="1141" spans="1:9" x14ac:dyDescent="0.2">
      <c r="A1141" s="9"/>
      <c r="B1141" s="2" t="s">
        <v>231</v>
      </c>
      <c r="C1141" s="13">
        <v>44152</v>
      </c>
      <c r="D1141" s="2">
        <v>2018</v>
      </c>
      <c r="E1141" s="35">
        <v>30.25</v>
      </c>
      <c r="F1141" s="36">
        <v>0</v>
      </c>
      <c r="G1141" s="36">
        <v>0</v>
      </c>
      <c r="H1141" s="36">
        <v>0</v>
      </c>
      <c r="I1141" s="37">
        <v>30.25</v>
      </c>
    </row>
    <row r="1142" spans="1:9" x14ac:dyDescent="0.2">
      <c r="A1142" s="9"/>
      <c r="B1142" s="2" t="s">
        <v>440</v>
      </c>
      <c r="C1142" s="13">
        <v>44180</v>
      </c>
      <c r="D1142" s="2">
        <v>1990</v>
      </c>
      <c r="E1142" s="35">
        <v>30.25</v>
      </c>
      <c r="F1142" s="36">
        <v>0</v>
      </c>
      <c r="G1142" s="36">
        <v>0</v>
      </c>
      <c r="H1142" s="36">
        <v>0</v>
      </c>
      <c r="I1142" s="37">
        <v>30.25</v>
      </c>
    </row>
    <row r="1143" spans="1:9" x14ac:dyDescent="0.2">
      <c r="A1143" s="9"/>
      <c r="B1143" s="2" t="s">
        <v>1290</v>
      </c>
      <c r="C1143" s="13">
        <v>44271</v>
      </c>
      <c r="D1143" s="2">
        <v>1899</v>
      </c>
      <c r="E1143" s="35">
        <v>30.25</v>
      </c>
      <c r="F1143" s="36">
        <v>0</v>
      </c>
      <c r="G1143" s="36">
        <v>0</v>
      </c>
      <c r="H1143" s="36">
        <v>0</v>
      </c>
      <c r="I1143" s="37">
        <v>30.25</v>
      </c>
    </row>
    <row r="1144" spans="1:9" x14ac:dyDescent="0.2">
      <c r="A1144" s="11" t="s">
        <v>1433</v>
      </c>
      <c r="B1144" s="12"/>
      <c r="C1144" s="12"/>
      <c r="D1144" s="12"/>
      <c r="E1144" s="38">
        <v>181.5</v>
      </c>
      <c r="F1144" s="39">
        <v>0</v>
      </c>
      <c r="G1144" s="39">
        <v>0</v>
      </c>
      <c r="H1144" s="39">
        <v>0</v>
      </c>
      <c r="I1144" s="40">
        <v>181.5</v>
      </c>
    </row>
    <row r="1145" spans="1:9" x14ac:dyDescent="0.2">
      <c r="A1145" s="2" t="s">
        <v>878</v>
      </c>
      <c r="B1145" s="2" t="s">
        <v>1117</v>
      </c>
      <c r="C1145" s="13">
        <v>45658</v>
      </c>
      <c r="D1145" s="2">
        <v>512</v>
      </c>
      <c r="E1145" s="35">
        <v>266.2</v>
      </c>
      <c r="F1145" s="36">
        <v>0</v>
      </c>
      <c r="G1145" s="36">
        <v>0</v>
      </c>
      <c r="H1145" s="36">
        <v>0</v>
      </c>
      <c r="I1145" s="37">
        <v>266.2</v>
      </c>
    </row>
    <row r="1146" spans="1:9" x14ac:dyDescent="0.2">
      <c r="A1146" s="9"/>
      <c r="B1146" s="2" t="s">
        <v>670</v>
      </c>
      <c r="C1146" s="13">
        <v>45687</v>
      </c>
      <c r="D1146" s="2">
        <v>483</v>
      </c>
      <c r="E1146" s="35">
        <v>1331</v>
      </c>
      <c r="F1146" s="36">
        <v>0</v>
      </c>
      <c r="G1146" s="36">
        <v>0</v>
      </c>
      <c r="H1146" s="36">
        <v>0</v>
      </c>
      <c r="I1146" s="37">
        <v>1331</v>
      </c>
    </row>
    <row r="1147" spans="1:9" x14ac:dyDescent="0.2">
      <c r="A1147" s="9"/>
      <c r="B1147" s="2" t="s">
        <v>148</v>
      </c>
      <c r="C1147" s="13">
        <v>45707</v>
      </c>
      <c r="D1147" s="2">
        <v>463</v>
      </c>
      <c r="E1147" s="35">
        <v>30.25</v>
      </c>
      <c r="F1147" s="36">
        <v>0</v>
      </c>
      <c r="G1147" s="36">
        <v>0</v>
      </c>
      <c r="H1147" s="36">
        <v>0</v>
      </c>
      <c r="I1147" s="37">
        <v>30.25</v>
      </c>
    </row>
    <row r="1148" spans="1:9" x14ac:dyDescent="0.2">
      <c r="A1148" s="11" t="s">
        <v>1434</v>
      </c>
      <c r="B1148" s="12"/>
      <c r="C1148" s="12"/>
      <c r="D1148" s="12"/>
      <c r="E1148" s="38">
        <v>1627.45</v>
      </c>
      <c r="F1148" s="39">
        <v>0</v>
      </c>
      <c r="G1148" s="39">
        <v>0</v>
      </c>
      <c r="H1148" s="39">
        <v>0</v>
      </c>
      <c r="I1148" s="40">
        <v>1627.45</v>
      </c>
    </row>
    <row r="1149" spans="1:9" x14ac:dyDescent="0.2">
      <c r="A1149" s="2" t="s">
        <v>510</v>
      </c>
      <c r="B1149" s="2" t="s">
        <v>527</v>
      </c>
      <c r="C1149" s="13">
        <v>46118</v>
      </c>
      <c r="D1149" s="2">
        <v>52</v>
      </c>
      <c r="E1149" s="35">
        <v>605</v>
      </c>
      <c r="F1149" s="36">
        <v>0</v>
      </c>
      <c r="G1149" s="36">
        <v>605</v>
      </c>
      <c r="H1149" s="36">
        <v>0</v>
      </c>
      <c r="I1149" s="37">
        <v>0</v>
      </c>
    </row>
    <row r="1150" spans="1:9" x14ac:dyDescent="0.2">
      <c r="A1150" s="9"/>
      <c r="B1150" s="2" t="s">
        <v>116</v>
      </c>
      <c r="C1150" s="13">
        <v>46122</v>
      </c>
      <c r="D1150" s="2">
        <v>48</v>
      </c>
      <c r="E1150" s="35">
        <v>585.34</v>
      </c>
      <c r="F1150" s="36">
        <v>0</v>
      </c>
      <c r="G1150" s="36">
        <v>585.34</v>
      </c>
      <c r="H1150" s="36">
        <v>0</v>
      </c>
      <c r="I1150" s="37">
        <v>0</v>
      </c>
    </row>
    <row r="1151" spans="1:9" x14ac:dyDescent="0.2">
      <c r="A1151" s="9"/>
      <c r="B1151" s="2" t="s">
        <v>117</v>
      </c>
      <c r="C1151" s="13">
        <v>46122</v>
      </c>
      <c r="D1151" s="2">
        <v>48</v>
      </c>
      <c r="E1151" s="35">
        <v>605</v>
      </c>
      <c r="F1151" s="36">
        <v>0</v>
      </c>
      <c r="G1151" s="36">
        <v>605</v>
      </c>
      <c r="H1151" s="36">
        <v>0</v>
      </c>
      <c r="I1151" s="37">
        <v>0</v>
      </c>
    </row>
    <row r="1152" spans="1:9" x14ac:dyDescent="0.2">
      <c r="A1152" s="9"/>
      <c r="B1152" s="2" t="s">
        <v>923</v>
      </c>
      <c r="C1152" s="13">
        <v>45614</v>
      </c>
      <c r="D1152" s="2">
        <v>556</v>
      </c>
      <c r="E1152" s="35">
        <v>363</v>
      </c>
      <c r="F1152" s="36">
        <v>0</v>
      </c>
      <c r="G1152" s="36">
        <v>0</v>
      </c>
      <c r="H1152" s="36">
        <v>0</v>
      </c>
      <c r="I1152" s="37">
        <v>363</v>
      </c>
    </row>
    <row r="1153" spans="1:9" x14ac:dyDescent="0.2">
      <c r="A1153" s="9"/>
      <c r="B1153" s="2" t="s">
        <v>1197</v>
      </c>
      <c r="C1153" s="13">
        <v>45642</v>
      </c>
      <c r="D1153" s="2">
        <v>528</v>
      </c>
      <c r="E1153" s="35">
        <v>363</v>
      </c>
      <c r="F1153" s="36">
        <v>0</v>
      </c>
      <c r="G1153" s="36">
        <v>0</v>
      </c>
      <c r="H1153" s="36">
        <v>0</v>
      </c>
      <c r="I1153" s="37">
        <v>363</v>
      </c>
    </row>
    <row r="1154" spans="1:9" x14ac:dyDescent="0.2">
      <c r="A1154" s="9"/>
      <c r="B1154" s="2" t="s">
        <v>576</v>
      </c>
      <c r="C1154" s="13">
        <v>45687</v>
      </c>
      <c r="D1154" s="2">
        <v>483</v>
      </c>
      <c r="E1154" s="35">
        <v>30.25</v>
      </c>
      <c r="F1154" s="36">
        <v>0</v>
      </c>
      <c r="G1154" s="36">
        <v>0</v>
      </c>
      <c r="H1154" s="36">
        <v>0</v>
      </c>
      <c r="I1154" s="37">
        <v>30.25</v>
      </c>
    </row>
    <row r="1155" spans="1:9" x14ac:dyDescent="0.2">
      <c r="A1155" s="9"/>
      <c r="B1155" s="2" t="s">
        <v>894</v>
      </c>
      <c r="C1155" s="13">
        <v>45740</v>
      </c>
      <c r="D1155" s="2">
        <v>430</v>
      </c>
      <c r="E1155" s="35">
        <v>605</v>
      </c>
      <c r="F1155" s="36">
        <v>0</v>
      </c>
      <c r="G1155" s="36">
        <v>0</v>
      </c>
      <c r="H1155" s="36">
        <v>0</v>
      </c>
      <c r="I1155" s="37">
        <v>605</v>
      </c>
    </row>
    <row r="1156" spans="1:9" x14ac:dyDescent="0.2">
      <c r="A1156" s="11" t="s">
        <v>1435</v>
      </c>
      <c r="B1156" s="12"/>
      <c r="C1156" s="12"/>
      <c r="D1156" s="12"/>
      <c r="E1156" s="38">
        <v>3156.59</v>
      </c>
      <c r="F1156" s="39">
        <v>0</v>
      </c>
      <c r="G1156" s="39">
        <v>1795.3400000000001</v>
      </c>
      <c r="H1156" s="39">
        <v>0</v>
      </c>
      <c r="I1156" s="40">
        <v>1361.25</v>
      </c>
    </row>
    <row r="1157" spans="1:9" x14ac:dyDescent="0.2">
      <c r="A1157" s="2" t="s">
        <v>551</v>
      </c>
      <c r="B1157" s="2" t="s">
        <v>228</v>
      </c>
      <c r="C1157" s="13">
        <v>42978</v>
      </c>
      <c r="D1157" s="2">
        <v>3192</v>
      </c>
      <c r="E1157" s="35">
        <v>2571.33</v>
      </c>
      <c r="F1157" s="36">
        <v>0</v>
      </c>
      <c r="G1157" s="36">
        <v>0</v>
      </c>
      <c r="H1157" s="36">
        <v>0</v>
      </c>
      <c r="I1157" s="37">
        <v>2571.33</v>
      </c>
    </row>
    <row r="1158" spans="1:9" x14ac:dyDescent="0.2">
      <c r="A1158" s="11" t="s">
        <v>1436</v>
      </c>
      <c r="B1158" s="12"/>
      <c r="C1158" s="12"/>
      <c r="D1158" s="12"/>
      <c r="E1158" s="38">
        <v>2571.33</v>
      </c>
      <c r="F1158" s="39">
        <v>0</v>
      </c>
      <c r="G1158" s="39">
        <v>0</v>
      </c>
      <c r="H1158" s="39">
        <v>0</v>
      </c>
      <c r="I1158" s="40">
        <v>2571.33</v>
      </c>
    </row>
    <row r="1159" spans="1:9" x14ac:dyDescent="0.2">
      <c r="A1159" s="2" t="s">
        <v>624</v>
      </c>
      <c r="B1159" s="2" t="s">
        <v>1221</v>
      </c>
      <c r="C1159" s="13">
        <v>46163</v>
      </c>
      <c r="D1159" s="2">
        <v>7</v>
      </c>
      <c r="E1159" s="35">
        <v>272.25</v>
      </c>
      <c r="F1159" s="36">
        <v>272.25</v>
      </c>
      <c r="G1159" s="36">
        <v>0</v>
      </c>
      <c r="H1159" s="36">
        <v>0</v>
      </c>
      <c r="I1159" s="37">
        <v>0</v>
      </c>
    </row>
    <row r="1160" spans="1:9" x14ac:dyDescent="0.2">
      <c r="A1160" s="11" t="s">
        <v>1437</v>
      </c>
      <c r="B1160" s="12"/>
      <c r="C1160" s="12"/>
      <c r="D1160" s="12"/>
      <c r="E1160" s="38">
        <v>272.25</v>
      </c>
      <c r="F1160" s="39">
        <v>272.25</v>
      </c>
      <c r="G1160" s="39">
        <v>0</v>
      </c>
      <c r="H1160" s="39">
        <v>0</v>
      </c>
      <c r="I1160" s="40">
        <v>0</v>
      </c>
    </row>
    <row r="1161" spans="1:9" x14ac:dyDescent="0.2">
      <c r="A1161" s="2" t="s">
        <v>903</v>
      </c>
      <c r="B1161" s="2" t="s">
        <v>850</v>
      </c>
      <c r="C1161" s="13">
        <v>43879</v>
      </c>
      <c r="D1161" s="2">
        <v>2291</v>
      </c>
      <c r="E1161" s="35">
        <v>185.27</v>
      </c>
      <c r="F1161" s="36">
        <v>0</v>
      </c>
      <c r="G1161" s="36">
        <v>0</v>
      </c>
      <c r="H1161" s="36">
        <v>0</v>
      </c>
      <c r="I1161" s="37">
        <v>185.27</v>
      </c>
    </row>
    <row r="1162" spans="1:9" x14ac:dyDescent="0.2">
      <c r="A1162" s="9"/>
      <c r="B1162" s="2" t="s">
        <v>998</v>
      </c>
      <c r="C1162" s="13">
        <v>43894</v>
      </c>
      <c r="D1162" s="2">
        <v>2276</v>
      </c>
      <c r="E1162" s="35">
        <v>30.25</v>
      </c>
      <c r="F1162" s="36">
        <v>0</v>
      </c>
      <c r="G1162" s="36">
        <v>0</v>
      </c>
      <c r="H1162" s="36">
        <v>0</v>
      </c>
      <c r="I1162" s="37">
        <v>30.25</v>
      </c>
    </row>
    <row r="1163" spans="1:9" x14ac:dyDescent="0.2">
      <c r="A1163" s="9"/>
      <c r="B1163" s="2" t="s">
        <v>63</v>
      </c>
      <c r="C1163" s="13">
        <v>43907</v>
      </c>
      <c r="D1163" s="2">
        <v>2263</v>
      </c>
      <c r="E1163" s="35">
        <v>240.79</v>
      </c>
      <c r="F1163" s="36">
        <v>0</v>
      </c>
      <c r="G1163" s="36">
        <v>0</v>
      </c>
      <c r="H1163" s="36">
        <v>0</v>
      </c>
      <c r="I1163" s="37">
        <v>240.79</v>
      </c>
    </row>
    <row r="1164" spans="1:9" x14ac:dyDescent="0.2">
      <c r="A1164" s="9"/>
      <c r="B1164" s="2" t="s">
        <v>892</v>
      </c>
      <c r="C1164" s="13">
        <v>43913</v>
      </c>
      <c r="D1164" s="2">
        <v>2257</v>
      </c>
      <c r="E1164" s="35">
        <v>30.25</v>
      </c>
      <c r="F1164" s="36">
        <v>0</v>
      </c>
      <c r="G1164" s="36">
        <v>0</v>
      </c>
      <c r="H1164" s="36">
        <v>0</v>
      </c>
      <c r="I1164" s="37">
        <v>30.25</v>
      </c>
    </row>
    <row r="1165" spans="1:9" x14ac:dyDescent="0.2">
      <c r="A1165" s="9"/>
      <c r="B1165" s="2" t="s">
        <v>765</v>
      </c>
      <c r="C1165" s="13">
        <v>43942</v>
      </c>
      <c r="D1165" s="2">
        <v>2228</v>
      </c>
      <c r="E1165" s="35">
        <v>240.79</v>
      </c>
      <c r="F1165" s="36">
        <v>0</v>
      </c>
      <c r="G1165" s="36">
        <v>0</v>
      </c>
      <c r="H1165" s="36">
        <v>0</v>
      </c>
      <c r="I1165" s="37">
        <v>240.79</v>
      </c>
    </row>
    <row r="1166" spans="1:9" x14ac:dyDescent="0.2">
      <c r="A1166" s="9"/>
      <c r="B1166" s="2" t="s">
        <v>439</v>
      </c>
      <c r="C1166" s="13">
        <v>44180</v>
      </c>
      <c r="D1166" s="2">
        <v>1990</v>
      </c>
      <c r="E1166" s="35">
        <v>30.25</v>
      </c>
      <c r="F1166" s="36">
        <v>0</v>
      </c>
      <c r="G1166" s="36">
        <v>0</v>
      </c>
      <c r="H1166" s="36">
        <v>0</v>
      </c>
      <c r="I1166" s="37">
        <v>30.25</v>
      </c>
    </row>
    <row r="1167" spans="1:9" x14ac:dyDescent="0.2">
      <c r="A1167" s="11" t="s">
        <v>1438</v>
      </c>
      <c r="B1167" s="12"/>
      <c r="C1167" s="12"/>
      <c r="D1167" s="12"/>
      <c r="E1167" s="38">
        <v>757.6</v>
      </c>
      <c r="F1167" s="39">
        <v>0</v>
      </c>
      <c r="G1167" s="39">
        <v>0</v>
      </c>
      <c r="H1167" s="39">
        <v>0</v>
      </c>
      <c r="I1167" s="40">
        <v>757.6</v>
      </c>
    </row>
    <row r="1168" spans="1:9" x14ac:dyDescent="0.2">
      <c r="A1168" s="2" t="s">
        <v>40</v>
      </c>
      <c r="B1168" s="2" t="s">
        <v>94</v>
      </c>
      <c r="C1168" s="13">
        <v>46085</v>
      </c>
      <c r="D1168" s="2">
        <v>85</v>
      </c>
      <c r="E1168" s="35">
        <v>356.95</v>
      </c>
      <c r="F1168" s="36">
        <v>0</v>
      </c>
      <c r="G1168" s="36">
        <v>0</v>
      </c>
      <c r="H1168" s="36">
        <v>356.95</v>
      </c>
      <c r="I1168" s="37">
        <v>0</v>
      </c>
    </row>
    <row r="1169" spans="1:9" x14ac:dyDescent="0.2">
      <c r="A1169" s="9"/>
      <c r="B1169" s="2" t="s">
        <v>1141</v>
      </c>
      <c r="C1169" s="13">
        <v>46115</v>
      </c>
      <c r="D1169" s="2">
        <v>55</v>
      </c>
      <c r="E1169" s="35">
        <v>356.95</v>
      </c>
      <c r="F1169" s="36">
        <v>0</v>
      </c>
      <c r="G1169" s="36">
        <v>356.95</v>
      </c>
      <c r="H1169" s="36">
        <v>0</v>
      </c>
      <c r="I1169" s="37">
        <v>0</v>
      </c>
    </row>
    <row r="1170" spans="1:9" x14ac:dyDescent="0.2">
      <c r="A1170" s="9"/>
      <c r="B1170" s="2" t="s">
        <v>625</v>
      </c>
      <c r="C1170" s="13">
        <v>46148</v>
      </c>
      <c r="D1170" s="2">
        <v>22</v>
      </c>
      <c r="E1170" s="35">
        <v>356.95</v>
      </c>
      <c r="F1170" s="36">
        <v>356.95</v>
      </c>
      <c r="G1170" s="36">
        <v>0</v>
      </c>
      <c r="H1170" s="36">
        <v>0</v>
      </c>
      <c r="I1170" s="37">
        <v>0</v>
      </c>
    </row>
    <row r="1171" spans="1:9" x14ac:dyDescent="0.2">
      <c r="A1171" s="11" t="s">
        <v>1439</v>
      </c>
      <c r="B1171" s="12"/>
      <c r="C1171" s="12"/>
      <c r="D1171" s="12"/>
      <c r="E1171" s="38">
        <v>1070.8499999999999</v>
      </c>
      <c r="F1171" s="39">
        <v>356.95</v>
      </c>
      <c r="G1171" s="39">
        <v>356.95</v>
      </c>
      <c r="H1171" s="39">
        <v>356.95</v>
      </c>
      <c r="I1171" s="40">
        <v>0</v>
      </c>
    </row>
    <row r="1172" spans="1:9" x14ac:dyDescent="0.2">
      <c r="A1172" s="2" t="s">
        <v>72</v>
      </c>
      <c r="B1172" s="2" t="s">
        <v>924</v>
      </c>
      <c r="C1172" s="13">
        <v>43879</v>
      </c>
      <c r="D1172" s="2">
        <v>2291</v>
      </c>
      <c r="E1172" s="35">
        <v>102.11</v>
      </c>
      <c r="F1172" s="36">
        <v>0</v>
      </c>
      <c r="G1172" s="36">
        <v>0</v>
      </c>
      <c r="H1172" s="36">
        <v>0</v>
      </c>
      <c r="I1172" s="37">
        <v>102.11</v>
      </c>
    </row>
    <row r="1173" spans="1:9" x14ac:dyDescent="0.2">
      <c r="A1173" s="9"/>
      <c r="B1173" s="2" t="s">
        <v>846</v>
      </c>
      <c r="C1173" s="13">
        <v>43894</v>
      </c>
      <c r="D1173" s="2">
        <v>2276</v>
      </c>
      <c r="E1173" s="35">
        <v>30.25</v>
      </c>
      <c r="F1173" s="36">
        <v>0</v>
      </c>
      <c r="G1173" s="36">
        <v>0</v>
      </c>
      <c r="H1173" s="36">
        <v>0</v>
      </c>
      <c r="I1173" s="37">
        <v>30.25</v>
      </c>
    </row>
    <row r="1174" spans="1:9" x14ac:dyDescent="0.2">
      <c r="A1174" s="9"/>
      <c r="B1174" s="2" t="s">
        <v>881</v>
      </c>
      <c r="C1174" s="13">
        <v>43907</v>
      </c>
      <c r="D1174" s="2">
        <v>2263</v>
      </c>
      <c r="E1174" s="35">
        <v>117.37</v>
      </c>
      <c r="F1174" s="36">
        <v>0</v>
      </c>
      <c r="G1174" s="36">
        <v>0</v>
      </c>
      <c r="H1174" s="36">
        <v>0</v>
      </c>
      <c r="I1174" s="37">
        <v>117.37</v>
      </c>
    </row>
    <row r="1175" spans="1:9" x14ac:dyDescent="0.2">
      <c r="A1175" s="9"/>
      <c r="B1175" s="2" t="s">
        <v>567</v>
      </c>
      <c r="C1175" s="13">
        <v>43913</v>
      </c>
      <c r="D1175" s="2">
        <v>2257</v>
      </c>
      <c r="E1175" s="35">
        <v>30.25</v>
      </c>
      <c r="F1175" s="36">
        <v>0</v>
      </c>
      <c r="G1175" s="36">
        <v>0</v>
      </c>
      <c r="H1175" s="36">
        <v>0</v>
      </c>
      <c r="I1175" s="37">
        <v>30.25</v>
      </c>
    </row>
    <row r="1176" spans="1:9" x14ac:dyDescent="0.2">
      <c r="A1176" s="9"/>
      <c r="B1176" s="2" t="s">
        <v>76</v>
      </c>
      <c r="C1176" s="13">
        <v>43942</v>
      </c>
      <c r="D1176" s="2">
        <v>2228</v>
      </c>
      <c r="E1176" s="35">
        <v>117.37</v>
      </c>
      <c r="F1176" s="36">
        <v>0</v>
      </c>
      <c r="G1176" s="36">
        <v>0</v>
      </c>
      <c r="H1176" s="36">
        <v>0</v>
      </c>
      <c r="I1176" s="37">
        <v>117.37</v>
      </c>
    </row>
    <row r="1177" spans="1:9" x14ac:dyDescent="0.2">
      <c r="A1177" s="9"/>
      <c r="B1177" s="2" t="s">
        <v>345</v>
      </c>
      <c r="C1177" s="13">
        <v>43963</v>
      </c>
      <c r="D1177" s="2">
        <v>2207</v>
      </c>
      <c r="E1177" s="35">
        <v>30.25</v>
      </c>
      <c r="F1177" s="36">
        <v>0</v>
      </c>
      <c r="G1177" s="36">
        <v>0</v>
      </c>
      <c r="H1177" s="36">
        <v>0</v>
      </c>
      <c r="I1177" s="37">
        <v>30.25</v>
      </c>
    </row>
    <row r="1178" spans="1:9" x14ac:dyDescent="0.2">
      <c r="A1178" s="9"/>
      <c r="B1178" s="2" t="s">
        <v>90</v>
      </c>
      <c r="C1178" s="13">
        <v>43971</v>
      </c>
      <c r="D1178" s="2">
        <v>2199</v>
      </c>
      <c r="E1178" s="35">
        <v>117.37</v>
      </c>
      <c r="F1178" s="36">
        <v>0</v>
      </c>
      <c r="G1178" s="36">
        <v>0</v>
      </c>
      <c r="H1178" s="36">
        <v>0</v>
      </c>
      <c r="I1178" s="37">
        <v>117.37</v>
      </c>
    </row>
    <row r="1179" spans="1:9" x14ac:dyDescent="0.2">
      <c r="A1179" s="9"/>
      <c r="B1179" s="2" t="s">
        <v>945</v>
      </c>
      <c r="C1179" s="13">
        <v>43998</v>
      </c>
      <c r="D1179" s="2">
        <v>2172</v>
      </c>
      <c r="E1179" s="35">
        <v>117.37</v>
      </c>
      <c r="F1179" s="36">
        <v>0</v>
      </c>
      <c r="G1179" s="36">
        <v>0</v>
      </c>
      <c r="H1179" s="36">
        <v>0</v>
      </c>
      <c r="I1179" s="37">
        <v>117.37</v>
      </c>
    </row>
    <row r="1180" spans="1:9" x14ac:dyDescent="0.2">
      <c r="A1180" s="9"/>
      <c r="B1180" s="2" t="s">
        <v>790</v>
      </c>
      <c r="C1180" s="13">
        <v>44027</v>
      </c>
      <c r="D1180" s="2">
        <v>2143</v>
      </c>
      <c r="E1180" s="35">
        <v>117.37</v>
      </c>
      <c r="F1180" s="36">
        <v>0</v>
      </c>
      <c r="G1180" s="36">
        <v>0</v>
      </c>
      <c r="H1180" s="36">
        <v>0</v>
      </c>
      <c r="I1180" s="37">
        <v>117.37</v>
      </c>
    </row>
    <row r="1181" spans="1:9" x14ac:dyDescent="0.2">
      <c r="A1181" s="9"/>
      <c r="B1181" s="2" t="s">
        <v>724</v>
      </c>
      <c r="C1181" s="13">
        <v>44061</v>
      </c>
      <c r="D1181" s="2">
        <v>2109</v>
      </c>
      <c r="E1181" s="35">
        <v>117.37</v>
      </c>
      <c r="F1181" s="36">
        <v>0</v>
      </c>
      <c r="G1181" s="36">
        <v>0</v>
      </c>
      <c r="H1181" s="36">
        <v>0</v>
      </c>
      <c r="I1181" s="37">
        <v>117.37</v>
      </c>
    </row>
    <row r="1182" spans="1:9" x14ac:dyDescent="0.2">
      <c r="A1182" s="9"/>
      <c r="B1182" s="2" t="s">
        <v>222</v>
      </c>
      <c r="C1182" s="13">
        <v>44089</v>
      </c>
      <c r="D1182" s="2">
        <v>2081</v>
      </c>
      <c r="E1182" s="35">
        <v>117.37</v>
      </c>
      <c r="F1182" s="36">
        <v>0</v>
      </c>
      <c r="G1182" s="36">
        <v>0</v>
      </c>
      <c r="H1182" s="36">
        <v>0</v>
      </c>
      <c r="I1182" s="37">
        <v>117.37</v>
      </c>
    </row>
    <row r="1183" spans="1:9" x14ac:dyDescent="0.2">
      <c r="A1183" s="9"/>
      <c r="B1183" s="2" t="s">
        <v>858</v>
      </c>
      <c r="C1183" s="13">
        <v>44124</v>
      </c>
      <c r="D1183" s="2">
        <v>2046</v>
      </c>
      <c r="E1183" s="35">
        <v>117.37</v>
      </c>
      <c r="F1183" s="36">
        <v>0</v>
      </c>
      <c r="G1183" s="36">
        <v>0</v>
      </c>
      <c r="H1183" s="36">
        <v>0</v>
      </c>
      <c r="I1183" s="37">
        <v>117.37</v>
      </c>
    </row>
    <row r="1184" spans="1:9" x14ac:dyDescent="0.2">
      <c r="A1184" s="9"/>
      <c r="B1184" s="2" t="s">
        <v>46</v>
      </c>
      <c r="C1184" s="13">
        <v>44152</v>
      </c>
      <c r="D1184" s="2">
        <v>2018</v>
      </c>
      <c r="E1184" s="35">
        <v>117.37</v>
      </c>
      <c r="F1184" s="36">
        <v>0</v>
      </c>
      <c r="G1184" s="36">
        <v>0</v>
      </c>
      <c r="H1184" s="36">
        <v>0</v>
      </c>
      <c r="I1184" s="37">
        <v>117.37</v>
      </c>
    </row>
    <row r="1185" spans="1:9" x14ac:dyDescent="0.2">
      <c r="A1185" s="9"/>
      <c r="B1185" s="2" t="s">
        <v>508</v>
      </c>
      <c r="C1185" s="13">
        <v>44152</v>
      </c>
      <c r="D1185" s="2">
        <v>2018</v>
      </c>
      <c r="E1185" s="35">
        <v>30.25</v>
      </c>
      <c r="F1185" s="36">
        <v>0</v>
      </c>
      <c r="G1185" s="36">
        <v>0</v>
      </c>
      <c r="H1185" s="36">
        <v>0</v>
      </c>
      <c r="I1185" s="37">
        <v>30.25</v>
      </c>
    </row>
    <row r="1186" spans="1:9" x14ac:dyDescent="0.2">
      <c r="A1186" s="9"/>
      <c r="B1186" s="2" t="s">
        <v>253</v>
      </c>
      <c r="C1186" s="13">
        <v>44180</v>
      </c>
      <c r="D1186" s="2">
        <v>1990</v>
      </c>
      <c r="E1186" s="35">
        <v>117.37</v>
      </c>
      <c r="F1186" s="36">
        <v>0</v>
      </c>
      <c r="G1186" s="36">
        <v>0</v>
      </c>
      <c r="H1186" s="36">
        <v>0</v>
      </c>
      <c r="I1186" s="37">
        <v>117.37</v>
      </c>
    </row>
    <row r="1187" spans="1:9" x14ac:dyDescent="0.2">
      <c r="A1187" s="9"/>
      <c r="B1187" s="2" t="s">
        <v>438</v>
      </c>
      <c r="C1187" s="13">
        <v>44180</v>
      </c>
      <c r="D1187" s="2">
        <v>1990</v>
      </c>
      <c r="E1187" s="35">
        <v>30.25</v>
      </c>
      <c r="F1187" s="36">
        <v>0</v>
      </c>
      <c r="G1187" s="36">
        <v>0</v>
      </c>
      <c r="H1187" s="36">
        <v>0</v>
      </c>
      <c r="I1187" s="37">
        <v>30.25</v>
      </c>
    </row>
    <row r="1188" spans="1:9" x14ac:dyDescent="0.2">
      <c r="A1188" s="9"/>
      <c r="B1188" s="2" t="s">
        <v>854</v>
      </c>
      <c r="C1188" s="13">
        <v>44217</v>
      </c>
      <c r="D1188" s="2">
        <v>1953</v>
      </c>
      <c r="E1188" s="35">
        <v>117.37</v>
      </c>
      <c r="F1188" s="36">
        <v>0</v>
      </c>
      <c r="G1188" s="36">
        <v>0</v>
      </c>
      <c r="H1188" s="36">
        <v>0</v>
      </c>
      <c r="I1188" s="37">
        <v>117.37</v>
      </c>
    </row>
    <row r="1189" spans="1:9" x14ac:dyDescent="0.2">
      <c r="A1189" s="11" t="s">
        <v>1440</v>
      </c>
      <c r="B1189" s="12"/>
      <c r="C1189" s="12"/>
      <c r="D1189" s="12"/>
      <c r="E1189" s="38">
        <v>1544.4299999999998</v>
      </c>
      <c r="F1189" s="39">
        <v>0</v>
      </c>
      <c r="G1189" s="39">
        <v>0</v>
      </c>
      <c r="H1189" s="39">
        <v>0</v>
      </c>
      <c r="I1189" s="40">
        <v>1544.4299999999998</v>
      </c>
    </row>
    <row r="1190" spans="1:9" x14ac:dyDescent="0.2">
      <c r="A1190" s="2" t="s">
        <v>1492</v>
      </c>
      <c r="B1190" s="2" t="s">
        <v>1493</v>
      </c>
      <c r="C1190" s="13">
        <v>46044</v>
      </c>
      <c r="D1190" s="2">
        <v>126</v>
      </c>
      <c r="E1190" s="35">
        <v>319.44</v>
      </c>
      <c r="F1190" s="36">
        <v>0</v>
      </c>
      <c r="G1190" s="36">
        <v>0</v>
      </c>
      <c r="H1190" s="36">
        <v>0</v>
      </c>
      <c r="I1190" s="37">
        <v>319.44</v>
      </c>
    </row>
    <row r="1191" spans="1:9" x14ac:dyDescent="0.2">
      <c r="A1191" s="11" t="s">
        <v>1499</v>
      </c>
      <c r="B1191" s="12"/>
      <c r="C1191" s="12"/>
      <c r="D1191" s="12"/>
      <c r="E1191" s="38">
        <v>319.44</v>
      </c>
      <c r="F1191" s="39">
        <v>0</v>
      </c>
      <c r="G1191" s="39">
        <v>0</v>
      </c>
      <c r="H1191" s="39">
        <v>0</v>
      </c>
      <c r="I1191" s="40">
        <v>319.44</v>
      </c>
    </row>
    <row r="1192" spans="1:9" x14ac:dyDescent="0.2">
      <c r="A1192" s="4" t="s">
        <v>1311</v>
      </c>
      <c r="B1192" s="10"/>
      <c r="C1192" s="10"/>
      <c r="D1192" s="10"/>
      <c r="E1192" s="41">
        <v>4381621.7800000189</v>
      </c>
      <c r="F1192" s="42">
        <v>229565.58999999997</v>
      </c>
      <c r="G1192" s="42">
        <v>225873.36</v>
      </c>
      <c r="H1192" s="42">
        <v>186268.34</v>
      </c>
      <c r="I1192" s="43">
        <v>3739914.4900000175</v>
      </c>
    </row>
    <row r="1193" spans="1:9" x14ac:dyDescent="0.2">
      <c r="E1193" s="44"/>
      <c r="F1193" s="44"/>
      <c r="G1193" s="44"/>
      <c r="H1193" s="44"/>
      <c r="I1193" s="44"/>
    </row>
    <row r="1194" spans="1:9" x14ac:dyDescent="0.2">
      <c r="E1194" s="44"/>
      <c r="F1194" s="44"/>
      <c r="G1194" s="44"/>
      <c r="H1194" s="44"/>
      <c r="I1194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3C20-801C-4141-A9FB-B851B0CD16A7}">
  <dimension ref="A1:N125"/>
  <sheetViews>
    <sheetView topLeftCell="B13" workbookViewId="0">
      <selection activeCell="I20" sqref="I20"/>
    </sheetView>
  </sheetViews>
  <sheetFormatPr defaultRowHeight="12.75" x14ac:dyDescent="0.2"/>
  <cols>
    <col min="1" max="1" width="67.140625" bestFit="1" customWidth="1"/>
    <col min="2" max="2" width="26.28515625" style="5" customWidth="1"/>
    <col min="3" max="3" width="14" style="17" customWidth="1"/>
    <col min="4" max="5" width="16.5703125" style="17" customWidth="1"/>
    <col min="6" max="6" width="25.7109375" customWidth="1"/>
    <col min="7" max="7" width="36.140625" bestFit="1" customWidth="1"/>
    <col min="8" max="8" width="33.85546875" customWidth="1"/>
    <col min="9" max="9" width="17.42578125" bestFit="1" customWidth="1"/>
    <col min="12" max="12" width="12.5703125" bestFit="1" customWidth="1"/>
    <col min="13" max="13" width="8" bestFit="1" customWidth="1"/>
    <col min="14" max="14" width="14.85546875" bestFit="1" customWidth="1"/>
  </cols>
  <sheetData>
    <row r="1" spans="1:14" x14ac:dyDescent="0.2">
      <c r="A1" s="6" t="s">
        <v>1324</v>
      </c>
      <c r="B1" s="8">
        <v>46170</v>
      </c>
    </row>
    <row r="2" spans="1:14" s="6" customFormat="1" x14ac:dyDescent="0.2">
      <c r="A2" s="6" t="s">
        <v>1318</v>
      </c>
      <c r="B2" s="7"/>
      <c r="C2" s="18"/>
      <c r="D2" s="18"/>
      <c r="E2" s="17"/>
    </row>
    <row r="3" spans="1:14" x14ac:dyDescent="0.2">
      <c r="B3" s="21">
        <f>SUBTOTAL(9,B5:B124)</f>
        <v>4381621.7799999956</v>
      </c>
      <c r="C3" s="5">
        <f>Ouderdomsanalyseperdebiteur!J1075-'Top20 '!B3</f>
        <v>1.2107193470001221E-8</v>
      </c>
    </row>
    <row r="4" spans="1:14" s="6" customFormat="1" x14ac:dyDescent="0.2">
      <c r="A4" s="6" t="s">
        <v>381</v>
      </c>
      <c r="B4" s="7" t="s">
        <v>1319</v>
      </c>
      <c r="C4" s="18" t="s">
        <v>1320</v>
      </c>
      <c r="D4" s="18" t="s">
        <v>1461</v>
      </c>
      <c r="E4" s="18" t="s">
        <v>1321</v>
      </c>
      <c r="F4" s="6" t="s">
        <v>1322</v>
      </c>
      <c r="G4" s="6" t="s">
        <v>1323</v>
      </c>
      <c r="H4" s="6" t="s">
        <v>1468</v>
      </c>
      <c r="I4" s="6" t="s">
        <v>1441</v>
      </c>
      <c r="K4" s="6" t="s">
        <v>1500</v>
      </c>
      <c r="L4" s="6" t="s">
        <v>1501</v>
      </c>
      <c r="M4" s="6" t="s">
        <v>1502</v>
      </c>
      <c r="N4" s="6" t="s">
        <v>1503</v>
      </c>
    </row>
    <row r="5" spans="1:14" x14ac:dyDescent="0.2">
      <c r="A5" s="20" t="s">
        <v>705</v>
      </c>
      <c r="B5" s="23">
        <f>SUMIFS(Ouderdomsanalyseperdebiteur!J:J,Ouderdomsanalyseperdebiteur!D:D,'Top20 '!A:A)</f>
        <v>3729562.3099999996</v>
      </c>
      <c r="C5" s="19">
        <v>45448</v>
      </c>
      <c r="D5" s="20">
        <f ca="1">TODAY()-C5</f>
        <v>722</v>
      </c>
      <c r="E5" s="19"/>
      <c r="F5" s="20"/>
      <c r="G5" s="20"/>
      <c r="H5" s="20"/>
      <c r="I5" s="20" t="s">
        <v>1463</v>
      </c>
    </row>
    <row r="6" spans="1:14" x14ac:dyDescent="0.2">
      <c r="A6" s="20" t="s">
        <v>1163</v>
      </c>
      <c r="B6" s="23">
        <f>SUMIFS(Ouderdomsanalyseperdebiteur!J:J,Ouderdomsanalyseperdebiteur!D:D,'Top20 '!A:A)</f>
        <v>203002.73000000024</v>
      </c>
      <c r="C6" s="19">
        <v>43690</v>
      </c>
      <c r="D6" s="20">
        <f t="shared" ref="D6:D69" ca="1" si="0">TODAY()-C6</f>
        <v>2480</v>
      </c>
      <c r="E6" s="19"/>
      <c r="F6" s="20"/>
      <c r="G6" s="20"/>
      <c r="H6" s="20"/>
      <c r="I6" s="20" t="s">
        <v>1464</v>
      </c>
    </row>
    <row r="7" spans="1:14" x14ac:dyDescent="0.2">
      <c r="A7" s="20" t="s">
        <v>644</v>
      </c>
      <c r="B7" s="23">
        <f>SUMIFS(Ouderdomsanalyseperdebiteur!J:J,Ouderdomsanalyseperdebiteur!D:D,'Top20 '!A:A)</f>
        <v>0</v>
      </c>
      <c r="C7" s="19">
        <v>46076</v>
      </c>
      <c r="D7" s="20">
        <f t="shared" ca="1" si="0"/>
        <v>94</v>
      </c>
      <c r="E7" s="19"/>
      <c r="F7" s="20"/>
      <c r="G7" s="20"/>
      <c r="H7" s="20"/>
      <c r="I7" s="20" t="s">
        <v>1464</v>
      </c>
    </row>
    <row r="8" spans="1:14" x14ac:dyDescent="0.2">
      <c r="A8" s="20" t="s">
        <v>596</v>
      </c>
      <c r="B8" s="23">
        <f>SUMIFS(Ouderdomsanalyseperdebiteur!J:J,Ouderdomsanalyseperdebiteur!D:D,'Top20 '!A:A)</f>
        <v>18214.829999999998</v>
      </c>
      <c r="C8" s="19">
        <v>44943</v>
      </c>
      <c r="D8" s="20">
        <f ca="1">TODAY()-C8</f>
        <v>1227</v>
      </c>
      <c r="E8" s="19"/>
      <c r="F8" s="20"/>
      <c r="G8" s="20"/>
      <c r="H8" s="20"/>
      <c r="I8" s="20" t="s">
        <v>1464</v>
      </c>
    </row>
    <row r="9" spans="1:14" x14ac:dyDescent="0.2">
      <c r="A9" t="s">
        <v>1159</v>
      </c>
      <c r="B9" s="46">
        <f>SUMIFS(Ouderdomsanalyseperdebiteur!J:J,Ouderdomsanalyseperdebiteur!D:D,'Top20 '!A:A)</f>
        <v>44425</v>
      </c>
      <c r="C9" s="17">
        <v>45684</v>
      </c>
      <c r="D9">
        <f t="shared" ca="1" si="0"/>
        <v>486</v>
      </c>
      <c r="G9" t="s">
        <v>1470</v>
      </c>
      <c r="I9" t="s">
        <v>1449</v>
      </c>
    </row>
    <row r="10" spans="1:14" x14ac:dyDescent="0.2">
      <c r="A10" t="s">
        <v>785</v>
      </c>
      <c r="B10" s="46">
        <f>SUMIFS(Ouderdomsanalyseperdebiteur!J:J,Ouderdomsanalyseperdebiteur!D:D,'Top20 '!A:A)</f>
        <v>40270.76</v>
      </c>
      <c r="C10" s="17">
        <v>43098</v>
      </c>
      <c r="D10">
        <f t="shared" ca="1" si="0"/>
        <v>3072</v>
      </c>
      <c r="G10" t="s">
        <v>1475</v>
      </c>
      <c r="H10" t="s">
        <v>1450</v>
      </c>
    </row>
    <row r="11" spans="1:14" x14ac:dyDescent="0.2">
      <c r="A11" t="s">
        <v>393</v>
      </c>
      <c r="B11" s="46">
        <f>SUMIFS(Ouderdomsanalyseperdebiteur!J:J,Ouderdomsanalyseperdebiteur!D:D,'Top20 '!A:A)</f>
        <v>28645.24</v>
      </c>
      <c r="C11" s="17">
        <v>46009</v>
      </c>
      <c r="D11">
        <f t="shared" ca="1" si="0"/>
        <v>161</v>
      </c>
      <c r="G11" t="s">
        <v>1469</v>
      </c>
      <c r="I11" t="s">
        <v>1452</v>
      </c>
    </row>
    <row r="12" spans="1:14" x14ac:dyDescent="0.2">
      <c r="A12" t="s">
        <v>745</v>
      </c>
      <c r="B12" s="46">
        <f>SUMIFS(Ouderdomsanalyseperdebiteur!J:J,Ouderdomsanalyseperdebiteur!D:D,'Top20 '!A:A)</f>
        <v>23347.620000000021</v>
      </c>
      <c r="C12" s="17">
        <v>44412</v>
      </c>
      <c r="D12">
        <f t="shared" ca="1" si="0"/>
        <v>1758</v>
      </c>
      <c r="G12" t="s">
        <v>1470</v>
      </c>
      <c r="H12" t="s">
        <v>1451</v>
      </c>
      <c r="I12" t="s">
        <v>1452</v>
      </c>
    </row>
    <row r="13" spans="1:14" x14ac:dyDescent="0.2">
      <c r="A13" t="s">
        <v>974</v>
      </c>
      <c r="B13" s="46">
        <f>SUMIFS(Ouderdomsanalyseperdebiteur!J:J,Ouderdomsanalyseperdebiteur!D:D,'Top20 '!A:A)</f>
        <v>23075.469999999998</v>
      </c>
      <c r="C13" s="17">
        <v>45450</v>
      </c>
      <c r="D13">
        <f t="shared" ca="1" si="0"/>
        <v>720</v>
      </c>
      <c r="G13" t="s">
        <v>1470</v>
      </c>
      <c r="H13" t="s">
        <v>1451</v>
      </c>
      <c r="I13" t="s">
        <v>1452</v>
      </c>
    </row>
    <row r="14" spans="1:14" x14ac:dyDescent="0.2">
      <c r="A14" t="s">
        <v>823</v>
      </c>
      <c r="B14" s="46">
        <f>SUMIFS(Ouderdomsanalyseperdebiteur!J:J,Ouderdomsanalyseperdebiteur!D:D,'Top20 '!A:A)</f>
        <v>20189.760000000002</v>
      </c>
      <c r="C14" s="17">
        <v>45699</v>
      </c>
      <c r="D14">
        <f t="shared" ca="1" si="0"/>
        <v>471</v>
      </c>
      <c r="G14" t="s">
        <v>1471</v>
      </c>
      <c r="I14" t="s">
        <v>1465</v>
      </c>
    </row>
    <row r="15" spans="1:14" x14ac:dyDescent="0.2">
      <c r="A15" t="s">
        <v>796</v>
      </c>
      <c r="B15" s="46">
        <f>SUMIFS(Ouderdomsanalyseperdebiteur!J:J,Ouderdomsanalyseperdebiteur!D:D,'Top20 '!A:A)</f>
        <v>18595.519999999997</v>
      </c>
      <c r="C15" s="17">
        <v>45726</v>
      </c>
      <c r="D15">
        <f t="shared" ca="1" si="0"/>
        <v>444</v>
      </c>
      <c r="G15" t="s">
        <v>1470</v>
      </c>
      <c r="I15" t="s">
        <v>1465</v>
      </c>
    </row>
    <row r="16" spans="1:14" x14ac:dyDescent="0.2">
      <c r="A16" t="s">
        <v>960</v>
      </c>
      <c r="B16" s="46">
        <f>SUMIFS(Ouderdomsanalyseperdebiteur!J:J,Ouderdomsanalyseperdebiteur!D:D,'Top20 '!A:A)</f>
        <v>12552.47999999999</v>
      </c>
      <c r="C16" s="17">
        <v>45691</v>
      </c>
      <c r="D16">
        <f t="shared" ca="1" si="0"/>
        <v>479</v>
      </c>
      <c r="G16" t="s">
        <v>1470</v>
      </c>
      <c r="I16" t="s">
        <v>1466</v>
      </c>
    </row>
    <row r="17" spans="1:9" x14ac:dyDescent="0.2">
      <c r="A17" t="s">
        <v>547</v>
      </c>
      <c r="B17" s="46">
        <f>SUMIFS(Ouderdomsanalyseperdebiteur!J:J,Ouderdomsanalyseperdebiteur!D:D,'Top20 '!A:A)</f>
        <v>12162.560000000001</v>
      </c>
      <c r="C17" s="17">
        <v>46104</v>
      </c>
      <c r="D17">
        <f t="shared" ca="1" si="0"/>
        <v>66</v>
      </c>
      <c r="G17" t="s">
        <v>1471</v>
      </c>
      <c r="I17" t="s">
        <v>1467</v>
      </c>
    </row>
    <row r="18" spans="1:9" x14ac:dyDescent="0.2">
      <c r="A18" t="s">
        <v>1131</v>
      </c>
      <c r="B18" s="46">
        <f>SUMIFS(Ouderdomsanalyseperdebiteur!J:J,Ouderdomsanalyseperdebiteur!D:D,'Top20 '!A:A)</f>
        <v>12014.160000000003</v>
      </c>
      <c r="C18" s="17">
        <v>44378</v>
      </c>
      <c r="D18">
        <f t="shared" ca="1" si="0"/>
        <v>1792</v>
      </c>
      <c r="G18" t="s">
        <v>1472</v>
      </c>
      <c r="I18" t="s">
        <v>1442</v>
      </c>
    </row>
    <row r="19" spans="1:9" x14ac:dyDescent="0.2">
      <c r="A19" t="s">
        <v>241</v>
      </c>
      <c r="B19" s="46">
        <f>SUMIFS(Ouderdomsanalyseperdebiteur!J:J,Ouderdomsanalyseperdebiteur!D:D,'Top20 '!A:A)</f>
        <v>11753.150000000001</v>
      </c>
      <c r="C19" s="17">
        <v>42768</v>
      </c>
      <c r="D19">
        <f t="shared" ca="1" si="0"/>
        <v>3402</v>
      </c>
      <c r="G19" t="s">
        <v>1475</v>
      </c>
      <c r="I19" t="s">
        <v>1442</v>
      </c>
    </row>
    <row r="20" spans="1:9" x14ac:dyDescent="0.2">
      <c r="A20" t="s">
        <v>1306</v>
      </c>
      <c r="B20" s="46">
        <f>SUMIFS(Ouderdomsanalyseperdebiteur!J:J,Ouderdomsanalyseperdebiteur!D:D,'Top20 '!A:A)</f>
        <v>11495.000000000002</v>
      </c>
      <c r="C20" s="17">
        <v>43467</v>
      </c>
      <c r="D20">
        <f t="shared" ca="1" si="0"/>
        <v>2703</v>
      </c>
      <c r="G20" t="s">
        <v>1471</v>
      </c>
      <c r="I20" t="s">
        <v>1454</v>
      </c>
    </row>
    <row r="21" spans="1:9" x14ac:dyDescent="0.2">
      <c r="A21" t="s">
        <v>580</v>
      </c>
      <c r="B21" s="46">
        <f>SUMIFS(Ouderdomsanalyseperdebiteur!J:J,Ouderdomsanalyseperdebiteur!D:D,'Top20 '!A:A)</f>
        <v>11187.06</v>
      </c>
      <c r="C21" s="17">
        <v>45726</v>
      </c>
      <c r="D21">
        <f t="shared" ca="1" si="0"/>
        <v>444</v>
      </c>
      <c r="G21" t="s">
        <v>1472</v>
      </c>
      <c r="I21" t="s">
        <v>1467</v>
      </c>
    </row>
    <row r="22" spans="1:9" x14ac:dyDescent="0.2">
      <c r="A22" t="s">
        <v>1283</v>
      </c>
      <c r="B22" s="46">
        <f>SUMIFS(Ouderdomsanalyseperdebiteur!J:J,Ouderdomsanalyseperdebiteur!D:D,'Top20 '!A:A)</f>
        <v>11156.8</v>
      </c>
      <c r="C22" s="17">
        <v>45565</v>
      </c>
      <c r="D22">
        <f t="shared" ca="1" si="0"/>
        <v>605</v>
      </c>
      <c r="G22" t="s">
        <v>1472</v>
      </c>
      <c r="H22" t="s">
        <v>1453</v>
      </c>
    </row>
    <row r="23" spans="1:9" x14ac:dyDescent="0.2">
      <c r="A23" t="s">
        <v>429</v>
      </c>
      <c r="B23" s="46">
        <f>SUMIFS(Ouderdomsanalyseperdebiteur!J:J,Ouderdomsanalyseperdebiteur!D:D,'Top20 '!A:A)</f>
        <v>9764.14</v>
      </c>
      <c r="C23" s="17">
        <v>44927</v>
      </c>
      <c r="D23">
        <f t="shared" ca="1" si="0"/>
        <v>1243</v>
      </c>
      <c r="G23" t="s">
        <v>1470</v>
      </c>
      <c r="I23" t="s">
        <v>1443</v>
      </c>
    </row>
    <row r="24" spans="1:9" x14ac:dyDescent="0.2">
      <c r="A24" t="s">
        <v>703</v>
      </c>
      <c r="B24" s="46">
        <f>SUMIFS(Ouderdomsanalyseperdebiteur!J:J,Ouderdomsanalyseperdebiteur!D:D,'Top20 '!A:A)</f>
        <v>9075</v>
      </c>
      <c r="C24" s="17">
        <v>45856</v>
      </c>
      <c r="D24">
        <f t="shared" ca="1" si="0"/>
        <v>314</v>
      </c>
      <c r="G24" t="s">
        <v>1472</v>
      </c>
      <c r="I24" t="s">
        <v>1467</v>
      </c>
    </row>
    <row r="25" spans="1:9" x14ac:dyDescent="0.2">
      <c r="A25" t="s">
        <v>1067</v>
      </c>
      <c r="B25" s="46">
        <f>SUMIFS(Ouderdomsanalyseperdebiteur!J:J,Ouderdomsanalyseperdebiteur!D:D,'Top20 '!A:A)</f>
        <v>9075</v>
      </c>
      <c r="C25" s="17">
        <v>44537</v>
      </c>
      <c r="D25">
        <f t="shared" ca="1" si="0"/>
        <v>1633</v>
      </c>
      <c r="G25" t="s">
        <v>1473</v>
      </c>
      <c r="I25" t="s">
        <v>1455</v>
      </c>
    </row>
    <row r="26" spans="1:9" x14ac:dyDescent="0.2">
      <c r="A26" t="s">
        <v>403</v>
      </c>
      <c r="B26" s="46">
        <f>SUMIFS(Ouderdomsanalyseperdebiteur!J:J,Ouderdomsanalyseperdebiteur!D:D,'Top20 '!A:A)</f>
        <v>8205.380000000001</v>
      </c>
      <c r="C26" s="17">
        <v>45672</v>
      </c>
      <c r="D26">
        <f t="shared" ca="1" si="0"/>
        <v>498</v>
      </c>
      <c r="G26" t="s">
        <v>1471</v>
      </c>
      <c r="I26" t="s">
        <v>1467</v>
      </c>
    </row>
    <row r="27" spans="1:9" x14ac:dyDescent="0.2">
      <c r="A27" t="s">
        <v>1026</v>
      </c>
      <c r="B27" s="46">
        <f>SUMIFS(Ouderdomsanalyseperdebiteur!J:J,Ouderdomsanalyseperdebiteur!D:D,'Top20 '!A:A)</f>
        <v>7979.95</v>
      </c>
      <c r="C27" s="17">
        <v>45237</v>
      </c>
      <c r="D27">
        <f t="shared" ca="1" si="0"/>
        <v>933</v>
      </c>
      <c r="G27" t="s">
        <v>1470</v>
      </c>
      <c r="I27" t="s">
        <v>1465</v>
      </c>
    </row>
    <row r="28" spans="1:9" x14ac:dyDescent="0.2">
      <c r="A28" t="s">
        <v>1273</v>
      </c>
      <c r="B28" s="46">
        <f>SUMIFS(Ouderdomsanalyseperdebiteur!J:J,Ouderdomsanalyseperdebiteur!D:D,'Top20 '!A:A)</f>
        <v>6322.25</v>
      </c>
      <c r="C28" s="17">
        <v>43467</v>
      </c>
      <c r="D28">
        <f t="shared" ca="1" si="0"/>
        <v>2703</v>
      </c>
      <c r="G28" t="s">
        <v>1471</v>
      </c>
      <c r="I28" t="s">
        <v>1454</v>
      </c>
    </row>
    <row r="29" spans="1:9" x14ac:dyDescent="0.2">
      <c r="A29" t="s">
        <v>1270</v>
      </c>
      <c r="B29" s="46">
        <f>SUMIFS(Ouderdomsanalyseperdebiteur!J:J,Ouderdomsanalyseperdebiteur!D:D,'Top20 '!A:A)</f>
        <v>5915.51</v>
      </c>
      <c r="C29" s="17">
        <v>43846</v>
      </c>
      <c r="D29">
        <f t="shared" ca="1" si="0"/>
        <v>2324</v>
      </c>
      <c r="G29" t="s">
        <v>1472</v>
      </c>
    </row>
    <row r="30" spans="1:9" x14ac:dyDescent="0.2">
      <c r="A30" t="s">
        <v>21</v>
      </c>
      <c r="B30" s="46">
        <f>SUMIFS(Ouderdomsanalyseperdebiteur!J:J,Ouderdomsanalyseperdebiteur!D:D,'Top20 '!A:A)</f>
        <v>5747.5</v>
      </c>
      <c r="C30" s="17">
        <v>46125</v>
      </c>
      <c r="D30">
        <f t="shared" ca="1" si="0"/>
        <v>45</v>
      </c>
      <c r="G30" t="s">
        <v>1472</v>
      </c>
      <c r="I30" t="s">
        <v>1465</v>
      </c>
    </row>
    <row r="31" spans="1:9" x14ac:dyDescent="0.2">
      <c r="A31" t="s">
        <v>234</v>
      </c>
      <c r="B31" s="46">
        <f>SUMIFS(Ouderdomsanalyseperdebiteur!J:J,Ouderdomsanalyseperdebiteur!D:D,'Top20 '!A:A)</f>
        <v>4962.01</v>
      </c>
      <c r="C31" s="17">
        <v>45789</v>
      </c>
      <c r="D31">
        <f t="shared" ca="1" si="0"/>
        <v>381</v>
      </c>
      <c r="G31" t="s">
        <v>1472</v>
      </c>
    </row>
    <row r="32" spans="1:9" x14ac:dyDescent="0.2">
      <c r="A32" t="s">
        <v>164</v>
      </c>
      <c r="B32" s="46">
        <f>SUMIFS(Ouderdomsanalyseperdebiteur!J:J,Ouderdomsanalyseperdebiteur!D:D,'Top20 '!A:A)</f>
        <v>4900.5</v>
      </c>
      <c r="C32" s="17">
        <v>45782</v>
      </c>
      <c r="D32">
        <f t="shared" ca="1" si="0"/>
        <v>388</v>
      </c>
      <c r="G32" t="s">
        <v>1470</v>
      </c>
      <c r="I32" t="s">
        <v>1465</v>
      </c>
    </row>
    <row r="33" spans="1:9" x14ac:dyDescent="0.2">
      <c r="A33" t="s">
        <v>570</v>
      </c>
      <c r="B33" s="46">
        <f>SUMIFS(Ouderdomsanalyseperdebiteur!J:J,Ouderdomsanalyseperdebiteur!D:D,'Top20 '!A:A)</f>
        <v>4779.88</v>
      </c>
      <c r="C33" s="17">
        <v>45355</v>
      </c>
      <c r="D33">
        <f t="shared" ca="1" si="0"/>
        <v>815</v>
      </c>
      <c r="G33" t="s">
        <v>1470</v>
      </c>
      <c r="I33" t="s">
        <v>1465</v>
      </c>
    </row>
    <row r="34" spans="1:9" x14ac:dyDescent="0.2">
      <c r="A34" t="s">
        <v>561</v>
      </c>
      <c r="B34" s="46">
        <f>SUMIFS(Ouderdomsanalyseperdebiteur!J:J,Ouderdomsanalyseperdebiteur!D:D,'Top20 '!A:A)</f>
        <v>4737.58</v>
      </c>
      <c r="C34" s="17">
        <v>43774</v>
      </c>
      <c r="D34">
        <f t="shared" ca="1" si="0"/>
        <v>2396</v>
      </c>
      <c r="G34" t="s">
        <v>1471</v>
      </c>
      <c r="I34" t="s">
        <v>1442</v>
      </c>
    </row>
    <row r="35" spans="1:9" x14ac:dyDescent="0.2">
      <c r="A35" t="s">
        <v>319</v>
      </c>
      <c r="B35" s="46">
        <f>SUMIFS(Ouderdomsanalyseperdebiteur!J:J,Ouderdomsanalyseperdebiteur!D:D,'Top20 '!A:A)</f>
        <v>4640.37</v>
      </c>
      <c r="C35" s="17">
        <v>43679</v>
      </c>
      <c r="D35">
        <f t="shared" ca="1" si="0"/>
        <v>2491</v>
      </c>
      <c r="G35" t="s">
        <v>1475</v>
      </c>
      <c r="I35" t="s">
        <v>1442</v>
      </c>
    </row>
    <row r="36" spans="1:9" x14ac:dyDescent="0.2">
      <c r="A36" t="s">
        <v>50</v>
      </c>
      <c r="B36" s="46">
        <f>SUMIFS(Ouderdomsanalyseperdebiteur!J:J,Ouderdomsanalyseperdebiteur!D:D,'Top20 '!A:A)</f>
        <v>4537.5</v>
      </c>
      <c r="C36" s="17">
        <v>44886</v>
      </c>
      <c r="D36">
        <f t="shared" ca="1" si="0"/>
        <v>1284</v>
      </c>
      <c r="G36" t="s">
        <v>1473</v>
      </c>
    </row>
    <row r="37" spans="1:9" x14ac:dyDescent="0.2">
      <c r="A37" t="s">
        <v>430</v>
      </c>
      <c r="B37" s="46">
        <f>SUMIFS(Ouderdomsanalyseperdebiteur!J:J,Ouderdomsanalyseperdebiteur!D:D,'Top20 '!A:A)</f>
        <v>3682.6400000000003</v>
      </c>
      <c r="C37" s="17">
        <v>45481</v>
      </c>
      <c r="D37">
        <f t="shared" ca="1" si="0"/>
        <v>689</v>
      </c>
      <c r="G37" t="s">
        <v>1470</v>
      </c>
      <c r="I37" t="s">
        <v>1442</v>
      </c>
    </row>
    <row r="38" spans="1:9" x14ac:dyDescent="0.2">
      <c r="A38" t="s">
        <v>1249</v>
      </c>
      <c r="B38" s="46">
        <f>SUMIFS(Ouderdomsanalyseperdebiteur!J:J,Ouderdomsanalyseperdebiteur!D:D,'Top20 '!A:A)</f>
        <v>3646.64</v>
      </c>
      <c r="C38" s="17">
        <v>45712</v>
      </c>
      <c r="D38">
        <f t="shared" ca="1" si="0"/>
        <v>458</v>
      </c>
      <c r="G38" t="s">
        <v>1471</v>
      </c>
      <c r="I38" t="s">
        <v>1465</v>
      </c>
    </row>
    <row r="39" spans="1:9" x14ac:dyDescent="0.2">
      <c r="A39" t="s">
        <v>1084</v>
      </c>
      <c r="B39" s="46">
        <f>SUMIFS(Ouderdomsanalyseperdebiteur!J:J,Ouderdomsanalyseperdebiteur!D:D,'Top20 '!A:A)</f>
        <v>3584.63</v>
      </c>
      <c r="C39" s="17">
        <v>45957</v>
      </c>
      <c r="D39">
        <f t="shared" ca="1" si="0"/>
        <v>213</v>
      </c>
      <c r="G39" t="s">
        <v>1472</v>
      </c>
      <c r="I39" t="s">
        <v>1456</v>
      </c>
    </row>
    <row r="40" spans="1:9" x14ac:dyDescent="0.2">
      <c r="A40" t="s">
        <v>16</v>
      </c>
      <c r="B40" s="46">
        <f>SUMIFS(Ouderdomsanalyseperdebiteur!J:J,Ouderdomsanalyseperdebiteur!D:D,'Top20 '!A:A)</f>
        <v>3575.5499999999997</v>
      </c>
      <c r="C40" s="17">
        <v>45048</v>
      </c>
      <c r="D40">
        <f t="shared" ca="1" si="0"/>
        <v>1122</v>
      </c>
      <c r="G40" t="s">
        <v>1476</v>
      </c>
      <c r="I40" t="s">
        <v>1442</v>
      </c>
    </row>
    <row r="41" spans="1:9" x14ac:dyDescent="0.2">
      <c r="A41" t="s">
        <v>1155</v>
      </c>
      <c r="B41" s="46">
        <f>SUMIFS(Ouderdomsanalyseperdebiteur!J:J,Ouderdomsanalyseperdebiteur!D:D,'Top20 '!A:A)</f>
        <v>3521.0999999999976</v>
      </c>
      <c r="C41" s="17">
        <v>43678</v>
      </c>
      <c r="D41">
        <f t="shared" ca="1" si="0"/>
        <v>2492</v>
      </c>
      <c r="G41" t="s">
        <v>1471</v>
      </c>
    </row>
    <row r="42" spans="1:9" x14ac:dyDescent="0.2">
      <c r="A42" t="s">
        <v>217</v>
      </c>
      <c r="B42" s="46">
        <f>SUMIFS(Ouderdomsanalyseperdebiteur!J:J,Ouderdomsanalyseperdebiteur!D:D,'Top20 '!A:A)</f>
        <v>3444.77</v>
      </c>
      <c r="C42" s="17">
        <v>46133</v>
      </c>
      <c r="D42">
        <f t="shared" ca="1" si="0"/>
        <v>37</v>
      </c>
      <c r="G42" t="s">
        <v>1470</v>
      </c>
    </row>
    <row r="43" spans="1:9" x14ac:dyDescent="0.2">
      <c r="A43" t="s">
        <v>739</v>
      </c>
      <c r="B43" s="46">
        <f>SUMIFS(Ouderdomsanalyseperdebiteur!J:J,Ouderdomsanalyseperdebiteur!D:D,'Top20 '!A:A)</f>
        <v>3251.27</v>
      </c>
      <c r="C43" s="17">
        <v>45048</v>
      </c>
      <c r="D43">
        <f t="shared" ca="1" si="0"/>
        <v>1122</v>
      </c>
      <c r="G43" t="s">
        <v>1470</v>
      </c>
    </row>
    <row r="44" spans="1:9" x14ac:dyDescent="0.2">
      <c r="A44" t="s">
        <v>1125</v>
      </c>
      <c r="B44" s="46">
        <f>SUMIFS(Ouderdomsanalyseperdebiteur!J:J,Ouderdomsanalyseperdebiteur!D:D,'Top20 '!A:A)</f>
        <v>3194.4000000000005</v>
      </c>
      <c r="C44" s="17">
        <v>45993</v>
      </c>
      <c r="D44">
        <f t="shared" ca="1" si="0"/>
        <v>177</v>
      </c>
      <c r="G44" t="s">
        <v>1470</v>
      </c>
    </row>
    <row r="45" spans="1:9" x14ac:dyDescent="0.2">
      <c r="A45" t="s">
        <v>510</v>
      </c>
      <c r="B45" s="46">
        <f>SUMIFS(Ouderdomsanalyseperdebiteur!J:J,Ouderdomsanalyseperdebiteur!D:D,'Top20 '!A:A)</f>
        <v>3156.59</v>
      </c>
      <c r="C45" s="17">
        <v>45600</v>
      </c>
      <c r="D45">
        <f t="shared" ca="1" si="0"/>
        <v>570</v>
      </c>
      <c r="G45" t="s">
        <v>1470</v>
      </c>
    </row>
    <row r="46" spans="1:9" x14ac:dyDescent="0.2">
      <c r="A46" t="s">
        <v>957</v>
      </c>
      <c r="B46" s="46">
        <f>SUMIFS(Ouderdomsanalyseperdebiteur!J:J,Ouderdomsanalyseperdebiteur!D:D,'Top20 '!A:A)</f>
        <v>3138.43</v>
      </c>
      <c r="C46" s="17">
        <v>45411</v>
      </c>
      <c r="D46">
        <f t="shared" ca="1" si="0"/>
        <v>759</v>
      </c>
      <c r="G46" t="s">
        <v>1473</v>
      </c>
    </row>
    <row r="47" spans="1:9" x14ac:dyDescent="0.2">
      <c r="A47" t="s">
        <v>598</v>
      </c>
      <c r="B47" s="46">
        <f>SUMIFS(Ouderdomsanalyseperdebiteur!J:J,Ouderdomsanalyseperdebiteur!D:D,'Top20 '!A:A)</f>
        <v>3064.93</v>
      </c>
      <c r="C47" s="17">
        <v>43405</v>
      </c>
      <c r="D47">
        <f t="shared" ca="1" si="0"/>
        <v>2765</v>
      </c>
      <c r="G47" t="s">
        <v>1471</v>
      </c>
      <c r="I47" t="s">
        <v>1442</v>
      </c>
    </row>
    <row r="48" spans="1:9" x14ac:dyDescent="0.2">
      <c r="A48" t="s">
        <v>551</v>
      </c>
      <c r="B48" s="46">
        <f>SUMIFS(Ouderdomsanalyseperdebiteur!J:J,Ouderdomsanalyseperdebiteur!D:D,'Top20 '!A:A)</f>
        <v>2571.33</v>
      </c>
      <c r="C48" s="17">
        <v>42948</v>
      </c>
      <c r="D48">
        <f t="shared" ca="1" si="0"/>
        <v>3222</v>
      </c>
      <c r="G48" t="s">
        <v>1478</v>
      </c>
      <c r="I48" t="s">
        <v>1442</v>
      </c>
    </row>
    <row r="49" spans="1:9" x14ac:dyDescent="0.2">
      <c r="A49" t="s">
        <v>726</v>
      </c>
      <c r="B49" s="46">
        <f>SUMIFS(Ouderdomsanalyseperdebiteur!J:J,Ouderdomsanalyseperdebiteur!D:D,'Top20 '!A:A)</f>
        <v>2518.5200000000004</v>
      </c>
      <c r="C49" s="17">
        <v>45153</v>
      </c>
      <c r="D49">
        <f t="shared" ca="1" si="0"/>
        <v>1017</v>
      </c>
      <c r="G49" t="s">
        <v>1478</v>
      </c>
      <c r="I49" t="s">
        <v>1442</v>
      </c>
    </row>
    <row r="50" spans="1:9" x14ac:dyDescent="0.2">
      <c r="A50" t="s">
        <v>536</v>
      </c>
      <c r="B50" s="46">
        <f>SUMIFS(Ouderdomsanalyseperdebiteur!J:J,Ouderdomsanalyseperdebiteur!D:D,'Top20 '!A:A)</f>
        <v>2450.25</v>
      </c>
      <c r="C50" s="17">
        <v>45873</v>
      </c>
      <c r="D50">
        <f t="shared" ca="1" si="0"/>
        <v>297</v>
      </c>
      <c r="G50" t="s">
        <v>1470</v>
      </c>
    </row>
    <row r="51" spans="1:9" x14ac:dyDescent="0.2">
      <c r="A51" t="s">
        <v>34</v>
      </c>
      <c r="B51" s="46">
        <f>SUMIFS(Ouderdomsanalyseperdebiteur!J:J,Ouderdomsanalyseperdebiteur!D:D,'Top20 '!A:A)</f>
        <v>2402.94</v>
      </c>
      <c r="C51" s="17">
        <v>45726</v>
      </c>
      <c r="D51">
        <f t="shared" ca="1" si="0"/>
        <v>444</v>
      </c>
      <c r="G51" t="s">
        <v>1472</v>
      </c>
    </row>
    <row r="52" spans="1:9" x14ac:dyDescent="0.2">
      <c r="A52" t="s">
        <v>278</v>
      </c>
      <c r="B52" s="46">
        <f>SUMIFS(Ouderdomsanalyseperdebiteur!J:J,Ouderdomsanalyseperdebiteur!D:D,'Top20 '!A:A)</f>
        <v>2263.9099999999989</v>
      </c>
      <c r="C52" s="17">
        <v>43621</v>
      </c>
      <c r="D52">
        <f t="shared" ca="1" si="0"/>
        <v>2549</v>
      </c>
      <c r="G52" t="s">
        <v>1471</v>
      </c>
      <c r="I52" t="s">
        <v>1442</v>
      </c>
    </row>
    <row r="53" spans="1:9" x14ac:dyDescent="0.2">
      <c r="A53" t="s">
        <v>500</v>
      </c>
      <c r="B53" s="46">
        <f>SUMIFS(Ouderdomsanalyseperdebiteur!J:J,Ouderdomsanalyseperdebiteur!D:D,'Top20 '!A:A)</f>
        <v>3935.5299999999997</v>
      </c>
      <c r="C53" s="17">
        <v>45782</v>
      </c>
      <c r="D53">
        <f t="shared" ca="1" si="0"/>
        <v>388</v>
      </c>
      <c r="G53" t="s">
        <v>1470</v>
      </c>
    </row>
    <row r="54" spans="1:9" x14ac:dyDescent="0.2">
      <c r="A54" t="s">
        <v>863</v>
      </c>
      <c r="B54" s="46">
        <f>SUMIFS(Ouderdomsanalyseperdebiteur!J:J,Ouderdomsanalyseperdebiteur!D:D,'Top20 '!A:A)</f>
        <v>2128.11</v>
      </c>
      <c r="C54" s="17">
        <v>43440</v>
      </c>
      <c r="D54">
        <f t="shared" ca="1" si="0"/>
        <v>2730</v>
      </c>
      <c r="G54" t="s">
        <v>1478</v>
      </c>
      <c r="I54" t="s">
        <v>1442</v>
      </c>
    </row>
    <row r="55" spans="1:9" x14ac:dyDescent="0.2">
      <c r="A55" t="s">
        <v>1118</v>
      </c>
      <c r="B55" s="46">
        <f>SUMIFS(Ouderdomsanalyseperdebiteur!J:J,Ouderdomsanalyseperdebiteur!D:D,'Top20 '!A:A)</f>
        <v>2078.4299999999998</v>
      </c>
      <c r="C55" s="17">
        <v>43774</v>
      </c>
      <c r="D55">
        <f t="shared" ca="1" si="0"/>
        <v>2396</v>
      </c>
      <c r="G55" t="s">
        <v>1471</v>
      </c>
      <c r="I55" t="s">
        <v>1457</v>
      </c>
    </row>
    <row r="56" spans="1:9" x14ac:dyDescent="0.2">
      <c r="A56" t="s">
        <v>467</v>
      </c>
      <c r="B56" s="46">
        <f>SUMIFS(Ouderdomsanalyseperdebiteur!J:J,Ouderdomsanalyseperdebiteur!D:D,'Top20 '!A:A)</f>
        <v>1969.88</v>
      </c>
      <c r="C56" s="17">
        <v>46030</v>
      </c>
      <c r="D56">
        <f t="shared" ca="1" si="0"/>
        <v>140</v>
      </c>
      <c r="G56" t="s">
        <v>1472</v>
      </c>
    </row>
    <row r="57" spans="1:9" x14ac:dyDescent="0.2">
      <c r="A57" t="s">
        <v>1042</v>
      </c>
      <c r="B57" s="46">
        <f>SUMIFS(Ouderdomsanalyseperdebiteur!J:J,Ouderdomsanalyseperdebiteur!D:D,'Top20 '!A:A)</f>
        <v>1887.6</v>
      </c>
      <c r="C57" s="17">
        <v>45726</v>
      </c>
      <c r="D57">
        <f t="shared" ca="1" si="0"/>
        <v>444</v>
      </c>
      <c r="G57" t="s">
        <v>1470</v>
      </c>
    </row>
    <row r="58" spans="1:9" x14ac:dyDescent="0.2">
      <c r="A58" t="s">
        <v>939</v>
      </c>
      <c r="B58" s="46">
        <f>SUMIFS(Ouderdomsanalyseperdebiteur!J:J,Ouderdomsanalyseperdebiteur!D:D,'Top20 '!A:A)</f>
        <v>1815</v>
      </c>
      <c r="C58" s="17">
        <v>45047</v>
      </c>
      <c r="D58">
        <f t="shared" ca="1" si="0"/>
        <v>1123</v>
      </c>
      <c r="G58" t="s">
        <v>1472</v>
      </c>
    </row>
    <row r="59" spans="1:9" x14ac:dyDescent="0.2">
      <c r="A59" t="s">
        <v>168</v>
      </c>
      <c r="B59" s="46">
        <f>SUMIFS(Ouderdomsanalyseperdebiteur!J:J,Ouderdomsanalyseperdebiteur!D:D,'Top20 '!A:A)</f>
        <v>1725.26</v>
      </c>
      <c r="C59" s="17">
        <v>44796</v>
      </c>
      <c r="D59">
        <f t="shared" ca="1" si="0"/>
        <v>1374</v>
      </c>
      <c r="G59" t="s">
        <v>1471</v>
      </c>
    </row>
    <row r="60" spans="1:9" x14ac:dyDescent="0.2">
      <c r="A60" t="s">
        <v>575</v>
      </c>
      <c r="B60" s="46">
        <f>SUMIFS(Ouderdomsanalyseperdebiteur!J:J,Ouderdomsanalyseperdebiteur!D:D,'Top20 '!A:A)</f>
        <v>1724.25</v>
      </c>
      <c r="C60" s="17">
        <v>45779</v>
      </c>
      <c r="D60">
        <f t="shared" ca="1" si="0"/>
        <v>391</v>
      </c>
      <c r="G60" t="s">
        <v>1472</v>
      </c>
    </row>
    <row r="61" spans="1:9" x14ac:dyDescent="0.2">
      <c r="A61" t="s">
        <v>878</v>
      </c>
      <c r="B61" s="46">
        <f>SUMIFS(Ouderdomsanalyseperdebiteur!J:J,Ouderdomsanalyseperdebiteur!D:D,'Top20 '!A:A)</f>
        <v>1627.45</v>
      </c>
      <c r="C61" s="17">
        <v>45628</v>
      </c>
      <c r="D61">
        <f t="shared" ca="1" si="0"/>
        <v>542</v>
      </c>
      <c r="G61" t="s">
        <v>1470</v>
      </c>
      <c r="I61" t="s">
        <v>1442</v>
      </c>
    </row>
    <row r="62" spans="1:9" x14ac:dyDescent="0.2">
      <c r="A62" t="s">
        <v>435</v>
      </c>
      <c r="B62" s="46">
        <f>SUMIFS(Ouderdomsanalyseperdebiteur!J:J,Ouderdomsanalyseperdebiteur!D:D,'Top20 '!A:A)</f>
        <v>1615.35</v>
      </c>
      <c r="C62" s="17">
        <v>45966</v>
      </c>
      <c r="D62">
        <f t="shared" ca="1" si="0"/>
        <v>204</v>
      </c>
      <c r="G62" t="s">
        <v>1470</v>
      </c>
    </row>
    <row r="63" spans="1:9" x14ac:dyDescent="0.2">
      <c r="A63" t="s">
        <v>766</v>
      </c>
      <c r="B63" s="46">
        <f>SUMIFS(Ouderdomsanalyseperdebiteur!J:J,Ouderdomsanalyseperdebiteur!D:D,'Top20 '!A:A)</f>
        <v>1599.01</v>
      </c>
      <c r="C63" s="17">
        <v>44110</v>
      </c>
      <c r="D63">
        <f t="shared" ca="1" si="0"/>
        <v>2060</v>
      </c>
      <c r="G63" t="s">
        <v>1471</v>
      </c>
      <c r="I63" t="s">
        <v>1442</v>
      </c>
    </row>
    <row r="64" spans="1:9" x14ac:dyDescent="0.2">
      <c r="A64" t="s">
        <v>72</v>
      </c>
      <c r="B64" s="46">
        <f>SUMIFS(Ouderdomsanalyseperdebiteur!J:J,Ouderdomsanalyseperdebiteur!D:D,'Top20 '!A:A)</f>
        <v>1544.4299999999998</v>
      </c>
      <c r="C64" s="17">
        <v>43865</v>
      </c>
      <c r="D64">
        <f t="shared" ca="1" si="0"/>
        <v>2305</v>
      </c>
      <c r="G64" t="s">
        <v>1471</v>
      </c>
      <c r="I64" t="s">
        <v>1442</v>
      </c>
    </row>
    <row r="65" spans="1:9" x14ac:dyDescent="0.2">
      <c r="A65" t="s">
        <v>1226</v>
      </c>
      <c r="B65" s="46">
        <f>SUMIFS(Ouderdomsanalyseperdebiteur!J:J,Ouderdomsanalyseperdebiteur!D:D,'Top20 '!A:A)</f>
        <v>1474.71</v>
      </c>
      <c r="C65" s="17">
        <v>43221</v>
      </c>
      <c r="D65">
        <f t="shared" ca="1" si="0"/>
        <v>2949</v>
      </c>
      <c r="G65" t="s">
        <v>1478</v>
      </c>
    </row>
    <row r="66" spans="1:9" x14ac:dyDescent="0.2">
      <c r="A66" t="s">
        <v>1011</v>
      </c>
      <c r="B66" s="46">
        <f>SUMIFS(Ouderdomsanalyseperdebiteur!J:J,Ouderdomsanalyseperdebiteur!D:D,'Top20 '!A:A)</f>
        <v>1452</v>
      </c>
      <c r="C66" s="17">
        <v>45033</v>
      </c>
      <c r="D66">
        <f t="shared" ca="1" si="0"/>
        <v>1137</v>
      </c>
      <c r="G66" t="s">
        <v>1472</v>
      </c>
      <c r="I66" t="s">
        <v>1442</v>
      </c>
    </row>
    <row r="67" spans="1:9" x14ac:dyDescent="0.2">
      <c r="A67" t="s">
        <v>384</v>
      </c>
      <c r="B67" s="46">
        <f>SUMIFS(Ouderdomsanalyseperdebiteur!J:J,Ouderdomsanalyseperdebiteur!D:D,'Top20 '!A:A)</f>
        <v>1403.6</v>
      </c>
      <c r="C67" s="17">
        <v>46030</v>
      </c>
      <c r="D67">
        <f t="shared" ca="1" si="0"/>
        <v>140</v>
      </c>
      <c r="G67" t="s">
        <v>1470</v>
      </c>
    </row>
    <row r="68" spans="1:9" x14ac:dyDescent="0.2">
      <c r="A68" t="s">
        <v>612</v>
      </c>
      <c r="B68" s="46">
        <f>SUMIFS(Ouderdomsanalyseperdebiteur!J:J,Ouderdomsanalyseperdebiteur!D:D,'Top20 '!A:A)</f>
        <v>1276.8699999999999</v>
      </c>
      <c r="C68" s="17">
        <v>43830</v>
      </c>
      <c r="D68">
        <f t="shared" ca="1" si="0"/>
        <v>2340</v>
      </c>
      <c r="G68" t="s">
        <v>1471</v>
      </c>
    </row>
    <row r="69" spans="1:9" x14ac:dyDescent="0.2">
      <c r="A69" t="s">
        <v>636</v>
      </c>
      <c r="B69" s="46">
        <f>SUMIFS(Ouderdomsanalyseperdebiteur!J:J,Ouderdomsanalyseperdebiteur!D:D,'Top20 '!A:A)</f>
        <v>1210</v>
      </c>
      <c r="C69" s="17">
        <v>43042</v>
      </c>
      <c r="D69">
        <f t="shared" ca="1" si="0"/>
        <v>3128</v>
      </c>
      <c r="G69" t="s">
        <v>1478</v>
      </c>
    </row>
    <row r="70" spans="1:9" x14ac:dyDescent="0.2">
      <c r="A70" t="s">
        <v>748</v>
      </c>
      <c r="B70" s="46">
        <f>SUMIFS(Ouderdomsanalyseperdebiteur!J:J,Ouderdomsanalyseperdebiteur!D:D,'Top20 '!A:A)</f>
        <v>1210</v>
      </c>
      <c r="C70" s="17">
        <v>45726</v>
      </c>
      <c r="D70">
        <f t="shared" ref="D70:D124" ca="1" si="1">TODAY()-C70</f>
        <v>444</v>
      </c>
      <c r="G70" t="s">
        <v>1473</v>
      </c>
    </row>
    <row r="71" spans="1:9" x14ac:dyDescent="0.2">
      <c r="A71" t="s">
        <v>841</v>
      </c>
      <c r="B71" s="46">
        <f>SUMIFS(Ouderdomsanalyseperdebiteur!J:J,Ouderdomsanalyseperdebiteur!D:D,'Top20 '!A:A)</f>
        <v>1151.9199999999998</v>
      </c>
      <c r="C71" s="17">
        <v>46030</v>
      </c>
      <c r="D71">
        <f t="shared" ca="1" si="1"/>
        <v>140</v>
      </c>
      <c r="G71" t="s">
        <v>1471</v>
      </c>
    </row>
    <row r="72" spans="1:9" x14ac:dyDescent="0.2">
      <c r="A72" t="s">
        <v>755</v>
      </c>
      <c r="B72" s="46">
        <f>SUMIFS(Ouderdomsanalyseperdebiteur!J:J,Ouderdomsanalyseperdebiteur!D:D,'Top20 '!A:A)</f>
        <v>1084.1600000000001</v>
      </c>
      <c r="C72" s="17">
        <v>46031</v>
      </c>
      <c r="D72">
        <f t="shared" ca="1" si="1"/>
        <v>139</v>
      </c>
      <c r="G72" t="s">
        <v>1473</v>
      </c>
    </row>
    <row r="73" spans="1:9" x14ac:dyDescent="0.2">
      <c r="A73" t="s">
        <v>40</v>
      </c>
      <c r="B73" s="46">
        <f>SUMIFS(Ouderdomsanalyseperdebiteur!J:J,Ouderdomsanalyseperdebiteur!D:D,'Top20 '!A:A)</f>
        <v>1070.8499999999999</v>
      </c>
      <c r="C73" s="17">
        <v>46055</v>
      </c>
      <c r="D73">
        <f t="shared" ca="1" si="1"/>
        <v>115</v>
      </c>
      <c r="G73" t="s">
        <v>1472</v>
      </c>
    </row>
    <row r="74" spans="1:9" x14ac:dyDescent="0.2">
      <c r="A74" t="s">
        <v>930</v>
      </c>
      <c r="B74" s="46">
        <f>SUMIFS(Ouderdomsanalyseperdebiteur!J:J,Ouderdomsanalyseperdebiteur!D:D,'Top20 '!A:A)</f>
        <v>1017.91</v>
      </c>
      <c r="C74" s="17">
        <v>43951</v>
      </c>
      <c r="D74">
        <f t="shared" ca="1" si="1"/>
        <v>2219</v>
      </c>
      <c r="G74" t="s">
        <v>1472</v>
      </c>
      <c r="I74" t="s">
        <v>1442</v>
      </c>
    </row>
    <row r="75" spans="1:9" x14ac:dyDescent="0.2">
      <c r="A75" t="s">
        <v>692</v>
      </c>
      <c r="B75" s="46">
        <f>SUMIFS(Ouderdomsanalyseperdebiteur!J:J,Ouderdomsanalyseperdebiteur!D:D,'Top20 '!A:A)</f>
        <v>998.25</v>
      </c>
      <c r="C75" s="17">
        <v>46094</v>
      </c>
      <c r="D75">
        <f t="shared" ca="1" si="1"/>
        <v>76</v>
      </c>
      <c r="G75" t="s">
        <v>1471</v>
      </c>
    </row>
    <row r="76" spans="1:9" x14ac:dyDescent="0.2">
      <c r="A76" t="s">
        <v>1072</v>
      </c>
      <c r="B76" s="46">
        <f>SUMIFS(Ouderdomsanalyseperdebiteur!J:J,Ouderdomsanalyseperdebiteur!D:D,'Top20 '!A:A)</f>
        <v>907.5</v>
      </c>
      <c r="C76" s="17">
        <v>46030</v>
      </c>
      <c r="D76">
        <f t="shared" ca="1" si="1"/>
        <v>140</v>
      </c>
      <c r="G76" t="s">
        <v>1470</v>
      </c>
    </row>
    <row r="77" spans="1:9" x14ac:dyDescent="0.2">
      <c r="A77" t="s">
        <v>822</v>
      </c>
      <c r="B77" s="46">
        <f>SUMIFS(Ouderdomsanalyseperdebiteur!J:J,Ouderdomsanalyseperdebiteur!D:D,'Top20 '!A:A)</f>
        <v>895.40000000000009</v>
      </c>
      <c r="C77" s="17">
        <v>43818</v>
      </c>
      <c r="D77">
        <f t="shared" ca="1" si="1"/>
        <v>2352</v>
      </c>
      <c r="G77" t="s">
        <v>1473</v>
      </c>
    </row>
    <row r="78" spans="1:9" x14ac:dyDescent="0.2">
      <c r="A78" t="s">
        <v>864</v>
      </c>
      <c r="B78" s="46">
        <f>SUMIFS(Ouderdomsanalyseperdebiteur!J:J,Ouderdomsanalyseperdebiteur!D:D,'Top20 '!A:A)</f>
        <v>848.52</v>
      </c>
      <c r="C78" s="17">
        <v>44249</v>
      </c>
      <c r="D78">
        <f t="shared" ca="1" si="1"/>
        <v>1921</v>
      </c>
      <c r="G78" t="s">
        <v>1472</v>
      </c>
    </row>
    <row r="79" spans="1:9" x14ac:dyDescent="0.2">
      <c r="A79" t="s">
        <v>428</v>
      </c>
      <c r="B79" s="46">
        <f>SUMIFS(Ouderdomsanalyseperdebiteur!J:J,Ouderdomsanalyseperdebiteur!D:D,'Top20 '!A:A)</f>
        <v>830.06</v>
      </c>
      <c r="C79" s="17">
        <v>43949</v>
      </c>
      <c r="D79">
        <f t="shared" ca="1" si="1"/>
        <v>2221</v>
      </c>
      <c r="G79" t="s">
        <v>1471</v>
      </c>
      <c r="I79" t="s">
        <v>1442</v>
      </c>
    </row>
    <row r="80" spans="1:9" x14ac:dyDescent="0.2">
      <c r="A80" t="s">
        <v>903</v>
      </c>
      <c r="B80" s="46">
        <f>SUMIFS(Ouderdomsanalyseperdebiteur!J:J,Ouderdomsanalyseperdebiteur!D:D,'Top20 '!A:A)</f>
        <v>757.6</v>
      </c>
      <c r="C80" s="17">
        <v>43865</v>
      </c>
      <c r="D80">
        <f t="shared" ca="1" si="1"/>
        <v>2305</v>
      </c>
      <c r="G80" t="s">
        <v>1471</v>
      </c>
      <c r="I80" t="s">
        <v>1442</v>
      </c>
    </row>
    <row r="81" spans="1:9" x14ac:dyDescent="0.2">
      <c r="A81" t="s">
        <v>187</v>
      </c>
      <c r="B81" s="46">
        <f>SUMIFS(Ouderdomsanalyseperdebiteur!J:J,Ouderdomsanalyseperdebiteur!D:D,'Top20 '!A:A)</f>
        <v>756.25</v>
      </c>
      <c r="C81" s="17">
        <v>45082</v>
      </c>
      <c r="D81">
        <f t="shared" ca="1" si="1"/>
        <v>1088</v>
      </c>
      <c r="G81" t="s">
        <v>1471</v>
      </c>
      <c r="I81" t="s">
        <v>1442</v>
      </c>
    </row>
    <row r="82" spans="1:9" x14ac:dyDescent="0.2">
      <c r="A82" t="s">
        <v>529</v>
      </c>
      <c r="B82" s="46">
        <f>SUMIFS(Ouderdomsanalyseperdebiteur!J:J,Ouderdomsanalyseperdebiteur!D:D,'Top20 '!A:A)</f>
        <v>726</v>
      </c>
      <c r="C82" s="17">
        <v>44109</v>
      </c>
      <c r="D82">
        <f t="shared" ca="1" si="1"/>
        <v>2061</v>
      </c>
      <c r="G82" t="s">
        <v>1471</v>
      </c>
      <c r="I82" t="s">
        <v>1442</v>
      </c>
    </row>
    <row r="83" spans="1:9" x14ac:dyDescent="0.2">
      <c r="A83" t="s">
        <v>964</v>
      </c>
      <c r="B83" s="46">
        <f>SUMIFS(Ouderdomsanalyseperdebiteur!J:J,Ouderdomsanalyseperdebiteur!D:D,'Top20 '!A:A)</f>
        <v>715.11</v>
      </c>
      <c r="C83" s="17">
        <v>46118</v>
      </c>
      <c r="D83">
        <f t="shared" ca="1" si="1"/>
        <v>52</v>
      </c>
      <c r="G83" t="s">
        <v>1471</v>
      </c>
    </row>
    <row r="84" spans="1:9" x14ac:dyDescent="0.2">
      <c r="A84" t="s">
        <v>989</v>
      </c>
      <c r="B84" s="46">
        <f>SUMIFS(Ouderdomsanalyseperdebiteur!J:J,Ouderdomsanalyseperdebiteur!D:D,'Top20 '!A:A)</f>
        <v>574.75</v>
      </c>
      <c r="C84" s="17">
        <v>46118</v>
      </c>
      <c r="D84">
        <f t="shared" ca="1" si="1"/>
        <v>52</v>
      </c>
      <c r="G84" t="s">
        <v>1470</v>
      </c>
    </row>
    <row r="85" spans="1:9" x14ac:dyDescent="0.2">
      <c r="A85" t="s">
        <v>405</v>
      </c>
      <c r="B85" s="46">
        <f>SUMIFS(Ouderdomsanalyseperdebiteur!J:J,Ouderdomsanalyseperdebiteur!D:D,'Top20 '!A:A)</f>
        <v>563.86</v>
      </c>
      <c r="C85" s="17">
        <v>46118</v>
      </c>
      <c r="D85">
        <f t="shared" ca="1" si="1"/>
        <v>52</v>
      </c>
      <c r="G85" t="s">
        <v>1471</v>
      </c>
    </row>
    <row r="86" spans="1:9" x14ac:dyDescent="0.2">
      <c r="A86" t="s">
        <v>1212</v>
      </c>
      <c r="B86" s="46">
        <f>SUMIFS(Ouderdomsanalyseperdebiteur!J:J,Ouderdomsanalyseperdebiteur!D:D,'Top20 '!A:A)</f>
        <v>0</v>
      </c>
      <c r="C86" s="17">
        <v>46119</v>
      </c>
      <c r="D86">
        <f t="shared" ca="1" si="1"/>
        <v>51</v>
      </c>
      <c r="G86" t="s">
        <v>1473</v>
      </c>
    </row>
    <row r="87" spans="1:9" x14ac:dyDescent="0.2">
      <c r="A87" t="s">
        <v>8</v>
      </c>
      <c r="B87" s="46">
        <f>SUMIFS(Ouderdomsanalyseperdebiteur!J:J,Ouderdomsanalyseperdebiteur!D:D,'Top20 '!A:A)</f>
        <v>527</v>
      </c>
      <c r="C87" s="17">
        <v>44573</v>
      </c>
      <c r="D87">
        <f t="shared" ca="1" si="1"/>
        <v>1597</v>
      </c>
      <c r="G87" t="s">
        <v>1473</v>
      </c>
    </row>
    <row r="88" spans="1:9" x14ac:dyDescent="0.2">
      <c r="A88" t="s">
        <v>762</v>
      </c>
      <c r="B88" s="46">
        <f>SUMIFS(Ouderdomsanalyseperdebiteur!J:J,Ouderdomsanalyseperdebiteur!D:D,'Top20 '!A:A)</f>
        <v>517.28</v>
      </c>
      <c r="C88" s="17">
        <v>44840</v>
      </c>
      <c r="D88">
        <f t="shared" ca="1" si="1"/>
        <v>1330</v>
      </c>
      <c r="G88" t="s">
        <v>1472</v>
      </c>
    </row>
    <row r="89" spans="1:9" x14ac:dyDescent="0.2">
      <c r="A89" t="s">
        <v>86</v>
      </c>
      <c r="B89" s="46">
        <f>SUMIFS(Ouderdomsanalyseperdebiteur!J:J,Ouderdomsanalyseperdebiteur!D:D,'Top20 '!A:A)</f>
        <v>484</v>
      </c>
      <c r="C89" s="17">
        <v>46062</v>
      </c>
      <c r="D89">
        <f t="shared" ca="1" si="1"/>
        <v>108</v>
      </c>
      <c r="G89" t="s">
        <v>1472</v>
      </c>
    </row>
    <row r="90" spans="1:9" x14ac:dyDescent="0.2">
      <c r="A90" t="s">
        <v>192</v>
      </c>
      <c r="B90" s="46">
        <f>SUMIFS(Ouderdomsanalyseperdebiteur!J:J,Ouderdomsanalyseperdebiteur!D:D,'Top20 '!A:A)</f>
        <v>484</v>
      </c>
      <c r="C90" s="17">
        <v>45936</v>
      </c>
      <c r="D90">
        <f t="shared" ca="1" si="1"/>
        <v>234</v>
      </c>
      <c r="G90" t="s">
        <v>1470</v>
      </c>
    </row>
    <row r="91" spans="1:9" x14ac:dyDescent="0.2">
      <c r="A91" t="s">
        <v>647</v>
      </c>
      <c r="B91" s="46">
        <f>SUMIFS(Ouderdomsanalyseperdebiteur!J:J,Ouderdomsanalyseperdebiteur!D:D,'Top20 '!A:A)</f>
        <v>484</v>
      </c>
      <c r="C91" s="17">
        <v>46062</v>
      </c>
      <c r="D91">
        <f t="shared" ca="1" si="1"/>
        <v>108</v>
      </c>
      <c r="G91" t="s">
        <v>1472</v>
      </c>
    </row>
    <row r="92" spans="1:9" x14ac:dyDescent="0.2">
      <c r="A92" t="s">
        <v>28</v>
      </c>
      <c r="B92" s="46">
        <f>SUMIFS(Ouderdomsanalyseperdebiteur!J:J,Ouderdomsanalyseperdebiteur!D:D,'Top20 '!A:A)</f>
        <v>453.75</v>
      </c>
      <c r="C92" s="17">
        <v>45012</v>
      </c>
      <c r="D92">
        <f t="shared" ca="1" si="1"/>
        <v>1158</v>
      </c>
      <c r="G92" t="s">
        <v>1473</v>
      </c>
      <c r="I92" t="s">
        <v>1442</v>
      </c>
    </row>
    <row r="93" spans="1:9" x14ac:dyDescent="0.2">
      <c r="A93" t="s">
        <v>673</v>
      </c>
      <c r="B93" s="46">
        <f>SUMIFS(Ouderdomsanalyseperdebiteur!J:J,Ouderdomsanalyseperdebiteur!D:D,'Top20 '!A:A)</f>
        <v>445.65</v>
      </c>
      <c r="C93" s="17">
        <v>45993</v>
      </c>
      <c r="D93">
        <f t="shared" ca="1" si="1"/>
        <v>177</v>
      </c>
      <c r="G93" t="s">
        <v>1470</v>
      </c>
    </row>
    <row r="94" spans="1:9" x14ac:dyDescent="0.2">
      <c r="A94" t="s">
        <v>300</v>
      </c>
      <c r="B94" s="46">
        <f>SUMIFS(Ouderdomsanalyseperdebiteur!J:J,Ouderdomsanalyseperdebiteur!D:D,'Top20 '!A:A)</f>
        <v>415.94</v>
      </c>
      <c r="C94" s="17">
        <v>46030</v>
      </c>
      <c r="D94">
        <f t="shared" ca="1" si="1"/>
        <v>140</v>
      </c>
      <c r="G94" t="s">
        <v>1470</v>
      </c>
    </row>
    <row r="95" spans="1:9" x14ac:dyDescent="0.2">
      <c r="A95" t="s">
        <v>349</v>
      </c>
      <c r="B95" s="46">
        <f>SUMIFS(Ouderdomsanalyseperdebiteur!J:J,Ouderdomsanalyseperdebiteur!D:D,'Top20 '!A:A)</f>
        <v>363</v>
      </c>
      <c r="C95" s="17">
        <v>45691</v>
      </c>
      <c r="D95">
        <f t="shared" ca="1" si="1"/>
        <v>479</v>
      </c>
      <c r="G95" t="s">
        <v>1470</v>
      </c>
    </row>
    <row r="96" spans="1:9" x14ac:dyDescent="0.2">
      <c r="A96" t="s">
        <v>477</v>
      </c>
      <c r="B96" s="46">
        <f>SUMIFS(Ouderdomsanalyseperdebiteur!J:J,Ouderdomsanalyseperdebiteur!D:D,'Top20 '!A:A)</f>
        <v>363</v>
      </c>
      <c r="C96" s="17">
        <v>45936</v>
      </c>
      <c r="D96">
        <f t="shared" ca="1" si="1"/>
        <v>234</v>
      </c>
      <c r="G96" t="s">
        <v>1470</v>
      </c>
    </row>
    <row r="97" spans="1:9" x14ac:dyDescent="0.2">
      <c r="A97" t="s">
        <v>165</v>
      </c>
      <c r="B97" s="46">
        <f>SUMIFS(Ouderdomsanalyseperdebiteur!J:J,Ouderdomsanalyseperdebiteur!D:D,'Top20 '!A:A)</f>
        <v>361.77</v>
      </c>
      <c r="C97" s="17">
        <v>45951</v>
      </c>
      <c r="D97">
        <f t="shared" ca="1" si="1"/>
        <v>219</v>
      </c>
      <c r="G97" t="s">
        <v>1474</v>
      </c>
    </row>
    <row r="98" spans="1:9" x14ac:dyDescent="0.2">
      <c r="A98" t="s">
        <v>577</v>
      </c>
      <c r="B98" s="46">
        <f>SUMIFS(Ouderdomsanalyseperdebiteur!J:J,Ouderdomsanalyseperdebiteur!D:D,'Top20 '!A:A)</f>
        <v>356.95</v>
      </c>
      <c r="C98" s="17">
        <v>46118</v>
      </c>
      <c r="D98">
        <f t="shared" ca="1" si="1"/>
        <v>52</v>
      </c>
      <c r="G98" t="s">
        <v>1473</v>
      </c>
    </row>
    <row r="99" spans="1:9" x14ac:dyDescent="0.2">
      <c r="A99" t="s">
        <v>1029</v>
      </c>
      <c r="B99" s="46">
        <f>SUMIFS(Ouderdomsanalyseperdebiteur!J:J,Ouderdomsanalyseperdebiteur!D:D,'Top20 '!A:A)</f>
        <v>356.95</v>
      </c>
      <c r="C99" s="17">
        <v>46118</v>
      </c>
      <c r="D99">
        <f t="shared" ca="1" si="1"/>
        <v>52</v>
      </c>
      <c r="G99" t="s">
        <v>1473</v>
      </c>
    </row>
    <row r="100" spans="1:9" x14ac:dyDescent="0.2">
      <c r="A100" t="s">
        <v>533</v>
      </c>
      <c r="B100" s="46">
        <f>SUMIFS(Ouderdomsanalyseperdebiteur!J:J,Ouderdomsanalyseperdebiteur!D:D,'Top20 '!A:A)</f>
        <v>338.8</v>
      </c>
      <c r="C100" s="17">
        <v>43502</v>
      </c>
      <c r="D100">
        <f t="shared" ca="1" si="1"/>
        <v>2668</v>
      </c>
      <c r="G100" t="s">
        <v>1478</v>
      </c>
      <c r="I100" t="s">
        <v>1442</v>
      </c>
    </row>
    <row r="101" spans="1:9" x14ac:dyDescent="0.2">
      <c r="A101" t="s">
        <v>1492</v>
      </c>
      <c r="B101" s="46">
        <f>SUMIFS(Ouderdomsanalyseperdebiteur!J:J,Ouderdomsanalyseperdebiteur!D:D,'Top20 '!A:A)</f>
        <v>319.44</v>
      </c>
      <c r="C101" s="17">
        <v>46044</v>
      </c>
      <c r="D101">
        <f t="shared" ca="1" si="1"/>
        <v>126</v>
      </c>
      <c r="G101" t="s">
        <v>1478</v>
      </c>
    </row>
    <row r="102" spans="1:9" x14ac:dyDescent="0.2">
      <c r="A102" t="s">
        <v>807</v>
      </c>
      <c r="B102" s="46">
        <f>SUMIFS(Ouderdomsanalyseperdebiteur!J:J,Ouderdomsanalyseperdebiteur!D:D,'Top20 '!A:A)</f>
        <v>302.5</v>
      </c>
      <c r="C102" s="17">
        <v>46118</v>
      </c>
      <c r="D102">
        <f t="shared" ca="1" si="1"/>
        <v>52</v>
      </c>
      <c r="G102" t="s">
        <v>1470</v>
      </c>
    </row>
    <row r="103" spans="1:9" x14ac:dyDescent="0.2">
      <c r="A103" t="s">
        <v>624</v>
      </c>
      <c r="B103" s="46">
        <f>SUMIFS(Ouderdomsanalyseperdebiteur!J:J,Ouderdomsanalyseperdebiteur!D:D,'Top20 '!A:A)</f>
        <v>272.25</v>
      </c>
      <c r="C103" s="17">
        <v>46149</v>
      </c>
      <c r="D103">
        <f t="shared" ca="1" si="1"/>
        <v>21</v>
      </c>
      <c r="G103" t="s">
        <v>1473</v>
      </c>
    </row>
    <row r="104" spans="1:9" x14ac:dyDescent="0.2">
      <c r="A104" t="s">
        <v>678</v>
      </c>
      <c r="B104" s="46">
        <f>SUMIFS(Ouderdomsanalyseperdebiteur!J:J,Ouderdomsanalyseperdebiteur!D:D,'Top20 '!A:A)</f>
        <v>261.66000000000003</v>
      </c>
      <c r="C104" s="17">
        <v>44721</v>
      </c>
      <c r="D104">
        <f t="shared" ca="1" si="1"/>
        <v>1449</v>
      </c>
      <c r="G104" t="s">
        <v>1478</v>
      </c>
    </row>
    <row r="105" spans="1:9" x14ac:dyDescent="0.2">
      <c r="A105" t="s">
        <v>220</v>
      </c>
      <c r="B105" s="46">
        <f>SUMIFS(Ouderdomsanalyseperdebiteur!J:J,Ouderdomsanalyseperdebiteur!D:D,'Top20 '!A:A)</f>
        <v>249.56</v>
      </c>
      <c r="C105" s="17">
        <v>45511</v>
      </c>
      <c r="D105">
        <f t="shared" ca="1" si="1"/>
        <v>659</v>
      </c>
      <c r="G105" t="s">
        <v>1470</v>
      </c>
    </row>
    <row r="106" spans="1:9" x14ac:dyDescent="0.2">
      <c r="A106" t="s">
        <v>991</v>
      </c>
      <c r="B106" s="46">
        <f>SUMIFS(Ouderdomsanalyseperdebiteur!J:J,Ouderdomsanalyseperdebiteur!D:D,'Top20 '!A:A)</f>
        <v>242</v>
      </c>
      <c r="C106" s="17">
        <v>45672</v>
      </c>
      <c r="D106">
        <f t="shared" ca="1" si="1"/>
        <v>498</v>
      </c>
      <c r="G106" t="s">
        <v>1471</v>
      </c>
    </row>
    <row r="107" spans="1:9" x14ac:dyDescent="0.2">
      <c r="A107" t="s">
        <v>1006</v>
      </c>
      <c r="B107" s="46">
        <f>SUMIFS(Ouderdomsanalyseperdebiteur!J:J,Ouderdomsanalyseperdebiteur!D:D,'Top20 '!A:A)</f>
        <v>181.5</v>
      </c>
      <c r="C107" s="17">
        <v>43922</v>
      </c>
      <c r="D107">
        <f t="shared" ca="1" si="1"/>
        <v>2248</v>
      </c>
      <c r="G107" t="s">
        <v>1475</v>
      </c>
      <c r="I107" t="s">
        <v>1442</v>
      </c>
    </row>
    <row r="108" spans="1:9" x14ac:dyDescent="0.2">
      <c r="A108" t="s">
        <v>668</v>
      </c>
      <c r="B108" s="46">
        <f>SUMIFS(Ouderdomsanalyseperdebiteur!J:J,Ouderdomsanalyseperdebiteur!D:D,'Top20 '!A:A)</f>
        <v>181.5</v>
      </c>
      <c r="C108" s="17">
        <v>46118</v>
      </c>
      <c r="D108">
        <f t="shared" ca="1" si="1"/>
        <v>52</v>
      </c>
      <c r="G108" t="s">
        <v>1473</v>
      </c>
    </row>
    <row r="109" spans="1:9" x14ac:dyDescent="0.2">
      <c r="A109" t="s">
        <v>74</v>
      </c>
      <c r="B109" s="46">
        <f>SUMIFS(Ouderdomsanalyseperdebiteur!J:J,Ouderdomsanalyseperdebiteur!D:D,'Top20 '!A:A)</f>
        <v>121</v>
      </c>
      <c r="C109" s="17">
        <v>46030</v>
      </c>
      <c r="D109">
        <f t="shared" ca="1" si="1"/>
        <v>140</v>
      </c>
      <c r="G109" t="s">
        <v>1470</v>
      </c>
    </row>
    <row r="110" spans="1:9" x14ac:dyDescent="0.2">
      <c r="A110" t="s">
        <v>1210</v>
      </c>
      <c r="B110" s="46">
        <f>SUMIFS(Ouderdomsanalyseperdebiteur!J:J,Ouderdomsanalyseperdebiteur!D:D,'Top20 '!A:A)</f>
        <v>114</v>
      </c>
      <c r="C110" s="17">
        <v>44658</v>
      </c>
      <c r="D110">
        <f t="shared" ca="1" si="1"/>
        <v>1512</v>
      </c>
      <c r="G110" t="s">
        <v>1472</v>
      </c>
    </row>
    <row r="111" spans="1:9" x14ac:dyDescent="0.2">
      <c r="A111" t="s">
        <v>743</v>
      </c>
      <c r="B111" s="46">
        <f>SUMIFS(Ouderdomsanalyseperdebiteur!J:J,Ouderdomsanalyseperdebiteur!D:D,'Top20 '!A:A)</f>
        <v>75.63</v>
      </c>
      <c r="C111" s="17">
        <v>45511</v>
      </c>
      <c r="D111">
        <f t="shared" ca="1" si="1"/>
        <v>659</v>
      </c>
      <c r="G111" t="s">
        <v>1472</v>
      </c>
    </row>
    <row r="112" spans="1:9" x14ac:dyDescent="0.2">
      <c r="A112" t="s">
        <v>1136</v>
      </c>
      <c r="B112" s="46">
        <f>SUMIFS(Ouderdomsanalyseperdebiteur!J:J,Ouderdomsanalyseperdebiteur!D:D,'Top20 '!A:A)</f>
        <v>42.35</v>
      </c>
      <c r="C112" s="17">
        <v>46118</v>
      </c>
      <c r="D112">
        <f t="shared" ca="1" si="1"/>
        <v>52</v>
      </c>
      <c r="G112" t="s">
        <v>1471</v>
      </c>
    </row>
    <row r="113" spans="1:9" x14ac:dyDescent="0.2">
      <c r="A113" t="s">
        <v>952</v>
      </c>
      <c r="B113" s="46">
        <f>SUMIFS(Ouderdomsanalyseperdebiteur!J:J,Ouderdomsanalyseperdebiteur!D:D,'Top20 '!A:A)</f>
        <v>0.26</v>
      </c>
      <c r="C113" s="17">
        <v>45736</v>
      </c>
      <c r="D113">
        <f t="shared" ca="1" si="1"/>
        <v>434</v>
      </c>
      <c r="G113" t="s">
        <v>1470</v>
      </c>
    </row>
    <row r="114" spans="1:9" x14ac:dyDescent="0.2">
      <c r="A114" t="s">
        <v>578</v>
      </c>
      <c r="B114" s="46">
        <f>SUMIFS(Ouderdomsanalyseperdebiteur!J:J,Ouderdomsanalyseperdebiteur!D:D,'Top20 '!A:A)</f>
        <v>0</v>
      </c>
      <c r="C114" s="17">
        <v>45572</v>
      </c>
      <c r="D114">
        <f t="shared" ca="1" si="1"/>
        <v>598</v>
      </c>
      <c r="G114" t="s">
        <v>1473</v>
      </c>
    </row>
    <row r="115" spans="1:9" x14ac:dyDescent="0.2">
      <c r="A115" t="s">
        <v>138</v>
      </c>
      <c r="B115" s="46">
        <f>SUMIFS(Ouderdomsanalyseperdebiteur!J:J,Ouderdomsanalyseperdebiteur!D:D,'Top20 '!A:A)</f>
        <v>0</v>
      </c>
      <c r="C115" s="17">
        <v>46051</v>
      </c>
      <c r="D115">
        <f t="shared" ca="1" si="1"/>
        <v>119</v>
      </c>
      <c r="G115" t="s">
        <v>1473</v>
      </c>
    </row>
    <row r="116" spans="1:9" x14ac:dyDescent="0.2">
      <c r="A116" t="s">
        <v>566</v>
      </c>
      <c r="B116" s="46">
        <f>SUMIFS(Ouderdomsanalyseperdebiteur!J:J,Ouderdomsanalyseperdebiteur!D:D,'Top20 '!A:A)</f>
        <v>0</v>
      </c>
      <c r="C116" s="17">
        <v>45488</v>
      </c>
      <c r="D116">
        <f t="shared" ca="1" si="1"/>
        <v>682</v>
      </c>
      <c r="G116" t="s">
        <v>1472</v>
      </c>
    </row>
    <row r="117" spans="1:9" x14ac:dyDescent="0.2">
      <c r="A117" t="s">
        <v>212</v>
      </c>
      <c r="B117" s="46">
        <f>SUMIFS(Ouderdomsanalyseperdebiteur!J:J,Ouderdomsanalyseperdebiteur!D:D,'Top20 '!A:A)</f>
        <v>0</v>
      </c>
      <c r="C117" s="17">
        <v>45657</v>
      </c>
      <c r="D117">
        <f t="shared" ca="1" si="1"/>
        <v>513</v>
      </c>
      <c r="G117" t="s">
        <v>1478</v>
      </c>
    </row>
    <row r="118" spans="1:9" x14ac:dyDescent="0.2">
      <c r="A118" t="s">
        <v>1053</v>
      </c>
      <c r="B118" s="46">
        <f>SUMIFS(Ouderdomsanalyseperdebiteur!J:J,Ouderdomsanalyseperdebiteur!D:D,'Top20 '!A:A)</f>
        <v>0</v>
      </c>
      <c r="C118" s="17">
        <v>46072</v>
      </c>
      <c r="D118">
        <f t="shared" ca="1" si="1"/>
        <v>98</v>
      </c>
      <c r="G118" t="s">
        <v>1473</v>
      </c>
    </row>
    <row r="119" spans="1:9" x14ac:dyDescent="0.2">
      <c r="A119" t="s">
        <v>1151</v>
      </c>
      <c r="B119" s="46">
        <f>SUMIFS(Ouderdomsanalyseperdebiteur!J:J,Ouderdomsanalyseperdebiteur!D:D,'Top20 '!A:A)</f>
        <v>0</v>
      </c>
      <c r="C119" s="17">
        <v>45572</v>
      </c>
      <c r="D119">
        <f t="shared" ca="1" si="1"/>
        <v>598</v>
      </c>
      <c r="G119" t="s">
        <v>1473</v>
      </c>
    </row>
    <row r="120" spans="1:9" x14ac:dyDescent="0.2">
      <c r="A120" t="s">
        <v>350</v>
      </c>
      <c r="B120" s="46">
        <f>SUMIFS(Ouderdomsanalyseperdebiteur!J:J,Ouderdomsanalyseperdebiteur!D:D,'Top20 '!A:A)</f>
        <v>0</v>
      </c>
      <c r="C120" s="17">
        <v>46104</v>
      </c>
      <c r="D120">
        <f t="shared" ca="1" si="1"/>
        <v>66</v>
      </c>
      <c r="G120" t="s">
        <v>1472</v>
      </c>
    </row>
    <row r="121" spans="1:9" x14ac:dyDescent="0.2">
      <c r="A121" t="s">
        <v>257</v>
      </c>
      <c r="B121" s="46">
        <f>SUMIFS(Ouderdomsanalyseperdebiteur!J:J,Ouderdomsanalyseperdebiteur!D:D,'Top20 '!A:A)</f>
        <v>-847</v>
      </c>
      <c r="C121" s="17">
        <v>46063</v>
      </c>
      <c r="D121">
        <f t="shared" ca="1" si="1"/>
        <v>107</v>
      </c>
      <c r="G121" t="s">
        <v>1472</v>
      </c>
    </row>
    <row r="122" spans="1:9" x14ac:dyDescent="0.2">
      <c r="A122" t="s">
        <v>433</v>
      </c>
      <c r="B122" s="46">
        <f>SUMIFS(Ouderdomsanalyseperdebiteur!J:J,Ouderdomsanalyseperdebiteur!D:D,'Top20 '!A:A)</f>
        <v>-1028.5</v>
      </c>
      <c r="C122" s="17">
        <v>45295</v>
      </c>
      <c r="D122">
        <f t="shared" ca="1" si="1"/>
        <v>875</v>
      </c>
      <c r="G122" t="s">
        <v>1472</v>
      </c>
    </row>
    <row r="123" spans="1:9" x14ac:dyDescent="0.2">
      <c r="A123" t="s">
        <v>1174</v>
      </c>
      <c r="B123" s="46">
        <f>SUMIFS(Ouderdomsanalyseperdebiteur!J:J,Ouderdomsanalyseperdebiteur!D:D,'Top20 '!A:A)</f>
        <v>-4250</v>
      </c>
      <c r="C123" s="17">
        <v>45657</v>
      </c>
      <c r="D123">
        <f t="shared" ca="1" si="1"/>
        <v>513</v>
      </c>
      <c r="G123" t="s">
        <v>1478</v>
      </c>
      <c r="I123" t="s">
        <v>1442</v>
      </c>
    </row>
    <row r="124" spans="1:9" x14ac:dyDescent="0.2">
      <c r="A124" t="s">
        <v>412</v>
      </c>
      <c r="B124" s="46">
        <f>SUMIFS(Ouderdomsanalyseperdebiteur!J:J,Ouderdomsanalyseperdebiteur!D:D,'Top20 '!A:A)</f>
        <v>-36905</v>
      </c>
      <c r="C124" s="17">
        <v>45838</v>
      </c>
      <c r="D124">
        <f t="shared" ca="1" si="1"/>
        <v>332</v>
      </c>
      <c r="G124" t="s">
        <v>1477</v>
      </c>
    </row>
    <row r="125" spans="1:9" x14ac:dyDescent="0.2">
      <c r="A125" s="6"/>
      <c r="B125" s="22"/>
    </row>
  </sheetData>
  <autoFilter ref="A4:I124" xr:uid="{B1D53C20-801C-4141-A9FB-B851B0CD16A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11E2-6B1D-4709-9549-0264BFFDD89A}">
  <sheetPr>
    <pageSetUpPr fitToPage="1"/>
  </sheetPr>
  <dimension ref="B1:H134"/>
  <sheetViews>
    <sheetView workbookViewId="0">
      <selection activeCell="C10" sqref="C10"/>
    </sheetView>
  </sheetViews>
  <sheetFormatPr defaultRowHeight="12.75" x14ac:dyDescent="0.2"/>
  <cols>
    <col min="1" max="1" width="4.7109375" customWidth="1"/>
    <col min="2" max="2" width="13.85546875" bestFit="1" customWidth="1"/>
    <col min="3" max="3" width="22.5703125" style="17" bestFit="1" customWidth="1"/>
    <col min="4" max="4" width="32.28515625" bestFit="1" customWidth="1"/>
    <col min="5" max="5" width="5.140625" customWidth="1"/>
    <col min="6" max="6" width="36.140625" bestFit="1" customWidth="1"/>
    <col min="7" max="7" width="71.85546875" bestFit="1" customWidth="1"/>
    <col min="8" max="8" width="14.5703125" bestFit="1" customWidth="1"/>
  </cols>
  <sheetData>
    <row r="1" spans="2:8" x14ac:dyDescent="0.2">
      <c r="B1" s="24" t="s">
        <v>1458</v>
      </c>
      <c r="C1" t="s">
        <v>1460</v>
      </c>
      <c r="D1" t="s">
        <v>1462</v>
      </c>
      <c r="F1" s="24" t="s">
        <v>1462</v>
      </c>
    </row>
    <row r="2" spans="2:8" x14ac:dyDescent="0.2">
      <c r="B2" s="25" t="s">
        <v>1442</v>
      </c>
      <c r="C2" s="47">
        <v>24</v>
      </c>
      <c r="D2" s="26">
        <v>59985.010000000009</v>
      </c>
      <c r="F2" s="24" t="s">
        <v>1323</v>
      </c>
      <c r="G2" s="24" t="s">
        <v>1441</v>
      </c>
      <c r="H2" t="s">
        <v>1479</v>
      </c>
    </row>
    <row r="3" spans="2:8" x14ac:dyDescent="0.2">
      <c r="B3" s="25" t="s">
        <v>1311</v>
      </c>
      <c r="C3" s="47">
        <v>24</v>
      </c>
      <c r="D3" s="26">
        <v>59985.010000000009</v>
      </c>
      <c r="F3" t="s">
        <v>1471</v>
      </c>
      <c r="G3" t="s">
        <v>1442</v>
      </c>
      <c r="H3" s="26">
        <v>16279.769999999999</v>
      </c>
    </row>
    <row r="4" spans="2:8" x14ac:dyDescent="0.2">
      <c r="C4"/>
      <c r="G4" t="s">
        <v>1454</v>
      </c>
      <c r="H4" s="26">
        <v>17817.25</v>
      </c>
    </row>
    <row r="5" spans="2:8" x14ac:dyDescent="0.2">
      <c r="C5"/>
      <c r="G5" t="s">
        <v>1465</v>
      </c>
      <c r="H5" s="26">
        <v>23836.400000000001</v>
      </c>
    </row>
    <row r="6" spans="2:8" x14ac:dyDescent="0.2">
      <c r="C6"/>
      <c r="G6" t="s">
        <v>1467</v>
      </c>
      <c r="H6" s="26">
        <v>20367.940000000002</v>
      </c>
    </row>
    <row r="7" spans="2:8" x14ac:dyDescent="0.2">
      <c r="C7"/>
      <c r="G7" t="s">
        <v>1456</v>
      </c>
      <c r="H7" s="26">
        <v>2078.4299999999998</v>
      </c>
    </row>
    <row r="8" spans="2:8" x14ac:dyDescent="0.2">
      <c r="C8"/>
      <c r="G8" t="s">
        <v>1459</v>
      </c>
      <c r="H8" s="26">
        <v>10236.719999999999</v>
      </c>
    </row>
    <row r="9" spans="2:8" x14ac:dyDescent="0.2">
      <c r="C9"/>
      <c r="F9" s="27" t="s">
        <v>1480</v>
      </c>
      <c r="G9" s="27"/>
      <c r="H9" s="28">
        <v>90616.51</v>
      </c>
    </row>
    <row r="10" spans="2:8" x14ac:dyDescent="0.2">
      <c r="C10"/>
      <c r="F10" t="s">
        <v>1474</v>
      </c>
      <c r="G10" t="s">
        <v>1459</v>
      </c>
      <c r="H10" s="26">
        <v>361.77</v>
      </c>
    </row>
    <row r="11" spans="2:8" x14ac:dyDescent="0.2">
      <c r="C11"/>
      <c r="F11" s="27" t="s">
        <v>1481</v>
      </c>
      <c r="G11" s="27"/>
      <c r="H11" s="28">
        <v>361.77</v>
      </c>
    </row>
    <row r="12" spans="2:8" x14ac:dyDescent="0.2">
      <c r="C12"/>
      <c r="F12" t="s">
        <v>1472</v>
      </c>
      <c r="G12" t="s">
        <v>1442</v>
      </c>
      <c r="H12" s="26">
        <v>14484.070000000003</v>
      </c>
    </row>
    <row r="13" spans="2:8" x14ac:dyDescent="0.2">
      <c r="C13"/>
      <c r="G13" t="s">
        <v>1465</v>
      </c>
      <c r="H13" s="26">
        <v>5747.5</v>
      </c>
    </row>
    <row r="14" spans="2:8" x14ac:dyDescent="0.2">
      <c r="C14"/>
      <c r="G14" t="s">
        <v>1467</v>
      </c>
      <c r="H14" s="26">
        <v>20262.059999999998</v>
      </c>
    </row>
    <row r="15" spans="2:8" x14ac:dyDescent="0.2">
      <c r="C15"/>
      <c r="G15" t="s">
        <v>1456</v>
      </c>
      <c r="H15" s="26">
        <v>3584.63</v>
      </c>
    </row>
    <row r="16" spans="2:8" x14ac:dyDescent="0.2">
      <c r="C16"/>
      <c r="G16" t="s">
        <v>1459</v>
      </c>
      <c r="H16" s="26">
        <v>31665.169999999991</v>
      </c>
    </row>
    <row r="17" spans="3:8" x14ac:dyDescent="0.2">
      <c r="C17"/>
      <c r="F17" s="27" t="s">
        <v>1482</v>
      </c>
      <c r="G17" s="27"/>
      <c r="H17" s="28">
        <v>75743.429999999993</v>
      </c>
    </row>
    <row r="18" spans="3:8" x14ac:dyDescent="0.2">
      <c r="C18"/>
      <c r="F18" t="s">
        <v>1478</v>
      </c>
      <c r="G18" t="s">
        <v>1442</v>
      </c>
      <c r="H18" s="26">
        <v>3306.7600000000011</v>
      </c>
    </row>
    <row r="19" spans="3:8" x14ac:dyDescent="0.2">
      <c r="C19"/>
      <c r="G19" t="s">
        <v>1459</v>
      </c>
      <c r="H19" s="26">
        <v>3265.81</v>
      </c>
    </row>
    <row r="20" spans="3:8" x14ac:dyDescent="0.2">
      <c r="C20"/>
      <c r="F20" s="27" t="s">
        <v>1483</v>
      </c>
      <c r="G20" s="27"/>
      <c r="H20" s="28">
        <v>6572.5700000000015</v>
      </c>
    </row>
    <row r="21" spans="3:8" x14ac:dyDescent="0.2">
      <c r="C21"/>
      <c r="F21" t="s">
        <v>1473</v>
      </c>
      <c r="G21" t="s">
        <v>1442</v>
      </c>
      <c r="H21" s="26">
        <v>453.75</v>
      </c>
    </row>
    <row r="22" spans="3:8" x14ac:dyDescent="0.2">
      <c r="C22"/>
      <c r="G22" t="s">
        <v>1455</v>
      </c>
      <c r="H22" s="26">
        <v>9075</v>
      </c>
    </row>
    <row r="23" spans="3:8" x14ac:dyDescent="0.2">
      <c r="C23"/>
      <c r="G23" t="s">
        <v>1459</v>
      </c>
      <c r="H23" s="26">
        <v>12560.140000000001</v>
      </c>
    </row>
    <row r="24" spans="3:8" x14ac:dyDescent="0.2">
      <c r="C24"/>
      <c r="F24" s="27" t="s">
        <v>1484</v>
      </c>
      <c r="G24" s="27"/>
      <c r="H24" s="28">
        <v>22088.89</v>
      </c>
    </row>
    <row r="25" spans="3:8" x14ac:dyDescent="0.2">
      <c r="C25"/>
      <c r="F25" t="s">
        <v>1475</v>
      </c>
      <c r="G25" t="s">
        <v>1442</v>
      </c>
      <c r="H25" s="26">
        <v>16575.02</v>
      </c>
    </row>
    <row r="26" spans="3:8" x14ac:dyDescent="0.2">
      <c r="C26"/>
      <c r="G26" t="s">
        <v>1459</v>
      </c>
      <c r="H26" s="26">
        <v>40270.76</v>
      </c>
    </row>
    <row r="27" spans="3:8" x14ac:dyDescent="0.2">
      <c r="C27"/>
      <c r="F27" s="27" t="s">
        <v>1485</v>
      </c>
      <c r="G27" s="27"/>
      <c r="H27" s="28">
        <v>56845.78</v>
      </c>
    </row>
    <row r="28" spans="3:8" x14ac:dyDescent="0.2">
      <c r="C28"/>
      <c r="F28" t="s">
        <v>1477</v>
      </c>
      <c r="G28" t="s">
        <v>1459</v>
      </c>
      <c r="H28" s="26">
        <v>-36905</v>
      </c>
    </row>
    <row r="29" spans="3:8" x14ac:dyDescent="0.2">
      <c r="C29"/>
      <c r="F29" s="27" t="s">
        <v>1486</v>
      </c>
      <c r="G29" s="27"/>
      <c r="H29" s="28">
        <v>-36905</v>
      </c>
    </row>
    <row r="30" spans="3:8" x14ac:dyDescent="0.2">
      <c r="C30"/>
      <c r="F30" t="s">
        <v>1476</v>
      </c>
      <c r="G30" t="s">
        <v>1442</v>
      </c>
      <c r="H30" s="26">
        <v>3575.5499999999997</v>
      </c>
    </row>
    <row r="31" spans="3:8" x14ac:dyDescent="0.2">
      <c r="C31"/>
      <c r="F31" s="27" t="s">
        <v>1487</v>
      </c>
      <c r="G31" s="27"/>
      <c r="H31" s="28">
        <v>3575.5499999999997</v>
      </c>
    </row>
    <row r="32" spans="3:8" x14ac:dyDescent="0.2">
      <c r="C32"/>
      <c r="F32" t="s">
        <v>1470</v>
      </c>
      <c r="G32" t="s">
        <v>1442</v>
      </c>
      <c r="H32" s="26">
        <v>5310.09</v>
      </c>
    </row>
    <row r="33" spans="3:8" x14ac:dyDescent="0.2">
      <c r="C33"/>
      <c r="G33" t="s">
        <v>1465</v>
      </c>
      <c r="H33" s="26">
        <v>36255.85</v>
      </c>
    </row>
    <row r="34" spans="3:8" x14ac:dyDescent="0.2">
      <c r="C34"/>
      <c r="G34" t="s">
        <v>1466</v>
      </c>
      <c r="H34" s="26">
        <v>12552.47999999999</v>
      </c>
    </row>
    <row r="35" spans="3:8" x14ac:dyDescent="0.2">
      <c r="C35"/>
      <c r="G35" t="s">
        <v>1443</v>
      </c>
      <c r="H35" s="26">
        <v>9764.14</v>
      </c>
    </row>
    <row r="36" spans="3:8" x14ac:dyDescent="0.2">
      <c r="C36"/>
      <c r="G36" t="s">
        <v>1449</v>
      </c>
      <c r="H36" s="26">
        <v>44425</v>
      </c>
    </row>
    <row r="37" spans="3:8" x14ac:dyDescent="0.2">
      <c r="C37"/>
      <c r="G37" t="s">
        <v>1452</v>
      </c>
      <c r="H37" s="26">
        <v>46423.090000000018</v>
      </c>
    </row>
    <row r="38" spans="3:8" x14ac:dyDescent="0.2">
      <c r="C38"/>
      <c r="G38" t="s">
        <v>1459</v>
      </c>
      <c r="H38" s="26">
        <v>28566.519999999997</v>
      </c>
    </row>
    <row r="39" spans="3:8" x14ac:dyDescent="0.2">
      <c r="C39"/>
      <c r="F39" s="27" t="s">
        <v>1488</v>
      </c>
      <c r="G39" s="27"/>
      <c r="H39" s="28">
        <v>183297.17</v>
      </c>
    </row>
    <row r="40" spans="3:8" x14ac:dyDescent="0.2">
      <c r="C40"/>
      <c r="F40" t="s">
        <v>1469</v>
      </c>
      <c r="G40" t="s">
        <v>1452</v>
      </c>
      <c r="H40" s="26">
        <v>28645.24</v>
      </c>
    </row>
    <row r="41" spans="3:8" x14ac:dyDescent="0.2">
      <c r="C41"/>
      <c r="F41" s="27" t="s">
        <v>1489</v>
      </c>
      <c r="G41" s="27"/>
      <c r="H41" s="28">
        <v>28645.24</v>
      </c>
    </row>
    <row r="42" spans="3:8" x14ac:dyDescent="0.2">
      <c r="C42"/>
      <c r="F42" t="s">
        <v>1459</v>
      </c>
      <c r="G42" t="s">
        <v>1463</v>
      </c>
      <c r="H42" s="26">
        <v>3729562.3099999996</v>
      </c>
    </row>
    <row r="43" spans="3:8" x14ac:dyDescent="0.2">
      <c r="C43"/>
      <c r="G43" t="s">
        <v>1464</v>
      </c>
      <c r="H43" s="26">
        <v>221217.56000000023</v>
      </c>
    </row>
    <row r="44" spans="3:8" x14ac:dyDescent="0.2">
      <c r="C44"/>
      <c r="F44" s="27" t="s">
        <v>1490</v>
      </c>
      <c r="G44" s="27"/>
      <c r="H44" s="28">
        <v>3950779.8699999996</v>
      </c>
    </row>
    <row r="45" spans="3:8" x14ac:dyDescent="0.2">
      <c r="C45"/>
      <c r="F45" t="s">
        <v>1311</v>
      </c>
      <c r="H45" s="26">
        <v>4381621.78</v>
      </c>
    </row>
    <row r="46" spans="3:8" x14ac:dyDescent="0.2">
      <c r="C46"/>
    </row>
    <row r="47" spans="3:8" x14ac:dyDescent="0.2">
      <c r="C47"/>
    </row>
    <row r="48" spans="3:8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</sheetData>
  <pageMargins left="0.7" right="0.7" top="0.75" bottom="0.75" header="0.3" footer="0.3"/>
  <pageSetup paperSize="9" scale="44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Invoice Dispute Tracker</vt:lpstr>
      <vt:lpstr>Ouderdomsanalyseperdebiteur</vt:lpstr>
      <vt:lpstr>Aging breakdown</vt:lpstr>
      <vt:lpstr>Top20 </vt:lpstr>
      <vt:lpstr>Action item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Kimberly Amurao</cp:lastModifiedBy>
  <cp:lastPrinted>2026-05-28T11:33:36Z</cp:lastPrinted>
  <dcterms:created xsi:type="dcterms:W3CDTF">2026-05-22T06:33:06Z</dcterms:created>
  <dcterms:modified xsi:type="dcterms:W3CDTF">2026-05-28T12:01:51Z</dcterms:modified>
</cp:coreProperties>
</file>